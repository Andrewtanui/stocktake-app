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xr:revisionPtr revIDLastSave="0" documentId="11_64F2DBA6D0DA41A2318AC2490A017FF8C878CF83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Read Me" sheetId="1" r:id="rId1"/>
    <sheet name="Team Summary" sheetId="2" r:id="rId2"/>
    <sheet name="Master Plan" sheetId="3" r:id="rId3"/>
    <sheet name="Next Week 12-16 Oct" sheetId="4" r:id="rId4"/>
    <sheet name="Gantt" sheetId="5" r:id="rId5"/>
    <sheet name="Milestones" sheetId="6" r:id="rId6"/>
    <sheet name="NKG Actions" sheetId="7" r:id="rId7"/>
    <sheet name="Meetings &amp; Rhythm" sheetId="8" r:id="rId8"/>
    <sheet name="Daphne" sheetId="9" r:id="rId9"/>
    <sheet name="Moses" sheetId="10" r:id="rId10"/>
    <sheet name="Denis" sheetId="11" r:id="rId11"/>
    <sheet name="Nicole" sheetId="12" r:id="rId12"/>
    <sheet name="William" sheetId="13" r:id="rId13"/>
    <sheet name="Andrew" sheetId="14" r:id="rId14"/>
    <sheet name="Jones" sheetId="15" r:id="rId15"/>
    <sheet name="Frankie" sheetId="16" r:id="rId16"/>
    <sheet name="Holidays" sheetId="17" r:id="rId17"/>
  </sheets>
  <definedNames>
    <definedName name="_xlnm._FilterDatabase" localSheetId="2" hidden="1">'Master Plan'!$A$4:$R$130</definedName>
    <definedName name="_xlnm.Print_Titles" localSheetId="2">'Master Plan'!$4:$4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5" i="16" l="1"/>
  <c r="E25" i="16"/>
  <c r="D25" i="16"/>
  <c r="C25" i="16"/>
  <c r="B25" i="16"/>
  <c r="A25" i="16"/>
  <c r="F24" i="16"/>
  <c r="E24" i="16"/>
  <c r="D24" i="16"/>
  <c r="C24" i="16"/>
  <c r="B24" i="16"/>
  <c r="A24" i="16"/>
  <c r="F23" i="16"/>
  <c r="E23" i="16"/>
  <c r="D23" i="16"/>
  <c r="C23" i="16"/>
  <c r="B23" i="16"/>
  <c r="A23" i="16"/>
  <c r="F22" i="16"/>
  <c r="E22" i="16"/>
  <c r="D22" i="16"/>
  <c r="C22" i="16"/>
  <c r="B22" i="16"/>
  <c r="A22" i="16"/>
  <c r="F21" i="16"/>
  <c r="E21" i="16"/>
  <c r="D21" i="16"/>
  <c r="C21" i="16"/>
  <c r="B21" i="16"/>
  <c r="A21" i="16"/>
  <c r="F20" i="16"/>
  <c r="E20" i="16"/>
  <c r="D20" i="16"/>
  <c r="C20" i="16"/>
  <c r="B20" i="16"/>
  <c r="A20" i="16"/>
  <c r="F19" i="16"/>
  <c r="E19" i="16"/>
  <c r="D19" i="16"/>
  <c r="C19" i="16"/>
  <c r="B19" i="16"/>
  <c r="A19" i="16"/>
  <c r="F18" i="16"/>
  <c r="E18" i="16"/>
  <c r="D18" i="16"/>
  <c r="C18" i="16"/>
  <c r="B18" i="16"/>
  <c r="A18" i="16"/>
  <c r="F17" i="16"/>
  <c r="E17" i="16"/>
  <c r="D17" i="16"/>
  <c r="C17" i="16"/>
  <c r="B17" i="16"/>
  <c r="A17" i="16"/>
  <c r="F16" i="16"/>
  <c r="E16" i="16"/>
  <c r="D16" i="16"/>
  <c r="C16" i="16"/>
  <c r="B16" i="16"/>
  <c r="A16" i="16"/>
  <c r="F15" i="16"/>
  <c r="E15" i="16"/>
  <c r="D15" i="16"/>
  <c r="C15" i="16"/>
  <c r="B15" i="16"/>
  <c r="A15" i="16"/>
  <c r="F14" i="16"/>
  <c r="E14" i="16"/>
  <c r="D14" i="16"/>
  <c r="C14" i="16"/>
  <c r="B14" i="16"/>
  <c r="A14" i="16"/>
  <c r="M10" i="16"/>
  <c r="L10" i="16"/>
  <c r="K10" i="16"/>
  <c r="J10" i="16"/>
  <c r="I10" i="16"/>
  <c r="G10" i="16"/>
  <c r="F10" i="16"/>
  <c r="E10" i="16"/>
  <c r="D10" i="16"/>
  <c r="C10" i="16"/>
  <c r="B10" i="16"/>
  <c r="A10" i="16"/>
  <c r="M9" i="16"/>
  <c r="L9" i="16"/>
  <c r="K9" i="16"/>
  <c r="J9" i="16"/>
  <c r="I9" i="16"/>
  <c r="G9" i="16"/>
  <c r="F9" i="16"/>
  <c r="E9" i="16"/>
  <c r="D9" i="16"/>
  <c r="C9" i="16"/>
  <c r="B9" i="16"/>
  <c r="A9" i="16"/>
  <c r="M8" i="16"/>
  <c r="L8" i="16"/>
  <c r="K8" i="16"/>
  <c r="J8" i="16"/>
  <c r="I8" i="16"/>
  <c r="G8" i="16"/>
  <c r="F8" i="16"/>
  <c r="E8" i="16"/>
  <c r="D8" i="16"/>
  <c r="C8" i="16"/>
  <c r="B8" i="16"/>
  <c r="A8" i="16"/>
  <c r="M7" i="16"/>
  <c r="L7" i="16"/>
  <c r="K7" i="16"/>
  <c r="J7" i="16"/>
  <c r="I7" i="16"/>
  <c r="G7" i="16"/>
  <c r="F7" i="16"/>
  <c r="E7" i="16"/>
  <c r="D7" i="16"/>
  <c r="C7" i="16"/>
  <c r="B7" i="16"/>
  <c r="A7" i="16"/>
  <c r="M6" i="16"/>
  <c r="L6" i="16"/>
  <c r="K6" i="16"/>
  <c r="J6" i="16"/>
  <c r="I6" i="16"/>
  <c r="G6" i="16"/>
  <c r="F6" i="16"/>
  <c r="E6" i="16"/>
  <c r="D6" i="16"/>
  <c r="C6" i="16"/>
  <c r="B6" i="16"/>
  <c r="A6" i="16"/>
  <c r="M5" i="16"/>
  <c r="L5" i="16"/>
  <c r="K5" i="16"/>
  <c r="J5" i="16"/>
  <c r="I5" i="16"/>
  <c r="G5" i="16"/>
  <c r="F5" i="16"/>
  <c r="E5" i="16"/>
  <c r="D5" i="16"/>
  <c r="C5" i="16"/>
  <c r="B5" i="16"/>
  <c r="A5" i="16"/>
  <c r="F35" i="15"/>
  <c r="E35" i="15"/>
  <c r="D35" i="15"/>
  <c r="C35" i="15"/>
  <c r="B35" i="15"/>
  <c r="A35" i="15"/>
  <c r="F34" i="15"/>
  <c r="E34" i="15"/>
  <c r="D34" i="15"/>
  <c r="C34" i="15"/>
  <c r="B34" i="15"/>
  <c r="A34" i="15"/>
  <c r="F33" i="15"/>
  <c r="E33" i="15"/>
  <c r="D33" i="15"/>
  <c r="C33" i="15"/>
  <c r="B33" i="15"/>
  <c r="A33" i="15"/>
  <c r="F32" i="15"/>
  <c r="E32" i="15"/>
  <c r="D32" i="15"/>
  <c r="C32" i="15"/>
  <c r="B32" i="15"/>
  <c r="A32" i="15"/>
  <c r="F31" i="15"/>
  <c r="E31" i="15"/>
  <c r="D31" i="15"/>
  <c r="C31" i="15"/>
  <c r="B31" i="15"/>
  <c r="A31" i="15"/>
  <c r="F30" i="15"/>
  <c r="E30" i="15"/>
  <c r="D30" i="15"/>
  <c r="C30" i="15"/>
  <c r="B30" i="15"/>
  <c r="A30" i="15"/>
  <c r="F29" i="15"/>
  <c r="E29" i="15"/>
  <c r="D29" i="15"/>
  <c r="C29" i="15"/>
  <c r="B29" i="15"/>
  <c r="A29" i="15"/>
  <c r="F28" i="15"/>
  <c r="E28" i="15"/>
  <c r="D28" i="15"/>
  <c r="C28" i="15"/>
  <c r="B28" i="15"/>
  <c r="A28" i="15"/>
  <c r="F27" i="15"/>
  <c r="E27" i="15"/>
  <c r="D27" i="15"/>
  <c r="C27" i="15"/>
  <c r="B27" i="15"/>
  <c r="A27" i="15"/>
  <c r="F26" i="15"/>
  <c r="E26" i="15"/>
  <c r="D26" i="15"/>
  <c r="C26" i="15"/>
  <c r="B26" i="15"/>
  <c r="A26" i="15"/>
  <c r="F25" i="15"/>
  <c r="E25" i="15"/>
  <c r="D25" i="15"/>
  <c r="C25" i="15"/>
  <c r="B25" i="15"/>
  <c r="A25" i="15"/>
  <c r="F24" i="15"/>
  <c r="E24" i="15"/>
  <c r="D24" i="15"/>
  <c r="C24" i="15"/>
  <c r="B24" i="15"/>
  <c r="A24" i="15"/>
  <c r="F23" i="15"/>
  <c r="E23" i="15"/>
  <c r="D23" i="15"/>
  <c r="C23" i="15"/>
  <c r="B23" i="15"/>
  <c r="A23" i="15"/>
  <c r="F22" i="15"/>
  <c r="E22" i="15"/>
  <c r="D22" i="15"/>
  <c r="C22" i="15"/>
  <c r="B22" i="15"/>
  <c r="A22" i="15"/>
  <c r="M18" i="15"/>
  <c r="L18" i="15"/>
  <c r="K18" i="15"/>
  <c r="J18" i="15"/>
  <c r="I18" i="15"/>
  <c r="G18" i="15"/>
  <c r="F18" i="15"/>
  <c r="E18" i="15"/>
  <c r="D18" i="15"/>
  <c r="C18" i="15"/>
  <c r="B18" i="15"/>
  <c r="A18" i="15"/>
  <c r="M17" i="15"/>
  <c r="L17" i="15"/>
  <c r="K17" i="15"/>
  <c r="J17" i="15"/>
  <c r="I17" i="15"/>
  <c r="G17" i="15"/>
  <c r="F17" i="15"/>
  <c r="E17" i="15"/>
  <c r="D17" i="15"/>
  <c r="C17" i="15"/>
  <c r="B17" i="15"/>
  <c r="A17" i="15"/>
  <c r="M16" i="15"/>
  <c r="L16" i="15"/>
  <c r="K16" i="15"/>
  <c r="J16" i="15"/>
  <c r="I16" i="15"/>
  <c r="G16" i="15"/>
  <c r="F16" i="15"/>
  <c r="E16" i="15"/>
  <c r="D16" i="15"/>
  <c r="C16" i="15"/>
  <c r="B16" i="15"/>
  <c r="A16" i="15"/>
  <c r="M15" i="15"/>
  <c r="L15" i="15"/>
  <c r="K15" i="15"/>
  <c r="J15" i="15"/>
  <c r="I15" i="15"/>
  <c r="G15" i="15"/>
  <c r="F15" i="15"/>
  <c r="E15" i="15"/>
  <c r="D15" i="15"/>
  <c r="C15" i="15"/>
  <c r="B15" i="15"/>
  <c r="A15" i="15"/>
  <c r="M14" i="15"/>
  <c r="L14" i="15"/>
  <c r="K14" i="15"/>
  <c r="J14" i="15"/>
  <c r="I14" i="15"/>
  <c r="G14" i="15"/>
  <c r="F14" i="15"/>
  <c r="E14" i="15"/>
  <c r="D14" i="15"/>
  <c r="C14" i="15"/>
  <c r="B14" i="15"/>
  <c r="A14" i="15"/>
  <c r="M13" i="15"/>
  <c r="L13" i="15"/>
  <c r="K13" i="15"/>
  <c r="J13" i="15"/>
  <c r="I13" i="15"/>
  <c r="G13" i="15"/>
  <c r="F13" i="15"/>
  <c r="E13" i="15"/>
  <c r="D13" i="15"/>
  <c r="C13" i="15"/>
  <c r="B13" i="15"/>
  <c r="A13" i="15"/>
  <c r="M12" i="15"/>
  <c r="L12" i="15"/>
  <c r="K12" i="15"/>
  <c r="J12" i="15"/>
  <c r="I12" i="15"/>
  <c r="G12" i="15"/>
  <c r="F12" i="15"/>
  <c r="E12" i="15"/>
  <c r="D12" i="15"/>
  <c r="C12" i="15"/>
  <c r="B12" i="15"/>
  <c r="A12" i="15"/>
  <c r="M11" i="15"/>
  <c r="L11" i="15"/>
  <c r="K11" i="15"/>
  <c r="J11" i="15"/>
  <c r="I11" i="15"/>
  <c r="G11" i="15"/>
  <c r="F11" i="15"/>
  <c r="E11" i="15"/>
  <c r="D11" i="15"/>
  <c r="C11" i="15"/>
  <c r="B11" i="15"/>
  <c r="A11" i="15"/>
  <c r="M10" i="15"/>
  <c r="L10" i="15"/>
  <c r="K10" i="15"/>
  <c r="J10" i="15"/>
  <c r="I10" i="15"/>
  <c r="G10" i="15"/>
  <c r="F10" i="15"/>
  <c r="E10" i="15"/>
  <c r="D10" i="15"/>
  <c r="C10" i="15"/>
  <c r="B10" i="15"/>
  <c r="A10" i="15"/>
  <c r="M9" i="15"/>
  <c r="L9" i="15"/>
  <c r="K9" i="15"/>
  <c r="J9" i="15"/>
  <c r="I9" i="15"/>
  <c r="G9" i="15"/>
  <c r="F9" i="15"/>
  <c r="E9" i="15"/>
  <c r="D9" i="15"/>
  <c r="C9" i="15"/>
  <c r="B9" i="15"/>
  <c r="A9" i="15"/>
  <c r="M8" i="15"/>
  <c r="L8" i="15"/>
  <c r="K8" i="15"/>
  <c r="J8" i="15"/>
  <c r="I8" i="15"/>
  <c r="G8" i="15"/>
  <c r="F8" i="15"/>
  <c r="E8" i="15"/>
  <c r="D8" i="15"/>
  <c r="C8" i="15"/>
  <c r="B8" i="15"/>
  <c r="A8" i="15"/>
  <c r="M7" i="15"/>
  <c r="L7" i="15"/>
  <c r="K7" i="15"/>
  <c r="J7" i="15"/>
  <c r="I7" i="15"/>
  <c r="G7" i="15"/>
  <c r="F7" i="15"/>
  <c r="E7" i="15"/>
  <c r="D7" i="15"/>
  <c r="C7" i="15"/>
  <c r="B7" i="15"/>
  <c r="A7" i="15"/>
  <c r="M6" i="15"/>
  <c r="L6" i="15"/>
  <c r="K6" i="15"/>
  <c r="J6" i="15"/>
  <c r="I6" i="15"/>
  <c r="G6" i="15"/>
  <c r="F6" i="15"/>
  <c r="E6" i="15"/>
  <c r="D6" i="15"/>
  <c r="C6" i="15"/>
  <c r="B6" i="15"/>
  <c r="A6" i="15"/>
  <c r="M5" i="15"/>
  <c r="L5" i="15"/>
  <c r="K5" i="15"/>
  <c r="J5" i="15"/>
  <c r="I5" i="15"/>
  <c r="G5" i="15"/>
  <c r="F5" i="15"/>
  <c r="E5" i="15"/>
  <c r="D5" i="15"/>
  <c r="C5" i="15"/>
  <c r="B5" i="15"/>
  <c r="A5" i="15"/>
  <c r="F34" i="14"/>
  <c r="E34" i="14"/>
  <c r="D34" i="14"/>
  <c r="C34" i="14"/>
  <c r="B34" i="14"/>
  <c r="A34" i="14"/>
  <c r="F33" i="14"/>
  <c r="E33" i="14"/>
  <c r="D33" i="14"/>
  <c r="C33" i="14"/>
  <c r="B33" i="14"/>
  <c r="A33" i="14"/>
  <c r="F32" i="14"/>
  <c r="E32" i="14"/>
  <c r="D32" i="14"/>
  <c r="C32" i="14"/>
  <c r="B32" i="14"/>
  <c r="A32" i="14"/>
  <c r="F31" i="14"/>
  <c r="E31" i="14"/>
  <c r="D31" i="14"/>
  <c r="C31" i="14"/>
  <c r="B31" i="14"/>
  <c r="A31" i="14"/>
  <c r="F30" i="14"/>
  <c r="E30" i="14"/>
  <c r="D30" i="14"/>
  <c r="C30" i="14"/>
  <c r="B30" i="14"/>
  <c r="A30" i="14"/>
  <c r="F29" i="14"/>
  <c r="E29" i="14"/>
  <c r="D29" i="14"/>
  <c r="C29" i="14"/>
  <c r="B29" i="14"/>
  <c r="A29" i="14"/>
  <c r="F28" i="14"/>
  <c r="E28" i="14"/>
  <c r="D28" i="14"/>
  <c r="C28" i="14"/>
  <c r="B28" i="14"/>
  <c r="A28" i="14"/>
  <c r="F27" i="14"/>
  <c r="E27" i="14"/>
  <c r="D27" i="14"/>
  <c r="C27" i="14"/>
  <c r="B27" i="14"/>
  <c r="A27" i="14"/>
  <c r="F26" i="14"/>
  <c r="E26" i="14"/>
  <c r="D26" i="14"/>
  <c r="C26" i="14"/>
  <c r="B26" i="14"/>
  <c r="A26" i="14"/>
  <c r="F25" i="14"/>
  <c r="E25" i="14"/>
  <c r="D25" i="14"/>
  <c r="C25" i="14"/>
  <c r="B25" i="14"/>
  <c r="A25" i="14"/>
  <c r="F24" i="14"/>
  <c r="E24" i="14"/>
  <c r="D24" i="14"/>
  <c r="C24" i="14"/>
  <c r="B24" i="14"/>
  <c r="A24" i="14"/>
  <c r="F23" i="14"/>
  <c r="E23" i="14"/>
  <c r="D23" i="14"/>
  <c r="C23" i="14"/>
  <c r="B23" i="14"/>
  <c r="A23" i="14"/>
  <c r="F22" i="14"/>
  <c r="E22" i="14"/>
  <c r="D22" i="14"/>
  <c r="C22" i="14"/>
  <c r="B22" i="14"/>
  <c r="A22" i="14"/>
  <c r="F21" i="14"/>
  <c r="E21" i="14"/>
  <c r="D21" i="14"/>
  <c r="C21" i="14"/>
  <c r="B21" i="14"/>
  <c r="A21" i="14"/>
  <c r="M17" i="14"/>
  <c r="L17" i="14"/>
  <c r="K17" i="14"/>
  <c r="J17" i="14"/>
  <c r="I17" i="14"/>
  <c r="G17" i="14"/>
  <c r="F17" i="14"/>
  <c r="E17" i="14"/>
  <c r="D17" i="14"/>
  <c r="C17" i="14"/>
  <c r="B17" i="14"/>
  <c r="A17" i="14"/>
  <c r="M16" i="14"/>
  <c r="L16" i="14"/>
  <c r="K16" i="14"/>
  <c r="J16" i="14"/>
  <c r="I16" i="14"/>
  <c r="G16" i="14"/>
  <c r="F16" i="14"/>
  <c r="E16" i="14"/>
  <c r="D16" i="14"/>
  <c r="C16" i="14"/>
  <c r="B16" i="14"/>
  <c r="A16" i="14"/>
  <c r="M15" i="14"/>
  <c r="L15" i="14"/>
  <c r="K15" i="14"/>
  <c r="J15" i="14"/>
  <c r="I15" i="14"/>
  <c r="G15" i="14"/>
  <c r="F15" i="14"/>
  <c r="E15" i="14"/>
  <c r="D15" i="14"/>
  <c r="C15" i="14"/>
  <c r="B15" i="14"/>
  <c r="A15" i="14"/>
  <c r="M14" i="14"/>
  <c r="L14" i="14"/>
  <c r="K14" i="14"/>
  <c r="J14" i="14"/>
  <c r="I14" i="14"/>
  <c r="G14" i="14"/>
  <c r="F14" i="14"/>
  <c r="E14" i="14"/>
  <c r="D14" i="14"/>
  <c r="C14" i="14"/>
  <c r="B14" i="14"/>
  <c r="A14" i="14"/>
  <c r="M13" i="14"/>
  <c r="L13" i="14"/>
  <c r="K13" i="14"/>
  <c r="J13" i="14"/>
  <c r="I13" i="14"/>
  <c r="G13" i="14"/>
  <c r="F13" i="14"/>
  <c r="E13" i="14"/>
  <c r="D13" i="14"/>
  <c r="C13" i="14"/>
  <c r="B13" i="14"/>
  <c r="A13" i="14"/>
  <c r="M12" i="14"/>
  <c r="L12" i="14"/>
  <c r="K12" i="14"/>
  <c r="J12" i="14"/>
  <c r="I12" i="14"/>
  <c r="G12" i="14"/>
  <c r="F12" i="14"/>
  <c r="E12" i="14"/>
  <c r="D12" i="14"/>
  <c r="C12" i="14"/>
  <c r="B12" i="14"/>
  <c r="A12" i="14"/>
  <c r="M11" i="14"/>
  <c r="L11" i="14"/>
  <c r="K11" i="14"/>
  <c r="J11" i="14"/>
  <c r="I11" i="14"/>
  <c r="G11" i="14"/>
  <c r="F11" i="14"/>
  <c r="E11" i="14"/>
  <c r="D11" i="14"/>
  <c r="C11" i="14"/>
  <c r="B11" i="14"/>
  <c r="A11" i="14"/>
  <c r="M10" i="14"/>
  <c r="L10" i="14"/>
  <c r="K10" i="14"/>
  <c r="J10" i="14"/>
  <c r="I10" i="14"/>
  <c r="G10" i="14"/>
  <c r="F10" i="14"/>
  <c r="E10" i="14"/>
  <c r="D10" i="14"/>
  <c r="C10" i="14"/>
  <c r="B10" i="14"/>
  <c r="A10" i="14"/>
  <c r="M9" i="14"/>
  <c r="L9" i="14"/>
  <c r="K9" i="14"/>
  <c r="J9" i="14"/>
  <c r="I9" i="14"/>
  <c r="G9" i="14"/>
  <c r="F9" i="14"/>
  <c r="E9" i="14"/>
  <c r="D9" i="14"/>
  <c r="C9" i="14"/>
  <c r="B9" i="14"/>
  <c r="A9" i="14"/>
  <c r="M8" i="14"/>
  <c r="L8" i="14"/>
  <c r="K8" i="14"/>
  <c r="J8" i="14"/>
  <c r="I8" i="14"/>
  <c r="G8" i="14"/>
  <c r="F8" i="14"/>
  <c r="E8" i="14"/>
  <c r="D8" i="14"/>
  <c r="C8" i="14"/>
  <c r="B8" i="14"/>
  <c r="A8" i="14"/>
  <c r="M7" i="14"/>
  <c r="L7" i="14"/>
  <c r="K7" i="14"/>
  <c r="J7" i="14"/>
  <c r="I7" i="14"/>
  <c r="G7" i="14"/>
  <c r="F7" i="14"/>
  <c r="E7" i="14"/>
  <c r="D7" i="14"/>
  <c r="C7" i="14"/>
  <c r="B7" i="14"/>
  <c r="A7" i="14"/>
  <c r="M6" i="14"/>
  <c r="L6" i="14"/>
  <c r="K6" i="14"/>
  <c r="J6" i="14"/>
  <c r="I6" i="14"/>
  <c r="G6" i="14"/>
  <c r="F6" i="14"/>
  <c r="E6" i="14"/>
  <c r="D6" i="14"/>
  <c r="C6" i="14"/>
  <c r="B6" i="14"/>
  <c r="A6" i="14"/>
  <c r="M5" i="14"/>
  <c r="L5" i="14"/>
  <c r="K5" i="14"/>
  <c r="J5" i="14"/>
  <c r="I5" i="14"/>
  <c r="G5" i="14"/>
  <c r="F5" i="14"/>
  <c r="E5" i="14"/>
  <c r="D5" i="14"/>
  <c r="C5" i="14"/>
  <c r="B5" i="14"/>
  <c r="A5" i="14"/>
  <c r="F32" i="13"/>
  <c r="E32" i="13"/>
  <c r="D32" i="13"/>
  <c r="C32" i="13"/>
  <c r="B32" i="13"/>
  <c r="A32" i="13"/>
  <c r="F31" i="13"/>
  <c r="E31" i="13"/>
  <c r="D31" i="13"/>
  <c r="C31" i="13"/>
  <c r="B31" i="13"/>
  <c r="A31" i="13"/>
  <c r="F30" i="13"/>
  <c r="E30" i="13"/>
  <c r="D30" i="13"/>
  <c r="C30" i="13"/>
  <c r="B30" i="13"/>
  <c r="A30" i="13"/>
  <c r="F29" i="13"/>
  <c r="E29" i="13"/>
  <c r="D29" i="13"/>
  <c r="C29" i="13"/>
  <c r="B29" i="13"/>
  <c r="A29" i="13"/>
  <c r="F28" i="13"/>
  <c r="E28" i="13"/>
  <c r="D28" i="13"/>
  <c r="C28" i="13"/>
  <c r="B28" i="13"/>
  <c r="A28" i="13"/>
  <c r="F27" i="13"/>
  <c r="E27" i="13"/>
  <c r="D27" i="13"/>
  <c r="C27" i="13"/>
  <c r="B27" i="13"/>
  <c r="A27" i="13"/>
  <c r="F26" i="13"/>
  <c r="E26" i="13"/>
  <c r="D26" i="13"/>
  <c r="C26" i="13"/>
  <c r="B26" i="13"/>
  <c r="A26" i="13"/>
  <c r="F25" i="13"/>
  <c r="E25" i="13"/>
  <c r="D25" i="13"/>
  <c r="C25" i="13"/>
  <c r="B25" i="13"/>
  <c r="A25" i="13"/>
  <c r="F24" i="13"/>
  <c r="E24" i="13"/>
  <c r="D24" i="13"/>
  <c r="C24" i="13"/>
  <c r="B24" i="13"/>
  <c r="A24" i="13"/>
  <c r="F23" i="13"/>
  <c r="E23" i="13"/>
  <c r="D23" i="13"/>
  <c r="C23" i="13"/>
  <c r="B23" i="13"/>
  <c r="A23" i="13"/>
  <c r="F22" i="13"/>
  <c r="E22" i="13"/>
  <c r="D22" i="13"/>
  <c r="C22" i="13"/>
  <c r="B22" i="13"/>
  <c r="A22" i="13"/>
  <c r="F21" i="13"/>
  <c r="E21" i="13"/>
  <c r="D21" i="13"/>
  <c r="C21" i="13"/>
  <c r="B21" i="13"/>
  <c r="A21" i="13"/>
  <c r="M17" i="13"/>
  <c r="L17" i="13"/>
  <c r="K17" i="13"/>
  <c r="J17" i="13"/>
  <c r="I17" i="13"/>
  <c r="G17" i="13"/>
  <c r="F17" i="13"/>
  <c r="E17" i="13"/>
  <c r="D17" i="13"/>
  <c r="C17" i="13"/>
  <c r="B17" i="13"/>
  <c r="A17" i="13"/>
  <c r="M16" i="13"/>
  <c r="L16" i="13"/>
  <c r="K16" i="13"/>
  <c r="J16" i="13"/>
  <c r="I16" i="13"/>
  <c r="G16" i="13"/>
  <c r="F16" i="13"/>
  <c r="E16" i="13"/>
  <c r="D16" i="13"/>
  <c r="C16" i="13"/>
  <c r="B16" i="13"/>
  <c r="A16" i="13"/>
  <c r="M15" i="13"/>
  <c r="L15" i="13"/>
  <c r="K15" i="13"/>
  <c r="J15" i="13"/>
  <c r="I15" i="13"/>
  <c r="G15" i="13"/>
  <c r="F15" i="13"/>
  <c r="E15" i="13"/>
  <c r="D15" i="13"/>
  <c r="C15" i="13"/>
  <c r="B15" i="13"/>
  <c r="A15" i="13"/>
  <c r="M14" i="13"/>
  <c r="L14" i="13"/>
  <c r="K14" i="13"/>
  <c r="J14" i="13"/>
  <c r="I14" i="13"/>
  <c r="G14" i="13"/>
  <c r="F14" i="13"/>
  <c r="E14" i="13"/>
  <c r="D14" i="13"/>
  <c r="C14" i="13"/>
  <c r="B14" i="13"/>
  <c r="A14" i="13"/>
  <c r="M13" i="13"/>
  <c r="L13" i="13"/>
  <c r="K13" i="13"/>
  <c r="J13" i="13"/>
  <c r="I13" i="13"/>
  <c r="G13" i="13"/>
  <c r="F13" i="13"/>
  <c r="E13" i="13"/>
  <c r="D13" i="13"/>
  <c r="C13" i="13"/>
  <c r="B13" i="13"/>
  <c r="A13" i="13"/>
  <c r="M12" i="13"/>
  <c r="L12" i="13"/>
  <c r="K12" i="13"/>
  <c r="J12" i="13"/>
  <c r="I12" i="13"/>
  <c r="G12" i="13"/>
  <c r="F12" i="13"/>
  <c r="E12" i="13"/>
  <c r="D12" i="13"/>
  <c r="C12" i="13"/>
  <c r="B12" i="13"/>
  <c r="A12" i="13"/>
  <c r="M11" i="13"/>
  <c r="L11" i="13"/>
  <c r="K11" i="13"/>
  <c r="J11" i="13"/>
  <c r="I11" i="13"/>
  <c r="G11" i="13"/>
  <c r="F11" i="13"/>
  <c r="E11" i="13"/>
  <c r="D11" i="13"/>
  <c r="C11" i="13"/>
  <c r="B11" i="13"/>
  <c r="A11" i="13"/>
  <c r="M10" i="13"/>
  <c r="L10" i="13"/>
  <c r="K10" i="13"/>
  <c r="J10" i="13"/>
  <c r="I10" i="13"/>
  <c r="G10" i="13"/>
  <c r="F10" i="13"/>
  <c r="E10" i="13"/>
  <c r="D10" i="13"/>
  <c r="C10" i="13"/>
  <c r="B10" i="13"/>
  <c r="A10" i="13"/>
  <c r="M9" i="13"/>
  <c r="L9" i="13"/>
  <c r="K9" i="13"/>
  <c r="J9" i="13"/>
  <c r="I9" i="13"/>
  <c r="G9" i="13"/>
  <c r="F9" i="13"/>
  <c r="E9" i="13"/>
  <c r="D9" i="13"/>
  <c r="C9" i="13"/>
  <c r="B9" i="13"/>
  <c r="A9" i="13"/>
  <c r="M8" i="13"/>
  <c r="L8" i="13"/>
  <c r="K8" i="13"/>
  <c r="J8" i="13"/>
  <c r="I8" i="13"/>
  <c r="G8" i="13"/>
  <c r="F8" i="13"/>
  <c r="E8" i="13"/>
  <c r="D8" i="13"/>
  <c r="C8" i="13"/>
  <c r="B8" i="13"/>
  <c r="A8" i="13"/>
  <c r="M7" i="13"/>
  <c r="L7" i="13"/>
  <c r="K7" i="13"/>
  <c r="J7" i="13"/>
  <c r="I7" i="13"/>
  <c r="G7" i="13"/>
  <c r="F7" i="13"/>
  <c r="E7" i="13"/>
  <c r="D7" i="13"/>
  <c r="C7" i="13"/>
  <c r="B7" i="13"/>
  <c r="A7" i="13"/>
  <c r="M6" i="13"/>
  <c r="L6" i="13"/>
  <c r="K6" i="13"/>
  <c r="J6" i="13"/>
  <c r="I6" i="13"/>
  <c r="G6" i="13"/>
  <c r="F6" i="13"/>
  <c r="E6" i="13"/>
  <c r="D6" i="13"/>
  <c r="C6" i="13"/>
  <c r="B6" i="13"/>
  <c r="A6" i="13"/>
  <c r="M5" i="13"/>
  <c r="L5" i="13"/>
  <c r="K5" i="13"/>
  <c r="J5" i="13"/>
  <c r="I5" i="13"/>
  <c r="G5" i="13"/>
  <c r="F5" i="13"/>
  <c r="E5" i="13"/>
  <c r="D5" i="13"/>
  <c r="C5" i="13"/>
  <c r="B5" i="13"/>
  <c r="A5" i="13"/>
  <c r="F45" i="12"/>
  <c r="E45" i="12"/>
  <c r="D45" i="12"/>
  <c r="C45" i="12"/>
  <c r="B45" i="12"/>
  <c r="A45" i="12"/>
  <c r="F44" i="12"/>
  <c r="E44" i="12"/>
  <c r="D44" i="12"/>
  <c r="C44" i="12"/>
  <c r="B44" i="12"/>
  <c r="A44" i="12"/>
  <c r="F43" i="12"/>
  <c r="E43" i="12"/>
  <c r="D43" i="12"/>
  <c r="C43" i="12"/>
  <c r="B43" i="12"/>
  <c r="A43" i="12"/>
  <c r="F42" i="12"/>
  <c r="E42" i="12"/>
  <c r="D42" i="12"/>
  <c r="C42" i="12"/>
  <c r="B42" i="12"/>
  <c r="A42" i="12"/>
  <c r="F41" i="12"/>
  <c r="E41" i="12"/>
  <c r="D41" i="12"/>
  <c r="C41" i="12"/>
  <c r="B41" i="12"/>
  <c r="A41" i="12"/>
  <c r="F40" i="12"/>
  <c r="E40" i="12"/>
  <c r="D40" i="12"/>
  <c r="C40" i="12"/>
  <c r="B40" i="12"/>
  <c r="A40" i="12"/>
  <c r="F39" i="12"/>
  <c r="E39" i="12"/>
  <c r="D39" i="12"/>
  <c r="C39" i="12"/>
  <c r="B39" i="12"/>
  <c r="A39" i="12"/>
  <c r="F38" i="12"/>
  <c r="E38" i="12"/>
  <c r="D38" i="12"/>
  <c r="C38" i="12"/>
  <c r="B38" i="12"/>
  <c r="A38" i="12"/>
  <c r="F37" i="12"/>
  <c r="E37" i="12"/>
  <c r="D37" i="12"/>
  <c r="C37" i="12"/>
  <c r="B37" i="12"/>
  <c r="A37" i="12"/>
  <c r="F36" i="12"/>
  <c r="E36" i="12"/>
  <c r="D36" i="12"/>
  <c r="C36" i="12"/>
  <c r="B36" i="12"/>
  <c r="A36" i="12"/>
  <c r="F35" i="12"/>
  <c r="E35" i="12"/>
  <c r="D35" i="12"/>
  <c r="C35" i="12"/>
  <c r="B35" i="12"/>
  <c r="A35" i="12"/>
  <c r="F34" i="12"/>
  <c r="E34" i="12"/>
  <c r="D34" i="12"/>
  <c r="C34" i="12"/>
  <c r="B34" i="12"/>
  <c r="A34" i="12"/>
  <c r="F33" i="12"/>
  <c r="E33" i="12"/>
  <c r="D33" i="12"/>
  <c r="C33" i="12"/>
  <c r="B33" i="12"/>
  <c r="A33" i="12"/>
  <c r="F32" i="12"/>
  <c r="E32" i="12"/>
  <c r="D32" i="12"/>
  <c r="C32" i="12"/>
  <c r="B32" i="12"/>
  <c r="A32" i="12"/>
  <c r="F31" i="12"/>
  <c r="E31" i="12"/>
  <c r="D31" i="12"/>
  <c r="C31" i="12"/>
  <c r="B31" i="12"/>
  <c r="A31" i="12"/>
  <c r="F30" i="12"/>
  <c r="E30" i="12"/>
  <c r="D30" i="12"/>
  <c r="C30" i="12"/>
  <c r="B30" i="12"/>
  <c r="A30" i="12"/>
  <c r="F29" i="12"/>
  <c r="E29" i="12"/>
  <c r="D29" i="12"/>
  <c r="C29" i="12"/>
  <c r="B29" i="12"/>
  <c r="A29" i="12"/>
  <c r="F28" i="12"/>
  <c r="E28" i="12"/>
  <c r="D28" i="12"/>
  <c r="C28" i="12"/>
  <c r="B28" i="12"/>
  <c r="A28" i="12"/>
  <c r="F27" i="12"/>
  <c r="E27" i="12"/>
  <c r="D27" i="12"/>
  <c r="C27" i="12"/>
  <c r="B27" i="12"/>
  <c r="A27" i="12"/>
  <c r="F26" i="12"/>
  <c r="E26" i="12"/>
  <c r="D26" i="12"/>
  <c r="C26" i="12"/>
  <c r="B26" i="12"/>
  <c r="A26" i="12"/>
  <c r="F25" i="12"/>
  <c r="E25" i="12"/>
  <c r="D25" i="12"/>
  <c r="C25" i="12"/>
  <c r="B25" i="12"/>
  <c r="A25" i="12"/>
  <c r="F24" i="12"/>
  <c r="E24" i="12"/>
  <c r="D24" i="12"/>
  <c r="C24" i="12"/>
  <c r="B24" i="12"/>
  <c r="A24" i="12"/>
  <c r="F23" i="12"/>
  <c r="E23" i="12"/>
  <c r="D23" i="12"/>
  <c r="C23" i="12"/>
  <c r="B23" i="12"/>
  <c r="A23" i="12"/>
  <c r="F22" i="12"/>
  <c r="E22" i="12"/>
  <c r="D22" i="12"/>
  <c r="C22" i="12"/>
  <c r="B22" i="12"/>
  <c r="A22" i="12"/>
  <c r="F21" i="12"/>
  <c r="E21" i="12"/>
  <c r="D21" i="12"/>
  <c r="C21" i="12"/>
  <c r="B21" i="12"/>
  <c r="A21" i="12"/>
  <c r="F20" i="12"/>
  <c r="E20" i="12"/>
  <c r="D20" i="12"/>
  <c r="C20" i="12"/>
  <c r="B20" i="12"/>
  <c r="A20" i="12"/>
  <c r="M16" i="12"/>
  <c r="L16" i="12"/>
  <c r="K16" i="12"/>
  <c r="J16" i="12"/>
  <c r="I16" i="12"/>
  <c r="G16" i="12"/>
  <c r="F16" i="12"/>
  <c r="E16" i="12"/>
  <c r="D16" i="12"/>
  <c r="C16" i="12"/>
  <c r="B16" i="12"/>
  <c r="A16" i="12"/>
  <c r="M15" i="12"/>
  <c r="L15" i="12"/>
  <c r="K15" i="12"/>
  <c r="J15" i="12"/>
  <c r="I15" i="12"/>
  <c r="G15" i="12"/>
  <c r="F15" i="12"/>
  <c r="E15" i="12"/>
  <c r="D15" i="12"/>
  <c r="C15" i="12"/>
  <c r="B15" i="12"/>
  <c r="A15" i="12"/>
  <c r="M14" i="12"/>
  <c r="L14" i="12"/>
  <c r="K14" i="12"/>
  <c r="J14" i="12"/>
  <c r="I14" i="12"/>
  <c r="G14" i="12"/>
  <c r="F14" i="12"/>
  <c r="E14" i="12"/>
  <c r="D14" i="12"/>
  <c r="C14" i="12"/>
  <c r="B14" i="12"/>
  <c r="A14" i="12"/>
  <c r="M13" i="12"/>
  <c r="L13" i="12"/>
  <c r="K13" i="12"/>
  <c r="J13" i="12"/>
  <c r="I13" i="12"/>
  <c r="G13" i="12"/>
  <c r="F13" i="12"/>
  <c r="E13" i="12"/>
  <c r="D13" i="12"/>
  <c r="C13" i="12"/>
  <c r="B13" i="12"/>
  <c r="A13" i="12"/>
  <c r="M12" i="12"/>
  <c r="L12" i="12"/>
  <c r="K12" i="12"/>
  <c r="J12" i="12"/>
  <c r="I12" i="12"/>
  <c r="G12" i="12"/>
  <c r="F12" i="12"/>
  <c r="E12" i="12"/>
  <c r="D12" i="12"/>
  <c r="C12" i="12"/>
  <c r="B12" i="12"/>
  <c r="A12" i="12"/>
  <c r="M11" i="12"/>
  <c r="L11" i="12"/>
  <c r="K11" i="12"/>
  <c r="J11" i="12"/>
  <c r="I11" i="12"/>
  <c r="G11" i="12"/>
  <c r="F11" i="12"/>
  <c r="E11" i="12"/>
  <c r="D11" i="12"/>
  <c r="C11" i="12"/>
  <c r="B11" i="12"/>
  <c r="A11" i="12"/>
  <c r="M10" i="12"/>
  <c r="L10" i="12"/>
  <c r="K10" i="12"/>
  <c r="J10" i="12"/>
  <c r="I10" i="12"/>
  <c r="G10" i="12"/>
  <c r="F10" i="12"/>
  <c r="E10" i="12"/>
  <c r="D10" i="12"/>
  <c r="C10" i="12"/>
  <c r="B10" i="12"/>
  <c r="A10" i="12"/>
  <c r="M9" i="12"/>
  <c r="L9" i="12"/>
  <c r="K9" i="12"/>
  <c r="J9" i="12"/>
  <c r="I9" i="12"/>
  <c r="G9" i="12"/>
  <c r="F9" i="12"/>
  <c r="E9" i="12"/>
  <c r="D9" i="12"/>
  <c r="C9" i="12"/>
  <c r="B9" i="12"/>
  <c r="A9" i="12"/>
  <c r="M8" i="12"/>
  <c r="L8" i="12"/>
  <c r="K8" i="12"/>
  <c r="J8" i="12"/>
  <c r="I8" i="12"/>
  <c r="G8" i="12"/>
  <c r="F8" i="12"/>
  <c r="E8" i="12"/>
  <c r="D8" i="12"/>
  <c r="C8" i="12"/>
  <c r="B8" i="12"/>
  <c r="A8" i="12"/>
  <c r="M7" i="12"/>
  <c r="L7" i="12"/>
  <c r="K7" i="12"/>
  <c r="J7" i="12"/>
  <c r="I7" i="12"/>
  <c r="G7" i="12"/>
  <c r="F7" i="12"/>
  <c r="E7" i="12"/>
  <c r="D7" i="12"/>
  <c r="C7" i="12"/>
  <c r="B7" i="12"/>
  <c r="A7" i="12"/>
  <c r="M6" i="12"/>
  <c r="L6" i="12"/>
  <c r="K6" i="12"/>
  <c r="J6" i="12"/>
  <c r="I6" i="12"/>
  <c r="G6" i="12"/>
  <c r="F6" i="12"/>
  <c r="E6" i="12"/>
  <c r="D6" i="12"/>
  <c r="C6" i="12"/>
  <c r="B6" i="12"/>
  <c r="A6" i="12"/>
  <c r="M5" i="12"/>
  <c r="L5" i="12"/>
  <c r="K5" i="12"/>
  <c r="J5" i="12"/>
  <c r="I5" i="12"/>
  <c r="G5" i="12"/>
  <c r="F5" i="12"/>
  <c r="E5" i="12"/>
  <c r="D5" i="12"/>
  <c r="C5" i="12"/>
  <c r="B5" i="12"/>
  <c r="A5" i="12"/>
  <c r="F51" i="11"/>
  <c r="E51" i="11"/>
  <c r="D51" i="11"/>
  <c r="C51" i="11"/>
  <c r="B51" i="11"/>
  <c r="A51" i="11"/>
  <c r="F50" i="11"/>
  <c r="E50" i="11"/>
  <c r="D50" i="11"/>
  <c r="C50" i="11"/>
  <c r="B50" i="11"/>
  <c r="A50" i="11"/>
  <c r="F49" i="11"/>
  <c r="E49" i="11"/>
  <c r="D49" i="11"/>
  <c r="C49" i="11"/>
  <c r="B49" i="11"/>
  <c r="A49" i="11"/>
  <c r="F48" i="11"/>
  <c r="E48" i="11"/>
  <c r="D48" i="11"/>
  <c r="C48" i="11"/>
  <c r="B48" i="11"/>
  <c r="A48" i="11"/>
  <c r="F47" i="11"/>
  <c r="E47" i="11"/>
  <c r="D47" i="11"/>
  <c r="C47" i="11"/>
  <c r="B47" i="11"/>
  <c r="A47" i="11"/>
  <c r="F46" i="11"/>
  <c r="E46" i="11"/>
  <c r="D46" i="11"/>
  <c r="C46" i="11"/>
  <c r="B46" i="11"/>
  <c r="A46" i="11"/>
  <c r="F45" i="11"/>
  <c r="E45" i="11"/>
  <c r="D45" i="11"/>
  <c r="C45" i="11"/>
  <c r="B45" i="11"/>
  <c r="A45" i="11"/>
  <c r="F44" i="11"/>
  <c r="E44" i="11"/>
  <c r="D44" i="11"/>
  <c r="C44" i="11"/>
  <c r="B44" i="11"/>
  <c r="A44" i="11"/>
  <c r="F43" i="11"/>
  <c r="E43" i="11"/>
  <c r="D43" i="11"/>
  <c r="C43" i="11"/>
  <c r="B43" i="11"/>
  <c r="A43" i="11"/>
  <c r="F42" i="11"/>
  <c r="E42" i="11"/>
  <c r="D42" i="11"/>
  <c r="C42" i="11"/>
  <c r="B42" i="11"/>
  <c r="A42" i="11"/>
  <c r="F41" i="11"/>
  <c r="E41" i="11"/>
  <c r="D41" i="11"/>
  <c r="C41" i="11"/>
  <c r="B41" i="11"/>
  <c r="A41" i="11"/>
  <c r="F40" i="11"/>
  <c r="E40" i="11"/>
  <c r="D40" i="11"/>
  <c r="C40" i="11"/>
  <c r="B40" i="11"/>
  <c r="A40" i="11"/>
  <c r="F39" i="11"/>
  <c r="E39" i="11"/>
  <c r="D39" i="11"/>
  <c r="C39" i="11"/>
  <c r="B39" i="11"/>
  <c r="A39" i="11"/>
  <c r="F38" i="11"/>
  <c r="E38" i="11"/>
  <c r="D38" i="11"/>
  <c r="C38" i="11"/>
  <c r="B38" i="11"/>
  <c r="A38" i="11"/>
  <c r="F37" i="11"/>
  <c r="E37" i="11"/>
  <c r="D37" i="11"/>
  <c r="C37" i="11"/>
  <c r="B37" i="11"/>
  <c r="A37" i="11"/>
  <c r="F36" i="11"/>
  <c r="E36" i="11"/>
  <c r="D36" i="11"/>
  <c r="C36" i="11"/>
  <c r="B36" i="11"/>
  <c r="A36" i="11"/>
  <c r="F35" i="11"/>
  <c r="E35" i="11"/>
  <c r="D35" i="11"/>
  <c r="C35" i="11"/>
  <c r="B35" i="11"/>
  <c r="A35" i="11"/>
  <c r="F34" i="11"/>
  <c r="E34" i="11"/>
  <c r="D34" i="11"/>
  <c r="C34" i="11"/>
  <c r="B34" i="11"/>
  <c r="A34" i="11"/>
  <c r="F33" i="11"/>
  <c r="E33" i="11"/>
  <c r="D33" i="11"/>
  <c r="C33" i="11"/>
  <c r="B33" i="11"/>
  <c r="A33" i="11"/>
  <c r="F32" i="11"/>
  <c r="E32" i="11"/>
  <c r="D32" i="11"/>
  <c r="C32" i="11"/>
  <c r="B32" i="11"/>
  <c r="A32" i="11"/>
  <c r="F31" i="11"/>
  <c r="E31" i="11"/>
  <c r="D31" i="11"/>
  <c r="C31" i="11"/>
  <c r="B31" i="11"/>
  <c r="A31" i="11"/>
  <c r="M27" i="11"/>
  <c r="L27" i="11"/>
  <c r="K27" i="11"/>
  <c r="J27" i="11"/>
  <c r="I27" i="11"/>
  <c r="G27" i="11"/>
  <c r="F27" i="11"/>
  <c r="E27" i="11"/>
  <c r="D27" i="11"/>
  <c r="C27" i="11"/>
  <c r="B27" i="11"/>
  <c r="A27" i="11"/>
  <c r="M26" i="11"/>
  <c r="L26" i="11"/>
  <c r="K26" i="11"/>
  <c r="J26" i="11"/>
  <c r="I26" i="11"/>
  <c r="G26" i="11"/>
  <c r="F26" i="11"/>
  <c r="E26" i="11"/>
  <c r="D26" i="11"/>
  <c r="C26" i="11"/>
  <c r="B26" i="11"/>
  <c r="A26" i="11"/>
  <c r="M25" i="11"/>
  <c r="L25" i="11"/>
  <c r="K25" i="11"/>
  <c r="J25" i="11"/>
  <c r="I25" i="11"/>
  <c r="G25" i="11"/>
  <c r="F25" i="11"/>
  <c r="E25" i="11"/>
  <c r="D25" i="11"/>
  <c r="C25" i="11"/>
  <c r="B25" i="11"/>
  <c r="A25" i="11"/>
  <c r="M24" i="11"/>
  <c r="L24" i="11"/>
  <c r="K24" i="11"/>
  <c r="J24" i="11"/>
  <c r="I24" i="11"/>
  <c r="G24" i="11"/>
  <c r="F24" i="11"/>
  <c r="E24" i="11"/>
  <c r="D24" i="11"/>
  <c r="C24" i="11"/>
  <c r="B24" i="11"/>
  <c r="A24" i="11"/>
  <c r="M23" i="11"/>
  <c r="L23" i="11"/>
  <c r="K23" i="11"/>
  <c r="J23" i="11"/>
  <c r="I23" i="11"/>
  <c r="G23" i="11"/>
  <c r="F23" i="11"/>
  <c r="E23" i="11"/>
  <c r="D23" i="11"/>
  <c r="C23" i="11"/>
  <c r="B23" i="11"/>
  <c r="A23" i="11"/>
  <c r="M22" i="11"/>
  <c r="L22" i="11"/>
  <c r="K22" i="11"/>
  <c r="J22" i="11"/>
  <c r="I22" i="11"/>
  <c r="G22" i="11"/>
  <c r="F22" i="11"/>
  <c r="E22" i="11"/>
  <c r="D22" i="11"/>
  <c r="C22" i="11"/>
  <c r="B22" i="11"/>
  <c r="A22" i="11"/>
  <c r="M21" i="11"/>
  <c r="L21" i="11"/>
  <c r="K21" i="11"/>
  <c r="J21" i="11"/>
  <c r="I21" i="11"/>
  <c r="G21" i="11"/>
  <c r="F21" i="11"/>
  <c r="E21" i="11"/>
  <c r="D21" i="11"/>
  <c r="C21" i="11"/>
  <c r="B21" i="11"/>
  <c r="A21" i="11"/>
  <c r="M20" i="11"/>
  <c r="L20" i="11"/>
  <c r="K20" i="11"/>
  <c r="J20" i="11"/>
  <c r="I20" i="11"/>
  <c r="G20" i="11"/>
  <c r="F20" i="11"/>
  <c r="E20" i="11"/>
  <c r="D20" i="11"/>
  <c r="C20" i="11"/>
  <c r="B20" i="11"/>
  <c r="A20" i="11"/>
  <c r="M19" i="11"/>
  <c r="L19" i="11"/>
  <c r="K19" i="11"/>
  <c r="J19" i="11"/>
  <c r="I19" i="11"/>
  <c r="G19" i="11"/>
  <c r="F19" i="11"/>
  <c r="E19" i="11"/>
  <c r="D19" i="11"/>
  <c r="C19" i="11"/>
  <c r="B19" i="11"/>
  <c r="A19" i="11"/>
  <c r="M18" i="11"/>
  <c r="L18" i="11"/>
  <c r="K18" i="11"/>
  <c r="J18" i="11"/>
  <c r="I18" i="11"/>
  <c r="G18" i="11"/>
  <c r="F18" i="11"/>
  <c r="E18" i="11"/>
  <c r="D18" i="11"/>
  <c r="C18" i="11"/>
  <c r="B18" i="11"/>
  <c r="A18" i="11"/>
  <c r="M17" i="11"/>
  <c r="L17" i="11"/>
  <c r="K17" i="11"/>
  <c r="J17" i="11"/>
  <c r="I17" i="11"/>
  <c r="G17" i="11"/>
  <c r="F17" i="11"/>
  <c r="E17" i="11"/>
  <c r="D17" i="11"/>
  <c r="C17" i="11"/>
  <c r="B17" i="11"/>
  <c r="A17" i="11"/>
  <c r="M16" i="11"/>
  <c r="L16" i="11"/>
  <c r="K16" i="11"/>
  <c r="J16" i="11"/>
  <c r="I16" i="11"/>
  <c r="G16" i="11"/>
  <c r="F16" i="11"/>
  <c r="E16" i="11"/>
  <c r="D16" i="11"/>
  <c r="C16" i="11"/>
  <c r="B16" i="11"/>
  <c r="A16" i="11"/>
  <c r="M15" i="11"/>
  <c r="L15" i="11"/>
  <c r="K15" i="11"/>
  <c r="J15" i="11"/>
  <c r="I15" i="11"/>
  <c r="G15" i="11"/>
  <c r="F15" i="11"/>
  <c r="E15" i="11"/>
  <c r="D15" i="11"/>
  <c r="C15" i="11"/>
  <c r="B15" i="11"/>
  <c r="A15" i="11"/>
  <c r="M14" i="11"/>
  <c r="L14" i="11"/>
  <c r="K14" i="11"/>
  <c r="J14" i="11"/>
  <c r="I14" i="11"/>
  <c r="G14" i="11"/>
  <c r="F14" i="11"/>
  <c r="E14" i="11"/>
  <c r="D14" i="11"/>
  <c r="C14" i="11"/>
  <c r="B14" i="11"/>
  <c r="A14" i="11"/>
  <c r="M13" i="11"/>
  <c r="L13" i="11"/>
  <c r="K13" i="11"/>
  <c r="J13" i="11"/>
  <c r="I13" i="11"/>
  <c r="G13" i="11"/>
  <c r="F13" i="11"/>
  <c r="E13" i="11"/>
  <c r="D13" i="11"/>
  <c r="C13" i="11"/>
  <c r="B13" i="11"/>
  <c r="A13" i="11"/>
  <c r="M12" i="11"/>
  <c r="L12" i="11"/>
  <c r="K12" i="11"/>
  <c r="J12" i="11"/>
  <c r="I12" i="11"/>
  <c r="G12" i="11"/>
  <c r="F12" i="11"/>
  <c r="E12" i="11"/>
  <c r="D12" i="11"/>
  <c r="C12" i="11"/>
  <c r="B12" i="11"/>
  <c r="A12" i="11"/>
  <c r="M11" i="11"/>
  <c r="L11" i="11"/>
  <c r="K11" i="11"/>
  <c r="J11" i="11"/>
  <c r="I11" i="11"/>
  <c r="G11" i="11"/>
  <c r="F11" i="11"/>
  <c r="E11" i="11"/>
  <c r="D11" i="11"/>
  <c r="C11" i="11"/>
  <c r="B11" i="11"/>
  <c r="A11" i="11"/>
  <c r="M10" i="11"/>
  <c r="L10" i="11"/>
  <c r="K10" i="11"/>
  <c r="J10" i="11"/>
  <c r="I10" i="11"/>
  <c r="G10" i="11"/>
  <c r="F10" i="11"/>
  <c r="E10" i="11"/>
  <c r="D10" i="11"/>
  <c r="C10" i="11"/>
  <c r="B10" i="11"/>
  <c r="A10" i="11"/>
  <c r="M9" i="11"/>
  <c r="L9" i="11"/>
  <c r="K9" i="11"/>
  <c r="J9" i="11"/>
  <c r="I9" i="11"/>
  <c r="G9" i="11"/>
  <c r="F9" i="11"/>
  <c r="E9" i="11"/>
  <c r="D9" i="11"/>
  <c r="C9" i="11"/>
  <c r="B9" i="11"/>
  <c r="A9" i="11"/>
  <c r="M8" i="11"/>
  <c r="L8" i="11"/>
  <c r="K8" i="11"/>
  <c r="J8" i="11"/>
  <c r="I8" i="11"/>
  <c r="G8" i="11"/>
  <c r="F8" i="11"/>
  <c r="E8" i="11"/>
  <c r="D8" i="11"/>
  <c r="C8" i="11"/>
  <c r="B8" i="11"/>
  <c r="A8" i="11"/>
  <c r="M7" i="11"/>
  <c r="L7" i="11"/>
  <c r="K7" i="11"/>
  <c r="J7" i="11"/>
  <c r="I7" i="11"/>
  <c r="G7" i="11"/>
  <c r="F7" i="11"/>
  <c r="E7" i="11"/>
  <c r="D7" i="11"/>
  <c r="C7" i="11"/>
  <c r="B7" i="11"/>
  <c r="A7" i="11"/>
  <c r="M6" i="11"/>
  <c r="L6" i="11"/>
  <c r="K6" i="11"/>
  <c r="J6" i="11"/>
  <c r="I6" i="11"/>
  <c r="G6" i="11"/>
  <c r="F6" i="11"/>
  <c r="E6" i="11"/>
  <c r="D6" i="11"/>
  <c r="C6" i="11"/>
  <c r="B6" i="11"/>
  <c r="A6" i="11"/>
  <c r="M5" i="11"/>
  <c r="L5" i="11"/>
  <c r="K5" i="11"/>
  <c r="J5" i="11"/>
  <c r="I5" i="11"/>
  <c r="G5" i="11"/>
  <c r="F5" i="11"/>
  <c r="E5" i="11"/>
  <c r="D5" i="11"/>
  <c r="C5" i="11"/>
  <c r="B5" i="11"/>
  <c r="A5" i="11"/>
  <c r="F49" i="10"/>
  <c r="E49" i="10"/>
  <c r="D49" i="10"/>
  <c r="C49" i="10"/>
  <c r="B49" i="10"/>
  <c r="A49" i="10"/>
  <c r="F48" i="10"/>
  <c r="E48" i="10"/>
  <c r="D48" i="10"/>
  <c r="C48" i="10"/>
  <c r="B48" i="10"/>
  <c r="A48" i="10"/>
  <c r="F47" i="10"/>
  <c r="E47" i="10"/>
  <c r="D47" i="10"/>
  <c r="C47" i="10"/>
  <c r="B47" i="10"/>
  <c r="A47" i="10"/>
  <c r="F46" i="10"/>
  <c r="E46" i="10"/>
  <c r="D46" i="10"/>
  <c r="C46" i="10"/>
  <c r="B46" i="10"/>
  <c r="A46" i="10"/>
  <c r="F45" i="10"/>
  <c r="E45" i="10"/>
  <c r="D45" i="10"/>
  <c r="C45" i="10"/>
  <c r="B45" i="10"/>
  <c r="A45" i="10"/>
  <c r="F44" i="10"/>
  <c r="E44" i="10"/>
  <c r="D44" i="10"/>
  <c r="C44" i="10"/>
  <c r="B44" i="10"/>
  <c r="A44" i="10"/>
  <c r="F43" i="10"/>
  <c r="E43" i="10"/>
  <c r="D43" i="10"/>
  <c r="C43" i="10"/>
  <c r="B43" i="10"/>
  <c r="A43" i="10"/>
  <c r="F42" i="10"/>
  <c r="E42" i="10"/>
  <c r="D42" i="10"/>
  <c r="C42" i="10"/>
  <c r="B42" i="10"/>
  <c r="A42" i="10"/>
  <c r="F41" i="10"/>
  <c r="E41" i="10"/>
  <c r="D41" i="10"/>
  <c r="C41" i="10"/>
  <c r="B41" i="10"/>
  <c r="A41" i="10"/>
  <c r="F40" i="10"/>
  <c r="E40" i="10"/>
  <c r="D40" i="10"/>
  <c r="C40" i="10"/>
  <c r="B40" i="10"/>
  <c r="A40" i="10"/>
  <c r="F39" i="10"/>
  <c r="E39" i="10"/>
  <c r="D39" i="10"/>
  <c r="C39" i="10"/>
  <c r="B39" i="10"/>
  <c r="A39" i="10"/>
  <c r="F38" i="10"/>
  <c r="E38" i="10"/>
  <c r="D38" i="10"/>
  <c r="C38" i="10"/>
  <c r="B38" i="10"/>
  <c r="A38" i="10"/>
  <c r="F37" i="10"/>
  <c r="E37" i="10"/>
  <c r="D37" i="10"/>
  <c r="C37" i="10"/>
  <c r="B37" i="10"/>
  <c r="A37" i="10"/>
  <c r="F36" i="10"/>
  <c r="E36" i="10"/>
  <c r="D36" i="10"/>
  <c r="C36" i="10"/>
  <c r="B36" i="10"/>
  <c r="A36" i="10"/>
  <c r="F35" i="10"/>
  <c r="E35" i="10"/>
  <c r="D35" i="10"/>
  <c r="C35" i="10"/>
  <c r="B35" i="10"/>
  <c r="A35" i="10"/>
  <c r="F34" i="10"/>
  <c r="E34" i="10"/>
  <c r="D34" i="10"/>
  <c r="C34" i="10"/>
  <c r="B34" i="10"/>
  <c r="A34" i="10"/>
  <c r="F33" i="10"/>
  <c r="E33" i="10"/>
  <c r="D33" i="10"/>
  <c r="C33" i="10"/>
  <c r="B33" i="10"/>
  <c r="A33" i="10"/>
  <c r="F32" i="10"/>
  <c r="E32" i="10"/>
  <c r="D32" i="10"/>
  <c r="C32" i="10"/>
  <c r="B32" i="10"/>
  <c r="A32" i="10"/>
  <c r="F31" i="10"/>
  <c r="E31" i="10"/>
  <c r="D31" i="10"/>
  <c r="C31" i="10"/>
  <c r="B31" i="10"/>
  <c r="A31" i="10"/>
  <c r="F30" i="10"/>
  <c r="E30" i="10"/>
  <c r="D30" i="10"/>
  <c r="C30" i="10"/>
  <c r="B30" i="10"/>
  <c r="A30" i="10"/>
  <c r="F29" i="10"/>
  <c r="E29" i="10"/>
  <c r="D29" i="10"/>
  <c r="C29" i="10"/>
  <c r="B29" i="10"/>
  <c r="A29" i="10"/>
  <c r="F28" i="10"/>
  <c r="E28" i="10"/>
  <c r="D28" i="10"/>
  <c r="C28" i="10"/>
  <c r="B28" i="10"/>
  <c r="A28" i="10"/>
  <c r="F27" i="10"/>
  <c r="E27" i="10"/>
  <c r="D27" i="10"/>
  <c r="C27" i="10"/>
  <c r="B27" i="10"/>
  <c r="A27" i="10"/>
  <c r="F26" i="10"/>
  <c r="E26" i="10"/>
  <c r="D26" i="10"/>
  <c r="C26" i="10"/>
  <c r="B26" i="10"/>
  <c r="A26" i="10"/>
  <c r="M22" i="10"/>
  <c r="L22" i="10"/>
  <c r="K22" i="10"/>
  <c r="J22" i="10"/>
  <c r="I22" i="10"/>
  <c r="G22" i="10"/>
  <c r="F22" i="10"/>
  <c r="E22" i="10"/>
  <c r="D22" i="10"/>
  <c r="C22" i="10"/>
  <c r="B22" i="10"/>
  <c r="A22" i="10"/>
  <c r="M21" i="10"/>
  <c r="L21" i="10"/>
  <c r="K21" i="10"/>
  <c r="J21" i="10"/>
  <c r="I21" i="10"/>
  <c r="G21" i="10"/>
  <c r="F21" i="10"/>
  <c r="E21" i="10"/>
  <c r="D21" i="10"/>
  <c r="C21" i="10"/>
  <c r="B21" i="10"/>
  <c r="A21" i="10"/>
  <c r="M20" i="10"/>
  <c r="L20" i="10"/>
  <c r="K20" i="10"/>
  <c r="J20" i="10"/>
  <c r="I20" i="10"/>
  <c r="G20" i="10"/>
  <c r="F20" i="10"/>
  <c r="E20" i="10"/>
  <c r="D20" i="10"/>
  <c r="C20" i="10"/>
  <c r="B20" i="10"/>
  <c r="A20" i="10"/>
  <c r="M19" i="10"/>
  <c r="L19" i="10"/>
  <c r="K19" i="10"/>
  <c r="J19" i="10"/>
  <c r="I19" i="10"/>
  <c r="G19" i="10"/>
  <c r="F19" i="10"/>
  <c r="E19" i="10"/>
  <c r="D19" i="10"/>
  <c r="C19" i="10"/>
  <c r="B19" i="10"/>
  <c r="A19" i="10"/>
  <c r="M18" i="10"/>
  <c r="L18" i="10"/>
  <c r="K18" i="10"/>
  <c r="J18" i="10"/>
  <c r="I18" i="10"/>
  <c r="G18" i="10"/>
  <c r="F18" i="10"/>
  <c r="E18" i="10"/>
  <c r="D18" i="10"/>
  <c r="C18" i="10"/>
  <c r="B18" i="10"/>
  <c r="A18" i="10"/>
  <c r="M17" i="10"/>
  <c r="L17" i="10"/>
  <c r="K17" i="10"/>
  <c r="J17" i="10"/>
  <c r="I17" i="10"/>
  <c r="G17" i="10"/>
  <c r="F17" i="10"/>
  <c r="E17" i="10"/>
  <c r="D17" i="10"/>
  <c r="C17" i="10"/>
  <c r="B17" i="10"/>
  <c r="A17" i="10"/>
  <c r="M16" i="10"/>
  <c r="L16" i="10"/>
  <c r="K16" i="10"/>
  <c r="J16" i="10"/>
  <c r="I16" i="10"/>
  <c r="G16" i="10"/>
  <c r="F16" i="10"/>
  <c r="E16" i="10"/>
  <c r="D16" i="10"/>
  <c r="C16" i="10"/>
  <c r="B16" i="10"/>
  <c r="A16" i="10"/>
  <c r="M15" i="10"/>
  <c r="L15" i="10"/>
  <c r="K15" i="10"/>
  <c r="J15" i="10"/>
  <c r="I15" i="10"/>
  <c r="G15" i="10"/>
  <c r="F15" i="10"/>
  <c r="E15" i="10"/>
  <c r="D15" i="10"/>
  <c r="C15" i="10"/>
  <c r="B15" i="10"/>
  <c r="A15" i="10"/>
  <c r="M14" i="10"/>
  <c r="L14" i="10"/>
  <c r="K14" i="10"/>
  <c r="J14" i="10"/>
  <c r="I14" i="10"/>
  <c r="G14" i="10"/>
  <c r="F14" i="10"/>
  <c r="E14" i="10"/>
  <c r="D14" i="10"/>
  <c r="C14" i="10"/>
  <c r="B14" i="10"/>
  <c r="A14" i="10"/>
  <c r="M13" i="10"/>
  <c r="L13" i="10"/>
  <c r="K13" i="10"/>
  <c r="J13" i="10"/>
  <c r="I13" i="10"/>
  <c r="G13" i="10"/>
  <c r="F13" i="10"/>
  <c r="E13" i="10"/>
  <c r="D13" i="10"/>
  <c r="C13" i="10"/>
  <c r="B13" i="10"/>
  <c r="A13" i="10"/>
  <c r="M12" i="10"/>
  <c r="L12" i="10"/>
  <c r="K12" i="10"/>
  <c r="J12" i="10"/>
  <c r="I12" i="10"/>
  <c r="G12" i="10"/>
  <c r="F12" i="10"/>
  <c r="E12" i="10"/>
  <c r="D12" i="10"/>
  <c r="C12" i="10"/>
  <c r="B12" i="10"/>
  <c r="A12" i="10"/>
  <c r="M11" i="10"/>
  <c r="L11" i="10"/>
  <c r="K11" i="10"/>
  <c r="J11" i="10"/>
  <c r="I11" i="10"/>
  <c r="G11" i="10"/>
  <c r="F11" i="10"/>
  <c r="E11" i="10"/>
  <c r="D11" i="10"/>
  <c r="C11" i="10"/>
  <c r="B11" i="10"/>
  <c r="A11" i="10"/>
  <c r="M10" i="10"/>
  <c r="L10" i="10"/>
  <c r="K10" i="10"/>
  <c r="J10" i="10"/>
  <c r="I10" i="10"/>
  <c r="G10" i="10"/>
  <c r="F10" i="10"/>
  <c r="E10" i="10"/>
  <c r="D10" i="10"/>
  <c r="C10" i="10"/>
  <c r="B10" i="10"/>
  <c r="A10" i="10"/>
  <c r="M9" i="10"/>
  <c r="L9" i="10"/>
  <c r="K9" i="10"/>
  <c r="J9" i="10"/>
  <c r="I9" i="10"/>
  <c r="G9" i="10"/>
  <c r="F9" i="10"/>
  <c r="E9" i="10"/>
  <c r="D9" i="10"/>
  <c r="C9" i="10"/>
  <c r="B9" i="10"/>
  <c r="A9" i="10"/>
  <c r="M8" i="10"/>
  <c r="L8" i="10"/>
  <c r="K8" i="10"/>
  <c r="J8" i="10"/>
  <c r="I8" i="10"/>
  <c r="G8" i="10"/>
  <c r="F8" i="10"/>
  <c r="E8" i="10"/>
  <c r="D8" i="10"/>
  <c r="C8" i="10"/>
  <c r="B8" i="10"/>
  <c r="A8" i="10"/>
  <c r="M7" i="10"/>
  <c r="L7" i="10"/>
  <c r="K7" i="10"/>
  <c r="J7" i="10"/>
  <c r="I7" i="10"/>
  <c r="G7" i="10"/>
  <c r="F7" i="10"/>
  <c r="E7" i="10"/>
  <c r="D7" i="10"/>
  <c r="C7" i="10"/>
  <c r="B7" i="10"/>
  <c r="A7" i="10"/>
  <c r="M6" i="10"/>
  <c r="L6" i="10"/>
  <c r="K6" i="10"/>
  <c r="J6" i="10"/>
  <c r="I6" i="10"/>
  <c r="G6" i="10"/>
  <c r="F6" i="10"/>
  <c r="E6" i="10"/>
  <c r="D6" i="10"/>
  <c r="C6" i="10"/>
  <c r="B6" i="10"/>
  <c r="A6" i="10"/>
  <c r="M5" i="10"/>
  <c r="L5" i="10"/>
  <c r="K5" i="10"/>
  <c r="J5" i="10"/>
  <c r="I5" i="10"/>
  <c r="G5" i="10"/>
  <c r="F5" i="10"/>
  <c r="E5" i="10"/>
  <c r="D5" i="10"/>
  <c r="C5" i="10"/>
  <c r="B5" i="10"/>
  <c r="A5" i="10"/>
  <c r="F40" i="9"/>
  <c r="E40" i="9"/>
  <c r="D40" i="9"/>
  <c r="C40" i="9"/>
  <c r="B40" i="9"/>
  <c r="A40" i="9"/>
  <c r="F39" i="9"/>
  <c r="E39" i="9"/>
  <c r="D39" i="9"/>
  <c r="C39" i="9"/>
  <c r="B39" i="9"/>
  <c r="A39" i="9"/>
  <c r="F38" i="9"/>
  <c r="E38" i="9"/>
  <c r="D38" i="9"/>
  <c r="C38" i="9"/>
  <c r="B38" i="9"/>
  <c r="A38" i="9"/>
  <c r="F37" i="9"/>
  <c r="E37" i="9"/>
  <c r="D37" i="9"/>
  <c r="C37" i="9"/>
  <c r="B37" i="9"/>
  <c r="A37" i="9"/>
  <c r="F36" i="9"/>
  <c r="E36" i="9"/>
  <c r="D36" i="9"/>
  <c r="C36" i="9"/>
  <c r="B36" i="9"/>
  <c r="A36" i="9"/>
  <c r="F35" i="9"/>
  <c r="E35" i="9"/>
  <c r="D35" i="9"/>
  <c r="C35" i="9"/>
  <c r="B35" i="9"/>
  <c r="A35" i="9"/>
  <c r="M31" i="9"/>
  <c r="L31" i="9"/>
  <c r="K31" i="9"/>
  <c r="J31" i="9"/>
  <c r="I31" i="9"/>
  <c r="G31" i="9"/>
  <c r="F31" i="9"/>
  <c r="E31" i="9"/>
  <c r="D31" i="9"/>
  <c r="C31" i="9"/>
  <c r="B31" i="9"/>
  <c r="A31" i="9"/>
  <c r="M30" i="9"/>
  <c r="L30" i="9"/>
  <c r="K30" i="9"/>
  <c r="J30" i="9"/>
  <c r="I30" i="9"/>
  <c r="G30" i="9"/>
  <c r="F30" i="9"/>
  <c r="E30" i="9"/>
  <c r="D30" i="9"/>
  <c r="C30" i="9"/>
  <c r="B30" i="9"/>
  <c r="A30" i="9"/>
  <c r="M29" i="9"/>
  <c r="L29" i="9"/>
  <c r="K29" i="9"/>
  <c r="J29" i="9"/>
  <c r="I29" i="9"/>
  <c r="G29" i="9"/>
  <c r="F29" i="9"/>
  <c r="E29" i="9"/>
  <c r="D29" i="9"/>
  <c r="C29" i="9"/>
  <c r="B29" i="9"/>
  <c r="A29" i="9"/>
  <c r="M28" i="9"/>
  <c r="L28" i="9"/>
  <c r="K28" i="9"/>
  <c r="J28" i="9"/>
  <c r="I28" i="9"/>
  <c r="G28" i="9"/>
  <c r="F28" i="9"/>
  <c r="E28" i="9"/>
  <c r="D28" i="9"/>
  <c r="C28" i="9"/>
  <c r="B28" i="9"/>
  <c r="A28" i="9"/>
  <c r="M27" i="9"/>
  <c r="L27" i="9"/>
  <c r="K27" i="9"/>
  <c r="J27" i="9"/>
  <c r="I27" i="9"/>
  <c r="G27" i="9"/>
  <c r="F27" i="9"/>
  <c r="E27" i="9"/>
  <c r="D27" i="9"/>
  <c r="C27" i="9"/>
  <c r="B27" i="9"/>
  <c r="A27" i="9"/>
  <c r="M26" i="9"/>
  <c r="L26" i="9"/>
  <c r="K26" i="9"/>
  <c r="J26" i="9"/>
  <c r="I26" i="9"/>
  <c r="G26" i="9"/>
  <c r="F26" i="9"/>
  <c r="E26" i="9"/>
  <c r="D26" i="9"/>
  <c r="C26" i="9"/>
  <c r="B26" i="9"/>
  <c r="A26" i="9"/>
  <c r="M25" i="9"/>
  <c r="L25" i="9"/>
  <c r="K25" i="9"/>
  <c r="J25" i="9"/>
  <c r="I25" i="9"/>
  <c r="G25" i="9"/>
  <c r="F25" i="9"/>
  <c r="E25" i="9"/>
  <c r="D25" i="9"/>
  <c r="C25" i="9"/>
  <c r="B25" i="9"/>
  <c r="A25" i="9"/>
  <c r="M24" i="9"/>
  <c r="L24" i="9"/>
  <c r="K24" i="9"/>
  <c r="J24" i="9"/>
  <c r="I24" i="9"/>
  <c r="G24" i="9"/>
  <c r="F24" i="9"/>
  <c r="E24" i="9"/>
  <c r="D24" i="9"/>
  <c r="C24" i="9"/>
  <c r="B24" i="9"/>
  <c r="A24" i="9"/>
  <c r="M23" i="9"/>
  <c r="L23" i="9"/>
  <c r="K23" i="9"/>
  <c r="J23" i="9"/>
  <c r="I23" i="9"/>
  <c r="G23" i="9"/>
  <c r="F23" i="9"/>
  <c r="E23" i="9"/>
  <c r="D23" i="9"/>
  <c r="C23" i="9"/>
  <c r="B23" i="9"/>
  <c r="A23" i="9"/>
  <c r="M22" i="9"/>
  <c r="L22" i="9"/>
  <c r="K22" i="9"/>
  <c r="J22" i="9"/>
  <c r="I22" i="9"/>
  <c r="G22" i="9"/>
  <c r="F22" i="9"/>
  <c r="E22" i="9"/>
  <c r="D22" i="9"/>
  <c r="C22" i="9"/>
  <c r="B22" i="9"/>
  <c r="A22" i="9"/>
  <c r="M21" i="9"/>
  <c r="L21" i="9"/>
  <c r="K21" i="9"/>
  <c r="J21" i="9"/>
  <c r="I21" i="9"/>
  <c r="G21" i="9"/>
  <c r="F21" i="9"/>
  <c r="E21" i="9"/>
  <c r="D21" i="9"/>
  <c r="C21" i="9"/>
  <c r="B21" i="9"/>
  <c r="A21" i="9"/>
  <c r="M20" i="9"/>
  <c r="L20" i="9"/>
  <c r="K20" i="9"/>
  <c r="J20" i="9"/>
  <c r="I20" i="9"/>
  <c r="G20" i="9"/>
  <c r="F20" i="9"/>
  <c r="E20" i="9"/>
  <c r="D20" i="9"/>
  <c r="C20" i="9"/>
  <c r="B20" i="9"/>
  <c r="A20" i="9"/>
  <c r="M19" i="9"/>
  <c r="L19" i="9"/>
  <c r="K19" i="9"/>
  <c r="J19" i="9"/>
  <c r="I19" i="9"/>
  <c r="G19" i="9"/>
  <c r="F19" i="9"/>
  <c r="E19" i="9"/>
  <c r="D19" i="9"/>
  <c r="C19" i="9"/>
  <c r="B19" i="9"/>
  <c r="A19" i="9"/>
  <c r="M18" i="9"/>
  <c r="L18" i="9"/>
  <c r="K18" i="9"/>
  <c r="J18" i="9"/>
  <c r="I18" i="9"/>
  <c r="G18" i="9"/>
  <c r="F18" i="9"/>
  <c r="E18" i="9"/>
  <c r="D18" i="9"/>
  <c r="C18" i="9"/>
  <c r="B18" i="9"/>
  <c r="A18" i="9"/>
  <c r="M17" i="9"/>
  <c r="L17" i="9"/>
  <c r="K17" i="9"/>
  <c r="J17" i="9"/>
  <c r="I17" i="9"/>
  <c r="G17" i="9"/>
  <c r="F17" i="9"/>
  <c r="E17" i="9"/>
  <c r="D17" i="9"/>
  <c r="C17" i="9"/>
  <c r="B17" i="9"/>
  <c r="A17" i="9"/>
  <c r="M16" i="9"/>
  <c r="L16" i="9"/>
  <c r="K16" i="9"/>
  <c r="J16" i="9"/>
  <c r="I16" i="9"/>
  <c r="G16" i="9"/>
  <c r="F16" i="9"/>
  <c r="E16" i="9"/>
  <c r="D16" i="9"/>
  <c r="C16" i="9"/>
  <c r="B16" i="9"/>
  <c r="A16" i="9"/>
  <c r="M15" i="9"/>
  <c r="L15" i="9"/>
  <c r="K15" i="9"/>
  <c r="J15" i="9"/>
  <c r="I15" i="9"/>
  <c r="G15" i="9"/>
  <c r="F15" i="9"/>
  <c r="E15" i="9"/>
  <c r="D15" i="9"/>
  <c r="C15" i="9"/>
  <c r="B15" i="9"/>
  <c r="A15" i="9"/>
  <c r="M14" i="9"/>
  <c r="L14" i="9"/>
  <c r="K14" i="9"/>
  <c r="J14" i="9"/>
  <c r="I14" i="9"/>
  <c r="G14" i="9"/>
  <c r="F14" i="9"/>
  <c r="E14" i="9"/>
  <c r="D14" i="9"/>
  <c r="C14" i="9"/>
  <c r="B14" i="9"/>
  <c r="A14" i="9"/>
  <c r="M13" i="9"/>
  <c r="L13" i="9"/>
  <c r="K13" i="9"/>
  <c r="J13" i="9"/>
  <c r="I13" i="9"/>
  <c r="G13" i="9"/>
  <c r="F13" i="9"/>
  <c r="E13" i="9"/>
  <c r="D13" i="9"/>
  <c r="C13" i="9"/>
  <c r="B13" i="9"/>
  <c r="A13" i="9"/>
  <c r="M12" i="9"/>
  <c r="L12" i="9"/>
  <c r="K12" i="9"/>
  <c r="J12" i="9"/>
  <c r="I12" i="9"/>
  <c r="G12" i="9"/>
  <c r="F12" i="9"/>
  <c r="E12" i="9"/>
  <c r="D12" i="9"/>
  <c r="C12" i="9"/>
  <c r="B12" i="9"/>
  <c r="A12" i="9"/>
  <c r="M11" i="9"/>
  <c r="L11" i="9"/>
  <c r="K11" i="9"/>
  <c r="J11" i="9"/>
  <c r="I11" i="9"/>
  <c r="G11" i="9"/>
  <c r="F11" i="9"/>
  <c r="E11" i="9"/>
  <c r="D11" i="9"/>
  <c r="C11" i="9"/>
  <c r="B11" i="9"/>
  <c r="A11" i="9"/>
  <c r="M10" i="9"/>
  <c r="L10" i="9"/>
  <c r="K10" i="9"/>
  <c r="J10" i="9"/>
  <c r="I10" i="9"/>
  <c r="G10" i="9"/>
  <c r="F10" i="9"/>
  <c r="E10" i="9"/>
  <c r="D10" i="9"/>
  <c r="C10" i="9"/>
  <c r="B10" i="9"/>
  <c r="A10" i="9"/>
  <c r="M9" i="9"/>
  <c r="L9" i="9"/>
  <c r="K9" i="9"/>
  <c r="J9" i="9"/>
  <c r="I9" i="9"/>
  <c r="G9" i="9"/>
  <c r="F9" i="9"/>
  <c r="E9" i="9"/>
  <c r="D9" i="9"/>
  <c r="C9" i="9"/>
  <c r="B9" i="9"/>
  <c r="A9" i="9"/>
  <c r="M8" i="9"/>
  <c r="L8" i="9"/>
  <c r="K8" i="9"/>
  <c r="J8" i="9"/>
  <c r="I8" i="9"/>
  <c r="G8" i="9"/>
  <c r="F8" i="9"/>
  <c r="E8" i="9"/>
  <c r="D8" i="9"/>
  <c r="C8" i="9"/>
  <c r="B8" i="9"/>
  <c r="A8" i="9"/>
  <c r="M7" i="9"/>
  <c r="L7" i="9"/>
  <c r="K7" i="9"/>
  <c r="J7" i="9"/>
  <c r="I7" i="9"/>
  <c r="G7" i="9"/>
  <c r="F7" i="9"/>
  <c r="E7" i="9"/>
  <c r="D7" i="9"/>
  <c r="C7" i="9"/>
  <c r="B7" i="9"/>
  <c r="A7" i="9"/>
  <c r="M6" i="9"/>
  <c r="L6" i="9"/>
  <c r="K6" i="9"/>
  <c r="J6" i="9"/>
  <c r="I6" i="9"/>
  <c r="G6" i="9"/>
  <c r="F6" i="9"/>
  <c r="E6" i="9"/>
  <c r="D6" i="9"/>
  <c r="C6" i="9"/>
  <c r="B6" i="9"/>
  <c r="A6" i="9"/>
  <c r="M5" i="9"/>
  <c r="L5" i="9"/>
  <c r="K5" i="9"/>
  <c r="J5" i="9"/>
  <c r="I5" i="9"/>
  <c r="G5" i="9"/>
  <c r="F5" i="9"/>
  <c r="E5" i="9"/>
  <c r="D5" i="9"/>
  <c r="C5" i="9"/>
  <c r="B5" i="9"/>
  <c r="A5" i="9"/>
  <c r="H24" i="7"/>
  <c r="F24" i="7"/>
  <c r="H23" i="7"/>
  <c r="F23" i="7"/>
  <c r="H22" i="7"/>
  <c r="F22" i="7"/>
  <c r="H21" i="7"/>
  <c r="F21" i="7"/>
  <c r="H20" i="7"/>
  <c r="F20" i="7"/>
  <c r="H19" i="7"/>
  <c r="F19" i="7"/>
  <c r="H18" i="7"/>
  <c r="F18" i="7"/>
  <c r="H17" i="7"/>
  <c r="F17" i="7"/>
  <c r="H16" i="7"/>
  <c r="F16" i="7"/>
  <c r="H15" i="7"/>
  <c r="F15" i="7"/>
  <c r="H14" i="7"/>
  <c r="F14" i="7"/>
  <c r="H13" i="7"/>
  <c r="F13" i="7"/>
  <c r="H12" i="7"/>
  <c r="F12" i="7"/>
  <c r="H11" i="7"/>
  <c r="F11" i="7"/>
  <c r="H10" i="7"/>
  <c r="F10" i="7"/>
  <c r="H9" i="7"/>
  <c r="F9" i="7"/>
  <c r="H8" i="7"/>
  <c r="F8" i="7"/>
  <c r="H7" i="7"/>
  <c r="F7" i="7"/>
  <c r="H6" i="7"/>
  <c r="F6" i="7"/>
  <c r="H5" i="7"/>
  <c r="F5" i="7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130" i="5"/>
  <c r="E130" i="5"/>
  <c r="D130" i="5"/>
  <c r="C130" i="5"/>
  <c r="B130" i="5"/>
  <c r="A130" i="5"/>
  <c r="F129" i="5"/>
  <c r="E129" i="5"/>
  <c r="D129" i="5"/>
  <c r="C129" i="5"/>
  <c r="B129" i="5"/>
  <c r="A129" i="5"/>
  <c r="F128" i="5"/>
  <c r="E128" i="5"/>
  <c r="D128" i="5"/>
  <c r="C128" i="5"/>
  <c r="B128" i="5"/>
  <c r="A128" i="5"/>
  <c r="F127" i="5"/>
  <c r="E127" i="5"/>
  <c r="D127" i="5"/>
  <c r="C127" i="5"/>
  <c r="B127" i="5"/>
  <c r="A127" i="5"/>
  <c r="F126" i="5"/>
  <c r="E126" i="5"/>
  <c r="D126" i="5"/>
  <c r="C126" i="5"/>
  <c r="B126" i="5"/>
  <c r="A126" i="5"/>
  <c r="F125" i="5"/>
  <c r="E125" i="5"/>
  <c r="D125" i="5"/>
  <c r="C125" i="5"/>
  <c r="B125" i="5"/>
  <c r="A125" i="5"/>
  <c r="F124" i="5"/>
  <c r="E124" i="5"/>
  <c r="D124" i="5"/>
  <c r="C124" i="5"/>
  <c r="B124" i="5"/>
  <c r="A124" i="5"/>
  <c r="F123" i="5"/>
  <c r="E123" i="5"/>
  <c r="D123" i="5"/>
  <c r="C123" i="5"/>
  <c r="B123" i="5"/>
  <c r="A123" i="5"/>
  <c r="F122" i="5"/>
  <c r="E122" i="5"/>
  <c r="D122" i="5"/>
  <c r="C122" i="5"/>
  <c r="B122" i="5"/>
  <c r="A122" i="5"/>
  <c r="F121" i="5"/>
  <c r="E121" i="5"/>
  <c r="D121" i="5"/>
  <c r="C121" i="5"/>
  <c r="B121" i="5"/>
  <c r="A121" i="5"/>
  <c r="F120" i="5"/>
  <c r="E120" i="5"/>
  <c r="D120" i="5"/>
  <c r="C120" i="5"/>
  <c r="B120" i="5"/>
  <c r="A120" i="5"/>
  <c r="F119" i="5"/>
  <c r="E119" i="5"/>
  <c r="D119" i="5"/>
  <c r="C119" i="5"/>
  <c r="B119" i="5"/>
  <c r="A119" i="5"/>
  <c r="F118" i="5"/>
  <c r="E118" i="5"/>
  <c r="D118" i="5"/>
  <c r="C118" i="5"/>
  <c r="B118" i="5"/>
  <c r="A118" i="5"/>
  <c r="F117" i="5"/>
  <c r="E117" i="5"/>
  <c r="D117" i="5"/>
  <c r="C117" i="5"/>
  <c r="B117" i="5"/>
  <c r="A117" i="5"/>
  <c r="F116" i="5"/>
  <c r="E116" i="5"/>
  <c r="D116" i="5"/>
  <c r="C116" i="5"/>
  <c r="B116" i="5"/>
  <c r="A116" i="5"/>
  <c r="F115" i="5"/>
  <c r="E115" i="5"/>
  <c r="D115" i="5"/>
  <c r="C115" i="5"/>
  <c r="B115" i="5"/>
  <c r="A115" i="5"/>
  <c r="F114" i="5"/>
  <c r="E114" i="5"/>
  <c r="D114" i="5"/>
  <c r="C114" i="5"/>
  <c r="B114" i="5"/>
  <c r="A114" i="5"/>
  <c r="F113" i="5"/>
  <c r="E113" i="5"/>
  <c r="D113" i="5"/>
  <c r="C113" i="5"/>
  <c r="B113" i="5"/>
  <c r="A113" i="5"/>
  <c r="F112" i="5"/>
  <c r="E112" i="5"/>
  <c r="D112" i="5"/>
  <c r="C112" i="5"/>
  <c r="B112" i="5"/>
  <c r="A112" i="5"/>
  <c r="F111" i="5"/>
  <c r="E111" i="5"/>
  <c r="D111" i="5"/>
  <c r="C111" i="5"/>
  <c r="B111" i="5"/>
  <c r="A111" i="5"/>
  <c r="F110" i="5"/>
  <c r="E110" i="5"/>
  <c r="D110" i="5"/>
  <c r="C110" i="5"/>
  <c r="B110" i="5"/>
  <c r="A110" i="5"/>
  <c r="F109" i="5"/>
  <c r="E109" i="5"/>
  <c r="D109" i="5"/>
  <c r="C109" i="5"/>
  <c r="B109" i="5"/>
  <c r="A109" i="5"/>
  <c r="F108" i="5"/>
  <c r="E108" i="5"/>
  <c r="D108" i="5"/>
  <c r="C108" i="5"/>
  <c r="B108" i="5"/>
  <c r="A108" i="5"/>
  <c r="F107" i="5"/>
  <c r="E107" i="5"/>
  <c r="D107" i="5"/>
  <c r="C107" i="5"/>
  <c r="B107" i="5"/>
  <c r="A107" i="5"/>
  <c r="F106" i="5"/>
  <c r="E106" i="5"/>
  <c r="D106" i="5"/>
  <c r="C106" i="5"/>
  <c r="B106" i="5"/>
  <c r="A106" i="5"/>
  <c r="F105" i="5"/>
  <c r="E105" i="5"/>
  <c r="D105" i="5"/>
  <c r="C105" i="5"/>
  <c r="B105" i="5"/>
  <c r="A105" i="5"/>
  <c r="F104" i="5"/>
  <c r="E104" i="5"/>
  <c r="D104" i="5"/>
  <c r="C104" i="5"/>
  <c r="B104" i="5"/>
  <c r="A104" i="5"/>
  <c r="F103" i="5"/>
  <c r="E103" i="5"/>
  <c r="D103" i="5"/>
  <c r="C103" i="5"/>
  <c r="B103" i="5"/>
  <c r="A103" i="5"/>
  <c r="F102" i="5"/>
  <c r="E102" i="5"/>
  <c r="D102" i="5"/>
  <c r="C102" i="5"/>
  <c r="B102" i="5"/>
  <c r="A102" i="5"/>
  <c r="F101" i="5"/>
  <c r="E101" i="5"/>
  <c r="D101" i="5"/>
  <c r="C101" i="5"/>
  <c r="B101" i="5"/>
  <c r="A101" i="5"/>
  <c r="F100" i="5"/>
  <c r="E100" i="5"/>
  <c r="D100" i="5"/>
  <c r="C100" i="5"/>
  <c r="B100" i="5"/>
  <c r="A100" i="5"/>
  <c r="F99" i="5"/>
  <c r="E99" i="5"/>
  <c r="D99" i="5"/>
  <c r="C99" i="5"/>
  <c r="B99" i="5"/>
  <c r="A99" i="5"/>
  <c r="F98" i="5"/>
  <c r="E98" i="5"/>
  <c r="D98" i="5"/>
  <c r="C98" i="5"/>
  <c r="B98" i="5"/>
  <c r="A98" i="5"/>
  <c r="F97" i="5"/>
  <c r="E97" i="5"/>
  <c r="D97" i="5"/>
  <c r="C97" i="5"/>
  <c r="B97" i="5"/>
  <c r="A97" i="5"/>
  <c r="F96" i="5"/>
  <c r="E96" i="5"/>
  <c r="D96" i="5"/>
  <c r="C96" i="5"/>
  <c r="B96" i="5"/>
  <c r="A96" i="5"/>
  <c r="F95" i="5"/>
  <c r="E95" i="5"/>
  <c r="D95" i="5"/>
  <c r="C95" i="5"/>
  <c r="B95" i="5"/>
  <c r="A95" i="5"/>
  <c r="F94" i="5"/>
  <c r="E94" i="5"/>
  <c r="D94" i="5"/>
  <c r="C94" i="5"/>
  <c r="B94" i="5"/>
  <c r="A94" i="5"/>
  <c r="F93" i="5"/>
  <c r="E93" i="5"/>
  <c r="D93" i="5"/>
  <c r="C93" i="5"/>
  <c r="B93" i="5"/>
  <c r="A93" i="5"/>
  <c r="F92" i="5"/>
  <c r="E92" i="5"/>
  <c r="D92" i="5"/>
  <c r="C92" i="5"/>
  <c r="B92" i="5"/>
  <c r="A92" i="5"/>
  <c r="F91" i="5"/>
  <c r="E91" i="5"/>
  <c r="D91" i="5"/>
  <c r="C91" i="5"/>
  <c r="B91" i="5"/>
  <c r="A91" i="5"/>
  <c r="F90" i="5"/>
  <c r="E90" i="5"/>
  <c r="D90" i="5"/>
  <c r="C90" i="5"/>
  <c r="B90" i="5"/>
  <c r="A90" i="5"/>
  <c r="F89" i="5"/>
  <c r="E89" i="5"/>
  <c r="D89" i="5"/>
  <c r="C89" i="5"/>
  <c r="B89" i="5"/>
  <c r="A89" i="5"/>
  <c r="F88" i="5"/>
  <c r="E88" i="5"/>
  <c r="D88" i="5"/>
  <c r="C88" i="5"/>
  <c r="B88" i="5"/>
  <c r="A88" i="5"/>
  <c r="F87" i="5"/>
  <c r="E87" i="5"/>
  <c r="D87" i="5"/>
  <c r="C87" i="5"/>
  <c r="B87" i="5"/>
  <c r="A87" i="5"/>
  <c r="F86" i="5"/>
  <c r="E86" i="5"/>
  <c r="D86" i="5"/>
  <c r="C86" i="5"/>
  <c r="B86" i="5"/>
  <c r="A86" i="5"/>
  <c r="F85" i="5"/>
  <c r="E85" i="5"/>
  <c r="D85" i="5"/>
  <c r="C85" i="5"/>
  <c r="B85" i="5"/>
  <c r="A85" i="5"/>
  <c r="F84" i="5"/>
  <c r="E84" i="5"/>
  <c r="D84" i="5"/>
  <c r="C84" i="5"/>
  <c r="B84" i="5"/>
  <c r="A84" i="5"/>
  <c r="F83" i="5"/>
  <c r="E83" i="5"/>
  <c r="D83" i="5"/>
  <c r="C83" i="5"/>
  <c r="B83" i="5"/>
  <c r="A83" i="5"/>
  <c r="F82" i="5"/>
  <c r="E82" i="5"/>
  <c r="D82" i="5"/>
  <c r="C82" i="5"/>
  <c r="B82" i="5"/>
  <c r="A82" i="5"/>
  <c r="F81" i="5"/>
  <c r="E81" i="5"/>
  <c r="D81" i="5"/>
  <c r="C81" i="5"/>
  <c r="B81" i="5"/>
  <c r="A81" i="5"/>
  <c r="F80" i="5"/>
  <c r="E80" i="5"/>
  <c r="D80" i="5"/>
  <c r="C80" i="5"/>
  <c r="B80" i="5"/>
  <c r="A80" i="5"/>
  <c r="F79" i="5"/>
  <c r="E79" i="5"/>
  <c r="D79" i="5"/>
  <c r="C79" i="5"/>
  <c r="B79" i="5"/>
  <c r="A79" i="5"/>
  <c r="F78" i="5"/>
  <c r="E78" i="5"/>
  <c r="D78" i="5"/>
  <c r="C78" i="5"/>
  <c r="B78" i="5"/>
  <c r="A78" i="5"/>
  <c r="F77" i="5"/>
  <c r="E77" i="5"/>
  <c r="D77" i="5"/>
  <c r="C77" i="5"/>
  <c r="B77" i="5"/>
  <c r="A77" i="5"/>
  <c r="F76" i="5"/>
  <c r="E76" i="5"/>
  <c r="D76" i="5"/>
  <c r="C76" i="5"/>
  <c r="B76" i="5"/>
  <c r="A76" i="5"/>
  <c r="F75" i="5"/>
  <c r="E75" i="5"/>
  <c r="D75" i="5"/>
  <c r="C75" i="5"/>
  <c r="B75" i="5"/>
  <c r="A75" i="5"/>
  <c r="F74" i="5"/>
  <c r="E74" i="5"/>
  <c r="D74" i="5"/>
  <c r="C74" i="5"/>
  <c r="B74" i="5"/>
  <c r="A74" i="5"/>
  <c r="F73" i="5"/>
  <c r="E73" i="5"/>
  <c r="D73" i="5"/>
  <c r="C73" i="5"/>
  <c r="B73" i="5"/>
  <c r="A73" i="5"/>
  <c r="F72" i="5"/>
  <c r="E72" i="5"/>
  <c r="D72" i="5"/>
  <c r="C72" i="5"/>
  <c r="B72" i="5"/>
  <c r="A72" i="5"/>
  <c r="F71" i="5"/>
  <c r="E71" i="5"/>
  <c r="D71" i="5"/>
  <c r="C71" i="5"/>
  <c r="B71" i="5"/>
  <c r="A71" i="5"/>
  <c r="F70" i="5"/>
  <c r="E70" i="5"/>
  <c r="D70" i="5"/>
  <c r="C70" i="5"/>
  <c r="B70" i="5"/>
  <c r="A70" i="5"/>
  <c r="F69" i="5"/>
  <c r="E69" i="5"/>
  <c r="D69" i="5"/>
  <c r="C69" i="5"/>
  <c r="B69" i="5"/>
  <c r="A69" i="5"/>
  <c r="F68" i="5"/>
  <c r="E68" i="5"/>
  <c r="D68" i="5"/>
  <c r="C68" i="5"/>
  <c r="B68" i="5"/>
  <c r="A68" i="5"/>
  <c r="F67" i="5"/>
  <c r="E67" i="5"/>
  <c r="D67" i="5"/>
  <c r="C67" i="5"/>
  <c r="B67" i="5"/>
  <c r="A67" i="5"/>
  <c r="F66" i="5"/>
  <c r="E66" i="5"/>
  <c r="D66" i="5"/>
  <c r="C66" i="5"/>
  <c r="B66" i="5"/>
  <c r="A66" i="5"/>
  <c r="F65" i="5"/>
  <c r="E65" i="5"/>
  <c r="D65" i="5"/>
  <c r="C65" i="5"/>
  <c r="B65" i="5"/>
  <c r="A65" i="5"/>
  <c r="F64" i="5"/>
  <c r="E64" i="5"/>
  <c r="D64" i="5"/>
  <c r="C64" i="5"/>
  <c r="B64" i="5"/>
  <c r="A64" i="5"/>
  <c r="F63" i="5"/>
  <c r="E63" i="5"/>
  <c r="D63" i="5"/>
  <c r="C63" i="5"/>
  <c r="B63" i="5"/>
  <c r="A63" i="5"/>
  <c r="F62" i="5"/>
  <c r="E62" i="5"/>
  <c r="D62" i="5"/>
  <c r="C62" i="5"/>
  <c r="B62" i="5"/>
  <c r="A62" i="5"/>
  <c r="F61" i="5"/>
  <c r="E61" i="5"/>
  <c r="D61" i="5"/>
  <c r="C61" i="5"/>
  <c r="B61" i="5"/>
  <c r="A61" i="5"/>
  <c r="F60" i="5"/>
  <c r="E60" i="5"/>
  <c r="D60" i="5"/>
  <c r="C60" i="5"/>
  <c r="B60" i="5"/>
  <c r="A60" i="5"/>
  <c r="F59" i="5"/>
  <c r="E59" i="5"/>
  <c r="D59" i="5"/>
  <c r="C59" i="5"/>
  <c r="B59" i="5"/>
  <c r="A59" i="5"/>
  <c r="F58" i="5"/>
  <c r="E58" i="5"/>
  <c r="D58" i="5"/>
  <c r="C58" i="5"/>
  <c r="B58" i="5"/>
  <c r="A58" i="5"/>
  <c r="F57" i="5"/>
  <c r="E57" i="5"/>
  <c r="D57" i="5"/>
  <c r="C57" i="5"/>
  <c r="B57" i="5"/>
  <c r="A57" i="5"/>
  <c r="F56" i="5"/>
  <c r="E56" i="5"/>
  <c r="D56" i="5"/>
  <c r="C56" i="5"/>
  <c r="B56" i="5"/>
  <c r="A56" i="5"/>
  <c r="F55" i="5"/>
  <c r="E55" i="5"/>
  <c r="D55" i="5"/>
  <c r="C55" i="5"/>
  <c r="B55" i="5"/>
  <c r="A55" i="5"/>
  <c r="F54" i="5"/>
  <c r="E54" i="5"/>
  <c r="D54" i="5"/>
  <c r="C54" i="5"/>
  <c r="B54" i="5"/>
  <c r="A54" i="5"/>
  <c r="F53" i="5"/>
  <c r="E53" i="5"/>
  <c r="D53" i="5"/>
  <c r="C53" i="5"/>
  <c r="B53" i="5"/>
  <c r="A53" i="5"/>
  <c r="F52" i="5"/>
  <c r="E52" i="5"/>
  <c r="D52" i="5"/>
  <c r="C52" i="5"/>
  <c r="B52" i="5"/>
  <c r="A52" i="5"/>
  <c r="F51" i="5"/>
  <c r="E51" i="5"/>
  <c r="D51" i="5"/>
  <c r="C51" i="5"/>
  <c r="B51" i="5"/>
  <c r="A51" i="5"/>
  <c r="F50" i="5"/>
  <c r="E50" i="5"/>
  <c r="D50" i="5"/>
  <c r="C50" i="5"/>
  <c r="B50" i="5"/>
  <c r="A50" i="5"/>
  <c r="F49" i="5"/>
  <c r="E49" i="5"/>
  <c r="D49" i="5"/>
  <c r="C49" i="5"/>
  <c r="B49" i="5"/>
  <c r="A49" i="5"/>
  <c r="F48" i="5"/>
  <c r="E48" i="5"/>
  <c r="D48" i="5"/>
  <c r="C48" i="5"/>
  <c r="B48" i="5"/>
  <c r="A48" i="5"/>
  <c r="F47" i="5"/>
  <c r="E47" i="5"/>
  <c r="D47" i="5"/>
  <c r="C47" i="5"/>
  <c r="B47" i="5"/>
  <c r="A47" i="5"/>
  <c r="F46" i="5"/>
  <c r="E46" i="5"/>
  <c r="D46" i="5"/>
  <c r="C46" i="5"/>
  <c r="B46" i="5"/>
  <c r="A46" i="5"/>
  <c r="F45" i="5"/>
  <c r="E45" i="5"/>
  <c r="D45" i="5"/>
  <c r="C45" i="5"/>
  <c r="B45" i="5"/>
  <c r="A45" i="5"/>
  <c r="F44" i="5"/>
  <c r="E44" i="5"/>
  <c r="D44" i="5"/>
  <c r="C44" i="5"/>
  <c r="B44" i="5"/>
  <c r="A44" i="5"/>
  <c r="F43" i="5"/>
  <c r="E43" i="5"/>
  <c r="D43" i="5"/>
  <c r="C43" i="5"/>
  <c r="B43" i="5"/>
  <c r="A43" i="5"/>
  <c r="F42" i="5"/>
  <c r="E42" i="5"/>
  <c r="D42" i="5"/>
  <c r="C42" i="5"/>
  <c r="B42" i="5"/>
  <c r="A42" i="5"/>
  <c r="F41" i="5"/>
  <c r="E41" i="5"/>
  <c r="D41" i="5"/>
  <c r="C41" i="5"/>
  <c r="B41" i="5"/>
  <c r="A41" i="5"/>
  <c r="F40" i="5"/>
  <c r="E40" i="5"/>
  <c r="D40" i="5"/>
  <c r="C40" i="5"/>
  <c r="B40" i="5"/>
  <c r="A40" i="5"/>
  <c r="F39" i="5"/>
  <c r="E39" i="5"/>
  <c r="D39" i="5"/>
  <c r="C39" i="5"/>
  <c r="B39" i="5"/>
  <c r="A39" i="5"/>
  <c r="F38" i="5"/>
  <c r="E38" i="5"/>
  <c r="D38" i="5"/>
  <c r="C38" i="5"/>
  <c r="B38" i="5"/>
  <c r="A38" i="5"/>
  <c r="F37" i="5"/>
  <c r="E37" i="5"/>
  <c r="D37" i="5"/>
  <c r="C37" i="5"/>
  <c r="B37" i="5"/>
  <c r="A37" i="5"/>
  <c r="F36" i="5"/>
  <c r="E36" i="5"/>
  <c r="D36" i="5"/>
  <c r="C36" i="5"/>
  <c r="B36" i="5"/>
  <c r="A36" i="5"/>
  <c r="F35" i="5"/>
  <c r="E35" i="5"/>
  <c r="D35" i="5"/>
  <c r="C35" i="5"/>
  <c r="B35" i="5"/>
  <c r="A35" i="5"/>
  <c r="F34" i="5"/>
  <c r="E34" i="5"/>
  <c r="D34" i="5"/>
  <c r="C34" i="5"/>
  <c r="B34" i="5"/>
  <c r="A34" i="5"/>
  <c r="F33" i="5"/>
  <c r="E33" i="5"/>
  <c r="D33" i="5"/>
  <c r="C33" i="5"/>
  <c r="B33" i="5"/>
  <c r="A33" i="5"/>
  <c r="F32" i="5"/>
  <c r="E32" i="5"/>
  <c r="D32" i="5"/>
  <c r="C32" i="5"/>
  <c r="B32" i="5"/>
  <c r="A32" i="5"/>
  <c r="F31" i="5"/>
  <c r="E31" i="5"/>
  <c r="D31" i="5"/>
  <c r="C31" i="5"/>
  <c r="B31" i="5"/>
  <c r="A31" i="5"/>
  <c r="F30" i="5"/>
  <c r="E30" i="5"/>
  <c r="D30" i="5"/>
  <c r="C30" i="5"/>
  <c r="B30" i="5"/>
  <c r="A30" i="5"/>
  <c r="F29" i="5"/>
  <c r="E29" i="5"/>
  <c r="D29" i="5"/>
  <c r="C29" i="5"/>
  <c r="B29" i="5"/>
  <c r="A29" i="5"/>
  <c r="F28" i="5"/>
  <c r="E28" i="5"/>
  <c r="D28" i="5"/>
  <c r="C28" i="5"/>
  <c r="B28" i="5"/>
  <c r="A28" i="5"/>
  <c r="F27" i="5"/>
  <c r="E27" i="5"/>
  <c r="D27" i="5"/>
  <c r="C27" i="5"/>
  <c r="B27" i="5"/>
  <c r="A27" i="5"/>
  <c r="F26" i="5"/>
  <c r="E26" i="5"/>
  <c r="D26" i="5"/>
  <c r="C26" i="5"/>
  <c r="B26" i="5"/>
  <c r="A26" i="5"/>
  <c r="F25" i="5"/>
  <c r="E25" i="5"/>
  <c r="D25" i="5"/>
  <c r="C25" i="5"/>
  <c r="B25" i="5"/>
  <c r="A25" i="5"/>
  <c r="F24" i="5"/>
  <c r="E24" i="5"/>
  <c r="D24" i="5"/>
  <c r="C24" i="5"/>
  <c r="B24" i="5"/>
  <c r="A24" i="5"/>
  <c r="F23" i="5"/>
  <c r="E23" i="5"/>
  <c r="D23" i="5"/>
  <c r="C23" i="5"/>
  <c r="B23" i="5"/>
  <c r="A23" i="5"/>
  <c r="F22" i="5"/>
  <c r="E22" i="5"/>
  <c r="D22" i="5"/>
  <c r="C22" i="5"/>
  <c r="B22" i="5"/>
  <c r="A22" i="5"/>
  <c r="F21" i="5"/>
  <c r="E21" i="5"/>
  <c r="D21" i="5"/>
  <c r="C21" i="5"/>
  <c r="B21" i="5"/>
  <c r="A21" i="5"/>
  <c r="F20" i="5"/>
  <c r="E20" i="5"/>
  <c r="D20" i="5"/>
  <c r="C20" i="5"/>
  <c r="B20" i="5"/>
  <c r="A20" i="5"/>
  <c r="F19" i="5"/>
  <c r="E19" i="5"/>
  <c r="D19" i="5"/>
  <c r="C19" i="5"/>
  <c r="B19" i="5"/>
  <c r="A19" i="5"/>
  <c r="F18" i="5"/>
  <c r="E18" i="5"/>
  <c r="D18" i="5"/>
  <c r="C18" i="5"/>
  <c r="B18" i="5"/>
  <c r="A18" i="5"/>
  <c r="F17" i="5"/>
  <c r="E17" i="5"/>
  <c r="D17" i="5"/>
  <c r="C17" i="5"/>
  <c r="B17" i="5"/>
  <c r="A17" i="5"/>
  <c r="F16" i="5"/>
  <c r="E16" i="5"/>
  <c r="D16" i="5"/>
  <c r="C16" i="5"/>
  <c r="B16" i="5"/>
  <c r="A16" i="5"/>
  <c r="F15" i="5"/>
  <c r="E15" i="5"/>
  <c r="D15" i="5"/>
  <c r="C15" i="5"/>
  <c r="B15" i="5"/>
  <c r="A15" i="5"/>
  <c r="F14" i="5"/>
  <c r="E14" i="5"/>
  <c r="D14" i="5"/>
  <c r="C14" i="5"/>
  <c r="B14" i="5"/>
  <c r="A14" i="5"/>
  <c r="F13" i="5"/>
  <c r="E13" i="5"/>
  <c r="D13" i="5"/>
  <c r="C13" i="5"/>
  <c r="B13" i="5"/>
  <c r="A13" i="5"/>
  <c r="F12" i="5"/>
  <c r="E12" i="5"/>
  <c r="D12" i="5"/>
  <c r="C12" i="5"/>
  <c r="B12" i="5"/>
  <c r="A12" i="5"/>
  <c r="F11" i="5"/>
  <c r="E11" i="5"/>
  <c r="D11" i="5"/>
  <c r="C11" i="5"/>
  <c r="B11" i="5"/>
  <c r="A11" i="5"/>
  <c r="F10" i="5"/>
  <c r="E10" i="5"/>
  <c r="D10" i="5"/>
  <c r="C10" i="5"/>
  <c r="B10" i="5"/>
  <c r="A10" i="5"/>
  <c r="F9" i="5"/>
  <c r="E9" i="5"/>
  <c r="D9" i="5"/>
  <c r="C9" i="5"/>
  <c r="B9" i="5"/>
  <c r="A9" i="5"/>
  <c r="F8" i="5"/>
  <c r="E8" i="5"/>
  <c r="D8" i="5"/>
  <c r="C8" i="5"/>
  <c r="B8" i="5"/>
  <c r="A8" i="5"/>
  <c r="F7" i="5"/>
  <c r="E7" i="5"/>
  <c r="D7" i="5"/>
  <c r="C7" i="5"/>
  <c r="B7" i="5"/>
  <c r="A7" i="5"/>
  <c r="F6" i="5"/>
  <c r="E6" i="5"/>
  <c r="D6" i="5"/>
  <c r="C6" i="5"/>
  <c r="B6" i="5"/>
  <c r="A6" i="5"/>
  <c r="F5" i="5"/>
  <c r="E5" i="5"/>
  <c r="D5" i="5"/>
  <c r="C5" i="5"/>
  <c r="B5" i="5"/>
  <c r="A5" i="5"/>
  <c r="Q130" i="3"/>
  <c r="N31" i="9" s="1"/>
  <c r="J130" i="3"/>
  <c r="H31" i="9" s="1"/>
  <c r="Q129" i="3"/>
  <c r="N30" i="9" s="1"/>
  <c r="J129" i="3"/>
  <c r="H30" i="9" s="1"/>
  <c r="Q128" i="3"/>
  <c r="N10" i="16" s="1"/>
  <c r="J128" i="3"/>
  <c r="H10" i="16" s="1"/>
  <c r="Q127" i="3"/>
  <c r="N27" i="11" s="1"/>
  <c r="J127" i="3"/>
  <c r="H27" i="11" s="1"/>
  <c r="Q126" i="3"/>
  <c r="N22" i="10" s="1"/>
  <c r="J126" i="3"/>
  <c r="H22" i="10" s="1"/>
  <c r="Q125" i="3"/>
  <c r="N28" i="9" s="1"/>
  <c r="J125" i="3"/>
  <c r="H28" i="9" s="1"/>
  <c r="Q124" i="3"/>
  <c r="N29" i="9" s="1"/>
  <c r="J124" i="3"/>
  <c r="H29" i="9" s="1"/>
  <c r="Q123" i="3"/>
  <c r="N26" i="11" s="1"/>
  <c r="J123" i="3"/>
  <c r="H26" i="11" s="1"/>
  <c r="Q122" i="3"/>
  <c r="N27" i="9" s="1"/>
  <c r="J122" i="3"/>
  <c r="H27" i="9" s="1"/>
  <c r="Q121" i="3"/>
  <c r="N21" i="10" s="1"/>
  <c r="J121" i="3"/>
  <c r="H21" i="10" s="1"/>
  <c r="Q120" i="3"/>
  <c r="N26" i="9" s="1"/>
  <c r="J120" i="3"/>
  <c r="H26" i="9" s="1"/>
  <c r="Q119" i="3"/>
  <c r="N25" i="11" s="1"/>
  <c r="J119" i="3"/>
  <c r="H25" i="11" s="1"/>
  <c r="Q118" i="3"/>
  <c r="N24" i="11" s="1"/>
  <c r="J118" i="3"/>
  <c r="H24" i="11" s="1"/>
  <c r="Q117" i="3"/>
  <c r="N23" i="11" s="1"/>
  <c r="J117" i="3"/>
  <c r="H23" i="11" s="1"/>
  <c r="Q116" i="3"/>
  <c r="N20" i="10" s="1"/>
  <c r="J116" i="3"/>
  <c r="H20" i="10" s="1"/>
  <c r="Q115" i="3"/>
  <c r="N19" i="10" s="1"/>
  <c r="J115" i="3"/>
  <c r="H19" i="10" s="1"/>
  <c r="Q114" i="3"/>
  <c r="N25" i="9" s="1"/>
  <c r="J114" i="3"/>
  <c r="H25" i="9" s="1"/>
  <c r="Q113" i="3"/>
  <c r="N16" i="12" s="1"/>
  <c r="J113" i="3"/>
  <c r="H16" i="12" s="1"/>
  <c r="Q112" i="3"/>
  <c r="N22" i="11" s="1"/>
  <c r="J112" i="3"/>
  <c r="H22" i="11" s="1"/>
  <c r="Q111" i="3"/>
  <c r="N18" i="15" s="1"/>
  <c r="J111" i="3"/>
  <c r="H18" i="15" s="1"/>
  <c r="Q110" i="3"/>
  <c r="N17" i="14" s="1"/>
  <c r="J110" i="3"/>
  <c r="H17" i="14" s="1"/>
  <c r="Q109" i="3"/>
  <c r="N17" i="13" s="1"/>
  <c r="J109" i="3"/>
  <c r="H17" i="13" s="1"/>
  <c r="Q108" i="3"/>
  <c r="N24" i="9" s="1"/>
  <c r="J108" i="3"/>
  <c r="H24" i="9" s="1"/>
  <c r="Q107" i="3"/>
  <c r="N9" i="16" s="1"/>
  <c r="J107" i="3"/>
  <c r="H9" i="16" s="1"/>
  <c r="Q106" i="3"/>
  <c r="N18" i="10" s="1"/>
  <c r="J106" i="3"/>
  <c r="H18" i="10" s="1"/>
  <c r="Q105" i="3"/>
  <c r="N15" i="12" s="1"/>
  <c r="J105" i="3"/>
  <c r="H15" i="12" s="1"/>
  <c r="Q104" i="3"/>
  <c r="N16" i="15" s="1"/>
  <c r="J104" i="3"/>
  <c r="H16" i="15" s="1"/>
  <c r="Q103" i="3"/>
  <c r="N16" i="14" s="1"/>
  <c r="J103" i="3"/>
  <c r="H16" i="14" s="1"/>
  <c r="Q102" i="3"/>
  <c r="N16" i="13" s="1"/>
  <c r="J102" i="3"/>
  <c r="H16" i="13" s="1"/>
  <c r="Q101" i="3"/>
  <c r="N17" i="15" s="1"/>
  <c r="J101" i="3"/>
  <c r="H17" i="15" s="1"/>
  <c r="Q100" i="3"/>
  <c r="N15" i="15" s="1"/>
  <c r="J100" i="3"/>
  <c r="H15" i="15" s="1"/>
  <c r="Q99" i="3"/>
  <c r="N8" i="16" s="1"/>
  <c r="J99" i="3"/>
  <c r="H8" i="16" s="1"/>
  <c r="Q98" i="3"/>
  <c r="N22" i="9" s="1"/>
  <c r="J98" i="3"/>
  <c r="H22" i="9" s="1"/>
  <c r="Q97" i="3"/>
  <c r="N23" i="9" s="1"/>
  <c r="J97" i="3"/>
  <c r="H23" i="9" s="1"/>
  <c r="Q96" i="3"/>
  <c r="N17" i="10" s="1"/>
  <c r="J96" i="3"/>
  <c r="H17" i="10" s="1"/>
  <c r="Q95" i="3"/>
  <c r="N14" i="12" s="1"/>
  <c r="J95" i="3"/>
  <c r="H14" i="12" s="1"/>
  <c r="Q94" i="3"/>
  <c r="N19" i="11" s="1"/>
  <c r="J94" i="3"/>
  <c r="H19" i="11" s="1"/>
  <c r="Q93" i="3"/>
  <c r="N13" i="12" s="1"/>
  <c r="J93" i="3"/>
  <c r="H13" i="12" s="1"/>
  <c r="Q92" i="3"/>
  <c r="N21" i="11" s="1"/>
  <c r="J92" i="3"/>
  <c r="H21" i="11" s="1"/>
  <c r="Q91" i="3"/>
  <c r="N14" i="13" s="1"/>
  <c r="J91" i="3"/>
  <c r="H14" i="13" s="1"/>
  <c r="Q90" i="3"/>
  <c r="N17" i="11" s="1"/>
  <c r="J90" i="3"/>
  <c r="H17" i="11" s="1"/>
  <c r="Q89" i="3"/>
  <c r="N12" i="14" s="1"/>
  <c r="J89" i="3"/>
  <c r="H12" i="14" s="1"/>
  <c r="Q88" i="3"/>
  <c r="N21" i="9" s="1"/>
  <c r="J88" i="3"/>
  <c r="H21" i="9" s="1"/>
  <c r="Q87" i="3"/>
  <c r="N7" i="16" s="1"/>
  <c r="J87" i="3"/>
  <c r="H7" i="16" s="1"/>
  <c r="Q86" i="3"/>
  <c r="N7" i="10" s="1"/>
  <c r="J86" i="3"/>
  <c r="H7" i="10" s="1"/>
  <c r="Q85" i="3"/>
  <c r="N16" i="10" s="1"/>
  <c r="J85" i="3"/>
  <c r="H16" i="10" s="1"/>
  <c r="Q84" i="3"/>
  <c r="N15" i="10" s="1"/>
  <c r="J84" i="3"/>
  <c r="H15" i="10" s="1"/>
  <c r="Q83" i="3"/>
  <c r="N12" i="15" s="1"/>
  <c r="J83" i="3"/>
  <c r="H12" i="15" s="1"/>
  <c r="Q82" i="3"/>
  <c r="N14" i="15" s="1"/>
  <c r="J82" i="3"/>
  <c r="H14" i="15" s="1"/>
  <c r="Q81" i="3"/>
  <c r="N13" i="15" s="1"/>
  <c r="J81" i="3"/>
  <c r="H13" i="15" s="1"/>
  <c r="Q80" i="3"/>
  <c r="N11" i="15" s="1"/>
  <c r="J80" i="3"/>
  <c r="H11" i="15" s="1"/>
  <c r="Q79" i="3"/>
  <c r="N10" i="15" s="1"/>
  <c r="J79" i="3"/>
  <c r="H10" i="15" s="1"/>
  <c r="Q78" i="3"/>
  <c r="N9" i="15" s="1"/>
  <c r="J78" i="3"/>
  <c r="H9" i="15" s="1"/>
  <c r="Q77" i="3"/>
  <c r="N8" i="15" s="1"/>
  <c r="J77" i="3"/>
  <c r="H8" i="15" s="1"/>
  <c r="Q76" i="3"/>
  <c r="N15" i="14" s="1"/>
  <c r="J76" i="3"/>
  <c r="H15" i="14" s="1"/>
  <c r="Q75" i="3"/>
  <c r="N14" i="14" s="1"/>
  <c r="J75" i="3"/>
  <c r="H14" i="14" s="1"/>
  <c r="Q74" i="3"/>
  <c r="N13" i="14" s="1"/>
  <c r="J74" i="3"/>
  <c r="H13" i="14" s="1"/>
  <c r="Q73" i="3"/>
  <c r="N11" i="14" s="1"/>
  <c r="J73" i="3"/>
  <c r="H11" i="14" s="1"/>
  <c r="Q72" i="3"/>
  <c r="N10" i="14" s="1"/>
  <c r="J72" i="3"/>
  <c r="H10" i="14" s="1"/>
  <c r="Q71" i="3"/>
  <c r="N9" i="14" s="1"/>
  <c r="J71" i="3"/>
  <c r="H9" i="14" s="1"/>
  <c r="Q70" i="3"/>
  <c r="N15" i="13" s="1"/>
  <c r="J70" i="3"/>
  <c r="H15" i="13" s="1"/>
  <c r="Q69" i="3"/>
  <c r="N13" i="13" s="1"/>
  <c r="J69" i="3"/>
  <c r="H13" i="13" s="1"/>
  <c r="Q68" i="3"/>
  <c r="N12" i="13" s="1"/>
  <c r="J68" i="3"/>
  <c r="H12" i="13" s="1"/>
  <c r="Q67" i="3"/>
  <c r="N11" i="13" s="1"/>
  <c r="J67" i="3"/>
  <c r="H11" i="13" s="1"/>
  <c r="Q66" i="3"/>
  <c r="N10" i="13" s="1"/>
  <c r="J66" i="3"/>
  <c r="H10" i="13" s="1"/>
  <c r="Q65" i="3"/>
  <c r="N11" i="12" s="1"/>
  <c r="J65" i="3"/>
  <c r="H11" i="12" s="1"/>
  <c r="Q64" i="3"/>
  <c r="N12" i="12" s="1"/>
  <c r="J64" i="3"/>
  <c r="H12" i="12" s="1"/>
  <c r="Q63" i="3"/>
  <c r="N10" i="12" s="1"/>
  <c r="J63" i="3"/>
  <c r="H10" i="12" s="1"/>
  <c r="Q62" i="3"/>
  <c r="N9" i="12" s="1"/>
  <c r="J62" i="3"/>
  <c r="H9" i="12" s="1"/>
  <c r="Q61" i="3"/>
  <c r="N8" i="12" s="1"/>
  <c r="J61" i="3"/>
  <c r="H8" i="12" s="1"/>
  <c r="Q60" i="3"/>
  <c r="N20" i="11" s="1"/>
  <c r="J60" i="3"/>
  <c r="H20" i="11" s="1"/>
  <c r="Q59" i="3"/>
  <c r="N15" i="11" s="1"/>
  <c r="J59" i="3"/>
  <c r="H15" i="11" s="1"/>
  <c r="Q58" i="3"/>
  <c r="N18" i="11" s="1"/>
  <c r="J58" i="3"/>
  <c r="H18" i="11" s="1"/>
  <c r="Q57" i="3"/>
  <c r="N16" i="11" s="1"/>
  <c r="J57" i="3"/>
  <c r="H16" i="11" s="1"/>
  <c r="Q56" i="3"/>
  <c r="N14" i="11" s="1"/>
  <c r="J56" i="3"/>
  <c r="H14" i="11" s="1"/>
  <c r="Q55" i="3"/>
  <c r="N13" i="11" s="1"/>
  <c r="J55" i="3"/>
  <c r="H13" i="11" s="1"/>
  <c r="Q54" i="3"/>
  <c r="N12" i="11" s="1"/>
  <c r="J54" i="3"/>
  <c r="H12" i="11" s="1"/>
  <c r="Q53" i="3"/>
  <c r="N20" i="9" s="1"/>
  <c r="J53" i="3"/>
  <c r="H20" i="9" s="1"/>
  <c r="Q52" i="3"/>
  <c r="N19" i="9" s="1"/>
  <c r="J52" i="3"/>
  <c r="H19" i="9" s="1"/>
  <c r="Q51" i="3"/>
  <c r="N6" i="16" s="1"/>
  <c r="J51" i="3"/>
  <c r="H6" i="16" s="1"/>
  <c r="Q50" i="3"/>
  <c r="N14" i="10" s="1"/>
  <c r="J50" i="3"/>
  <c r="H14" i="10" s="1"/>
  <c r="Q49" i="3"/>
  <c r="N13" i="10" s="1"/>
  <c r="J49" i="3"/>
  <c r="H13" i="10" s="1"/>
  <c r="Q48" i="3"/>
  <c r="N7" i="15" s="1"/>
  <c r="J48" i="3"/>
  <c r="H7" i="15" s="1"/>
  <c r="Q47" i="3"/>
  <c r="N6" i="15" s="1"/>
  <c r="J47" i="3"/>
  <c r="H6" i="15" s="1"/>
  <c r="Q46" i="3"/>
  <c r="N8" i="14" s="1"/>
  <c r="J46" i="3"/>
  <c r="H8" i="14" s="1"/>
  <c r="Q45" i="3"/>
  <c r="N7" i="14" s="1"/>
  <c r="J45" i="3"/>
  <c r="H7" i="14" s="1"/>
  <c r="Q44" i="3"/>
  <c r="N6" i="14" s="1"/>
  <c r="J44" i="3"/>
  <c r="H6" i="14" s="1"/>
  <c r="Q43" i="3"/>
  <c r="N9" i="13" s="1"/>
  <c r="J43" i="3"/>
  <c r="H9" i="13" s="1"/>
  <c r="Q42" i="3"/>
  <c r="N8" i="13" s="1"/>
  <c r="J42" i="3"/>
  <c r="H8" i="13" s="1"/>
  <c r="Q41" i="3"/>
  <c r="N7" i="13" s="1"/>
  <c r="J41" i="3"/>
  <c r="H7" i="13" s="1"/>
  <c r="Q40" i="3"/>
  <c r="N7" i="12" s="1"/>
  <c r="J40" i="3"/>
  <c r="H7" i="12" s="1"/>
  <c r="Q39" i="3"/>
  <c r="N6" i="12" s="1"/>
  <c r="J39" i="3"/>
  <c r="H6" i="12" s="1"/>
  <c r="Q38" i="3"/>
  <c r="N11" i="11" s="1"/>
  <c r="J38" i="3"/>
  <c r="H11" i="11" s="1"/>
  <c r="Q37" i="3"/>
  <c r="N9" i="11" s="1"/>
  <c r="J37" i="3"/>
  <c r="H9" i="11" s="1"/>
  <c r="Q36" i="3"/>
  <c r="N10" i="11" s="1"/>
  <c r="J36" i="3"/>
  <c r="H10" i="11" s="1"/>
  <c r="Q35" i="3"/>
  <c r="N8" i="11" s="1"/>
  <c r="J35" i="3"/>
  <c r="H8" i="11" s="1"/>
  <c r="Q34" i="3"/>
  <c r="N7" i="11" s="1"/>
  <c r="J34" i="3"/>
  <c r="H7" i="11" s="1"/>
  <c r="Q33" i="3"/>
  <c r="N12" i="10" s="1"/>
  <c r="J33" i="3"/>
  <c r="H12" i="10" s="1"/>
  <c r="Q32" i="3"/>
  <c r="N13" i="9" s="1"/>
  <c r="J32" i="3"/>
  <c r="H13" i="9" s="1"/>
  <c r="Q31" i="3"/>
  <c r="N5" i="16" s="1"/>
  <c r="J31" i="3"/>
  <c r="H5" i="16" s="1"/>
  <c r="Q30" i="3"/>
  <c r="N6" i="13" s="1"/>
  <c r="J30" i="3"/>
  <c r="H6" i="13" s="1"/>
  <c r="Q29" i="3"/>
  <c r="N5" i="15" s="1"/>
  <c r="J29" i="3"/>
  <c r="H5" i="15" s="1"/>
  <c r="Q28" i="3"/>
  <c r="N5" i="14" s="1"/>
  <c r="J28" i="3"/>
  <c r="H5" i="14" s="1"/>
  <c r="Q27" i="3"/>
  <c r="N5" i="13" s="1"/>
  <c r="J27" i="3"/>
  <c r="H5" i="13" s="1"/>
  <c r="Q26" i="3"/>
  <c r="N6" i="11" s="1"/>
  <c r="J26" i="3"/>
  <c r="H6" i="11" s="1"/>
  <c r="Q25" i="3"/>
  <c r="N5" i="11" s="1"/>
  <c r="J25" i="3"/>
  <c r="H5" i="11" s="1"/>
  <c r="Q24" i="3"/>
  <c r="N5" i="12" s="1"/>
  <c r="J24" i="3"/>
  <c r="H5" i="12" s="1"/>
  <c r="Q23" i="3"/>
  <c r="N11" i="10" s="1"/>
  <c r="J23" i="3"/>
  <c r="H11" i="10" s="1"/>
  <c r="Q22" i="3"/>
  <c r="N9" i="10" s="1"/>
  <c r="J22" i="3"/>
  <c r="H9" i="10" s="1"/>
  <c r="Q21" i="3"/>
  <c r="N10" i="10" s="1"/>
  <c r="J21" i="3"/>
  <c r="H10" i="10" s="1"/>
  <c r="Q20" i="3"/>
  <c r="N6" i="10" s="1"/>
  <c r="J20" i="3"/>
  <c r="H6" i="10" s="1"/>
  <c r="Q19" i="3"/>
  <c r="N8" i="10" s="1"/>
  <c r="J19" i="3"/>
  <c r="H8" i="10" s="1"/>
  <c r="Q18" i="3"/>
  <c r="N5" i="10" s="1"/>
  <c r="J18" i="3"/>
  <c r="H5" i="10" s="1"/>
  <c r="Q17" i="3"/>
  <c r="N16" i="9" s="1"/>
  <c r="J17" i="3"/>
  <c r="H16" i="9" s="1"/>
  <c r="Q16" i="3"/>
  <c r="N14" i="9" s="1"/>
  <c r="J16" i="3"/>
  <c r="H14" i="9" s="1"/>
  <c r="Q15" i="3"/>
  <c r="N18" i="9" s="1"/>
  <c r="J15" i="3"/>
  <c r="H18" i="9" s="1"/>
  <c r="Q14" i="3"/>
  <c r="N17" i="9" s="1"/>
  <c r="J14" i="3"/>
  <c r="H17" i="9" s="1"/>
  <c r="Q13" i="3"/>
  <c r="N15" i="9" s="1"/>
  <c r="J13" i="3"/>
  <c r="H15" i="9" s="1"/>
  <c r="Q12" i="3"/>
  <c r="N12" i="9" s="1"/>
  <c r="J12" i="3"/>
  <c r="H12" i="9" s="1"/>
  <c r="Q11" i="3"/>
  <c r="N11" i="9" s="1"/>
  <c r="J11" i="3"/>
  <c r="H11" i="9" s="1"/>
  <c r="Q10" i="3"/>
  <c r="N6" i="9" s="1"/>
  <c r="J10" i="3"/>
  <c r="H6" i="9" s="1"/>
  <c r="Q9" i="3"/>
  <c r="N8" i="9" s="1"/>
  <c r="J9" i="3"/>
  <c r="H8" i="9" s="1"/>
  <c r="Q8" i="3"/>
  <c r="N10" i="9" s="1"/>
  <c r="J8" i="3"/>
  <c r="H10" i="9" s="1"/>
  <c r="Q7" i="3"/>
  <c r="N9" i="9" s="1"/>
  <c r="J7" i="3"/>
  <c r="H9" i="9" s="1"/>
  <c r="Q6" i="3"/>
  <c r="N7" i="9" s="1"/>
  <c r="J6" i="3"/>
  <c r="H7" i="9" s="1"/>
  <c r="Q5" i="3"/>
  <c r="N5" i="9" s="1"/>
  <c r="J5" i="3"/>
  <c r="H5" i="9" s="1"/>
  <c r="L12" i="2"/>
  <c r="K12" i="2"/>
  <c r="J12" i="2"/>
  <c r="I12" i="2"/>
  <c r="H12" i="2"/>
  <c r="G12" i="2"/>
  <c r="F12" i="2"/>
  <c r="E12" i="2"/>
  <c r="D12" i="2"/>
  <c r="C12" i="2"/>
  <c r="L11" i="2"/>
  <c r="K11" i="2"/>
  <c r="J11" i="2"/>
  <c r="I11" i="2"/>
  <c r="H11" i="2"/>
  <c r="G11" i="2"/>
  <c r="F11" i="2"/>
  <c r="E11" i="2"/>
  <c r="D11" i="2"/>
  <c r="C11" i="2"/>
  <c r="L10" i="2"/>
  <c r="K10" i="2"/>
  <c r="J10" i="2"/>
  <c r="I10" i="2"/>
  <c r="H10" i="2"/>
  <c r="G10" i="2"/>
  <c r="F10" i="2"/>
  <c r="E10" i="2"/>
  <c r="D10" i="2"/>
  <c r="C10" i="2"/>
  <c r="L9" i="2"/>
  <c r="K9" i="2"/>
  <c r="J9" i="2"/>
  <c r="I9" i="2"/>
  <c r="H9" i="2"/>
  <c r="G9" i="2"/>
  <c r="F9" i="2"/>
  <c r="E9" i="2"/>
  <c r="D9" i="2"/>
  <c r="C9" i="2"/>
  <c r="L8" i="2"/>
  <c r="K8" i="2"/>
  <c r="J8" i="2"/>
  <c r="I8" i="2"/>
  <c r="H8" i="2"/>
  <c r="G8" i="2"/>
  <c r="F8" i="2"/>
  <c r="E8" i="2"/>
  <c r="D8" i="2"/>
  <c r="C8" i="2"/>
  <c r="L7" i="2"/>
  <c r="K7" i="2"/>
  <c r="J7" i="2"/>
  <c r="I7" i="2"/>
  <c r="H7" i="2"/>
  <c r="G7" i="2"/>
  <c r="F7" i="2"/>
  <c r="E7" i="2"/>
  <c r="D7" i="2"/>
  <c r="C7" i="2"/>
  <c r="L6" i="2"/>
  <c r="K6" i="2"/>
  <c r="J6" i="2"/>
  <c r="I6" i="2"/>
  <c r="H6" i="2"/>
  <c r="G6" i="2"/>
  <c r="F6" i="2"/>
  <c r="E6" i="2"/>
  <c r="D6" i="2"/>
  <c r="C6" i="2"/>
  <c r="L5" i="2"/>
  <c r="K5" i="2"/>
  <c r="J5" i="2"/>
  <c r="I5" i="2"/>
  <c r="I13" i="2" s="1"/>
  <c r="H5" i="2"/>
  <c r="H13" i="2" s="1"/>
  <c r="G5" i="2"/>
  <c r="G13" i="2" s="1"/>
  <c r="F5" i="2"/>
  <c r="F13" i="2" s="1"/>
  <c r="E5" i="2"/>
  <c r="E13" i="2" s="1"/>
  <c r="D5" i="2"/>
  <c r="D13" i="2" s="1"/>
  <c r="C5" i="2"/>
  <c r="C13" i="2" s="1"/>
</calcChain>
</file>

<file path=xl/sharedStrings.xml><?xml version="1.0" encoding="utf-8"?>
<sst xmlns="http://schemas.openxmlformats.org/spreadsheetml/2006/main" count="2078" uniqueCount="1086">
  <si>
    <t>Stocktake Optimization — Team Work Plan</t>
  </si>
  <si>
    <t>NKG East Africa / Ibero Kenya · Pathways Technologies · prepared 9 Oct 2026 · plan V1.0</t>
  </si>
  <si>
    <t>How to use this workbook</t>
  </si>
  <si>
    <t>Master Plan</t>
  </si>
  <si>
    <t>Every task with owner, support, dates, dependencies, deliverable and "done when". Update Status (drop-down) and % Done here only.</t>
  </si>
  <si>
    <t>Team Summary</t>
  </si>
  <si>
    <t>Counts, workload and next due date per person — all formulas from Master Plan.</t>
  </si>
  <si>
    <t>Person sheets</t>
  </si>
  <si>
    <t>One sheet per team member (live links to Master Plan rows) — send each person their tab.</t>
  </si>
  <si>
    <t>Next Week (12–16 Oct)</t>
  </si>
  <si>
    <t>Day-by-day plan for every person for the first build week.</t>
  </si>
  <si>
    <t>Gantt</t>
  </si>
  <si>
    <t>Weekly timeline; bars shade automatically from Start/End dates; green = complete.</t>
  </si>
  <si>
    <t>Milestones</t>
  </si>
  <si>
    <t>Key dates the sponsor tracks.</t>
  </si>
  <si>
    <t>NKG Actions</t>
  </si>
  <si>
    <t>What we need from NKG, by when, and which of our tasks it blocks.</t>
  </si>
  <si>
    <t>Meetings &amp; Rhythm</t>
  </si>
  <si>
    <t>Recurring ceremonies (stand-up, status, reviews, steering).</t>
  </si>
  <si>
    <t>Holidays</t>
  </si>
  <si>
    <t>Public holidays excluded from "Work days" (Mashujaa Day Tue 20 Oct falls in Sprint 1).</t>
  </si>
  <si>
    <t>Red text</t>
  </si>
  <si>
    <t>Item still to be confirmed with NKG or the team.</t>
  </si>
  <si>
    <t>Team and responsibilities</t>
  </si>
  <si>
    <t>Name</t>
  </si>
  <si>
    <t>Role</t>
  </si>
  <si>
    <t>Owns</t>
  </si>
  <si>
    <t>Daphne Okwaro</t>
  </si>
  <si>
    <t>Project Manager / Data Analytics Lead</t>
  </si>
  <si>
    <t>Plan, NKG decisions, access, stakeholder management, status reporting, SIT/UAT/training/cutover coordination</t>
  </si>
  <si>
    <t>Moses Masibo</t>
  </si>
  <si>
    <t>Solution Architect</t>
  </si>
  <si>
    <t>Environments, solutions, ALM and Git, security model, data-model and engine design review, code review, PROD readiness</t>
  </si>
  <si>
    <t>Denis Otieno</t>
  </si>
  <si>
    <t>Data Engineer</t>
  </si>
  <si>
    <t>Email intake, validation, dataflows, Dataverse tables, master-data migration, reconciliation engine L1–L3, rules, tie-outs</t>
  </si>
  <si>
    <t>Nicole Akinyi</t>
  </si>
  <si>
    <t>Data Analyst</t>
  </si>
  <si>
    <t>Data profiling, mapping coverage, test data, Power BI model and reports, month-end pack, parallel-run analysis</t>
  </si>
  <si>
    <t>William Imo</t>
  </si>
  <si>
    <t>Power Apps Developer</t>
  </si>
  <si>
    <t>Stock Take app (counter phone/tablet app), offline sync, count flows F11–F12, counter training</t>
  </si>
  <si>
    <t>Andrew Tanui</t>
  </si>
  <si>
    <t>Stock Management Hub (plan, run, review, close, third parties, registers, admin), Hub flows</t>
  </si>
  <si>
    <t>Jones Alukwe</t>
  </si>
  <si>
    <t>Power Apps Developer / Copilot Developer</t>
  </si>
  <si>
    <t>Stock Control Centre (model-driven), BPFs, exceptions, corrections, sign-off gate, Copilot Stock Assistant</t>
  </si>
  <si>
    <t>Frankie Omasaja</t>
  </si>
  <si>
    <t>QA / Test &amp; Documentation — role to confirm</t>
  </si>
  <si>
    <t>SIT scripts and execution, defect log, UAT scripts, user guides and training material formatting</t>
  </si>
  <si>
    <t>Phases</t>
  </si>
  <si>
    <t>Phase</t>
  </si>
  <si>
    <t>Dates</t>
  </si>
  <si>
    <t>Exit criteria</t>
  </si>
  <si>
    <t>0 Discovery</t>
  </si>
  <si>
    <t>1 – 9 Oct</t>
  </si>
  <si>
    <t>Sessions held, BRD V1.1, spec, mockups (done)</t>
  </si>
  <si>
    <t>1 Design</t>
  </si>
  <si>
    <t>5 – 16 Oct</t>
  </si>
  <si>
    <t>BRD/design signed; decisions OD1–OD5, OD9 closed; environments and Git ready</t>
  </si>
  <si>
    <t>2 Sprint 1</t>
  </si>
  <si>
    <t>12 – 23 Oct</t>
  </si>
  <si>
    <t>Intake, tables, master data, app capture, wizard, mapping BPF demoed</t>
  </si>
  <si>
    <t>3 Sprint 2</t>
  </si>
  <si>
    <t>26 Oct – 6 Nov</t>
  </si>
  <si>
    <t>Engine L1–L3, exceptions, corrections, workspace, sign-off, Power BI, Copilot T1–T5</t>
  </si>
  <si>
    <t>4 SIT + parallel run</t>
  </si>
  <si>
    <t>Tie-outs T1–T10 = 0; October count run in new solution (2–4 Nov)</t>
  </si>
  <si>
    <t>5 Training</t>
  </si>
  <si>
    <t>9 – 13 Nov</t>
  </si>
  <si>
    <t>≥ 90% of named users trained; UAT release deployed</t>
  </si>
  <si>
    <t>6 UAT</t>
  </si>
  <si>
    <t>16 – 27 Nov</t>
  </si>
  <si>
    <t>UAT signed by every department</t>
  </si>
  <si>
    <t>7 Cutover</t>
  </si>
  <si>
    <t>23 Nov – 3 Dec</t>
  </si>
  <si>
    <t>PROD live; feeds clean 3 days; baseline approved; first live count 1–3 Dec</t>
  </si>
  <si>
    <t>8 Hypercare</t>
  </si>
  <si>
    <t>1 – 11 Dec</t>
  </si>
  <si>
    <t>First sign-off with residual = 0 by WD7 (9 Dec); handover complete</t>
  </si>
  <si>
    <t>9 Acceptance</t>
  </si>
  <si>
    <t>14 – 17 Dec</t>
  </si>
  <si>
    <t>Formal acceptance 17 Dec</t>
  </si>
  <si>
    <t>Capacity watch</t>
  </si>
  <si>
    <t>Jones (Control Centre + Copilot) and Andrew (Hub + parallel-run support) are heaviest in 2–6 Nov. Copilot topics T6–T10 are deliberately in training week; if Jones slips, Copilot moves into the UAT window (no reconciliation feature depends on it). Frankie's role is assumed as QA / documentation — confirm.</t>
  </si>
  <si>
    <t>All figures are formulas over Master Plan.</t>
  </si>
  <si>
    <t>Tasks owned</t>
  </si>
  <si>
    <t>Complete</t>
  </si>
  <si>
    <t>In progress</t>
  </si>
  <si>
    <t>Not started</t>
  </si>
  <si>
    <t>Blocked / at risk</t>
  </si>
  <si>
    <t>Overdue</t>
  </si>
  <si>
    <t>Owned work days</t>
  </si>
  <si>
    <t>% complete (avg)</t>
  </si>
  <si>
    <t>Next open task due</t>
  </si>
  <si>
    <t>Also supporting (tasks)</t>
  </si>
  <si>
    <t>Total</t>
  </si>
  <si>
    <t>Stocktake Optimization — Master Task Plan (NKG East Africa)</t>
  </si>
  <si>
    <t>Edit Status and % Done here only — person sheets, Gantt and Team Summary update from this sheet. Red text = to confirm with NKG.</t>
  </si>
  <si>
    <t>ID</t>
  </si>
  <si>
    <t>Workstream</t>
  </si>
  <si>
    <t>Task</t>
  </si>
  <si>
    <t>Detailed description / steps</t>
  </si>
  <si>
    <t>Owner</t>
  </si>
  <si>
    <t>Support</t>
  </si>
  <si>
    <t>Start</t>
  </si>
  <si>
    <t>End</t>
  </si>
  <si>
    <t>Work days</t>
  </si>
  <si>
    <t>Depends on</t>
  </si>
  <si>
    <t>Deliverable / output</t>
  </si>
  <si>
    <t>Done when (acceptance)</t>
  </si>
  <si>
    <t>Spec ref</t>
  </si>
  <si>
    <t>Status</t>
  </si>
  <si>
    <t>% Done</t>
  </si>
  <si>
    <t>Overdue?</t>
  </si>
  <si>
    <t>Notes / blockers</t>
  </si>
  <si>
    <t>PM-01</t>
  </si>
  <si>
    <t>Project management</t>
  </si>
  <si>
    <t>Project kick-off and warehouse walk-through</t>
  </si>
  <si>
    <t>Kick-off with NKG; walk the warehouse floor; observe stacking, rows A–G / sections 1–14, bag tags, pockets, lights.</t>
  </si>
  <si>
    <t>All</t>
  </si>
  <si>
    <t>Kick-off notes</t>
  </si>
  <si>
    <t>Held with NKG stakeholders</t>
  </si>
  <si>
    <t>—</t>
  </si>
  <si>
    <t>PM-02</t>
  </si>
  <si>
    <t>Discovery sessions: Finance, Warehouse &amp; Operations, Trade &amp; QC, Logistics</t>
  </si>
  <si>
    <t>Run four sessions; record and transcribe; capture process, pain points, reports, data owners.</t>
  </si>
  <si>
    <t>Moses Masibo, Denis Otieno, Nicole Akinyi</t>
  </si>
  <si>
    <t>Recordings + notes</t>
  </si>
  <si>
    <t>All four sessions held and transcribed</t>
  </si>
  <si>
    <t>BRD</t>
  </si>
  <si>
    <t>PM-03</t>
  </si>
  <si>
    <t>BRD V1.1 (red = items to confirm)</t>
  </si>
  <si>
    <t>Update the BRD from all recordings; mark unconfirmed items in red.</t>
  </si>
  <si>
    <t>STOCKTAKE_BRD_V1.1.docx</t>
  </si>
  <si>
    <t>Issued to team</t>
  </si>
  <si>
    <t>PM-04</t>
  </si>
  <si>
    <t>Design</t>
  </si>
  <si>
    <t>Developer Build Specification V1.0 + screen mockups</t>
  </si>
  <si>
    <t>Write the build specification (Sections 1–22 + appendices) and 10 screen mockups.</t>
  </si>
  <si>
    <t>Spec V1.0 + mockups PDF</t>
  </si>
  <si>
    <t>PM-05</t>
  </si>
  <si>
    <t>Access</t>
  </si>
  <si>
    <t>System access request sent (NKG emails, Power Platform, Git, ITB environment)</t>
  </si>
  <si>
    <t>Request NKG accounts for all 8 team members, environment maker access, Git, legacy ITB environment.</t>
  </si>
  <si>
    <t>Access request email</t>
  </si>
  <si>
    <t>Sent; ITB environment access received</t>
  </si>
  <si>
    <t>16</t>
  </si>
  <si>
    <t>PM-06</t>
  </si>
  <si>
    <t>Weekly status</t>
  </si>
  <si>
    <t>Weekly status report #1</t>
  </si>
  <si>
    <t>Status email (Word + HTML) to NKG.</t>
  </si>
  <si>
    <t>Status report</t>
  </si>
  <si>
    <t>Sent</t>
  </si>
  <si>
    <t>PM-10</t>
  </si>
  <si>
    <t>Weekly status report #2</t>
  </si>
  <si>
    <t>Progress: discovery complete, BRD V1.1, build spec, mockups; next week: design sign-off, decisions OD1–OD9, sprint 1 start.</t>
  </si>
  <si>
    <t>Sent to NKG distribution list</t>
  </si>
  <si>
    <t>PM-11</t>
  </si>
  <si>
    <t>Stakeholders</t>
  </si>
  <si>
    <t>Circulate BRD V1.1, Build Spec and mockups to NKG for review</t>
  </si>
  <si>
    <t>Email to Carol, Maina, Mathew, Denis Koech, department leads; ask for written comments by Wed 14 Oct; attach mockups PDF.</t>
  </si>
  <si>
    <t>Review email</t>
  </si>
  <si>
    <t>Sent; every reviewer acknowledged</t>
  </si>
  <si>
    <t>PM-12</t>
  </si>
  <si>
    <t>Decisions</t>
  </si>
  <si>
    <t>Open-decision log OD1–OD9 (red items)</t>
  </si>
  <si>
    <t>Create decision log (decision, options, recommendation, owner, needed-by). Book 30-min calls per owner. Chase daily until closed.
OD1 cut-off rule; OD2 unit rule (pocket, lights); OD3 Low Grade posting; OD4 provisional stock location; OD5 count tolerance; OD6 write-off thresholds; OD7 sign-off order; OD8 Copilot approval; OD9 licensing/environments.</t>
  </si>
  <si>
    <t>Decision log</t>
  </si>
  <si>
    <t>OD1–OD5 and OD9 closed by 16 Oct; OD6–OD8 by 23 Oct</t>
  </si>
  <si>
    <t>22.3</t>
  </si>
  <si>
    <t>PM-13</t>
  </si>
  <si>
    <t>Design walkthrough with NKG (mockups + zero-variance model)</t>
  </si>
  <si>
    <t>2-hour session, Digitization Project Team Boardroom / Teams. Demo mockups screen by screen; explain residual = 0 gate; collect feedback.</t>
  </si>
  <si>
    <t>Moses Masibo, William Imo, Andrew Tanui, Jones Alukwe</t>
  </si>
  <si>
    <t>Feedback list</t>
  </si>
  <si>
    <t>Feedback logged and triaged into backlog</t>
  </si>
  <si>
    <t>3, 4, 9–14</t>
  </si>
  <si>
    <t>PM-14</t>
  </si>
  <si>
    <t>Obtain BRD and design sign-off</t>
  </si>
  <si>
    <t>Update BRD/spec for walkthrough feedback (V1.2); obtain written sign-off from the approval table.</t>
  </si>
  <si>
    <t>PM-13, PM-12</t>
  </si>
  <si>
    <t>Signed BRD V1.2 + Spec V1.1</t>
  </si>
  <si>
    <t>Signatures/approval emails received</t>
  </si>
  <si>
    <t>Doc control</t>
  </si>
  <si>
    <t>PM-15</t>
  </si>
  <si>
    <t>Data feeds</t>
  </si>
  <si>
    <t>Formal data-feed request to XBS and Comtras/BRIC owners</t>
  </si>
  <si>
    <t>Request: (1) sample files for every feed S1–S15 by 14 Oct; (2) scheduled daily email to shared mailbox at 07:00 with subject STK|&lt;SOURCE&gt;|&lt;YYYYMMDD&gt;|&lt;HHMM&gt;; (3) named backup sender.</t>
  </si>
  <si>
    <t>Feed request email + owner list</t>
  </si>
  <si>
    <t>Every feed has a named owner and a start date</t>
  </si>
  <si>
    <t>7.1–7.2</t>
  </si>
  <si>
    <t>PM-16</t>
  </si>
  <si>
    <t>Licensing and environment confirmation with NKG IT</t>
  </si>
  <si>
    <t>Confirm Power Apps Premium for Hub/Control Centre users, service account stk.svc, shared mailbox, DEV/UAT/PROD Dataverse environments, Copilot Studio availability.</t>
  </si>
  <si>
    <t>Confirmation email from NKG IT</t>
  </si>
  <si>
    <t>Licences and environments confirmed in writing</t>
  </si>
  <si>
    <t>15, 16</t>
  </si>
  <si>
    <t>MO-01</t>
  </si>
  <si>
    <t>Architecture</t>
  </si>
  <si>
    <t>Inventory the ITB (John Nyongesa) solution</t>
  </si>
  <si>
    <t>Export managed solution "NKG Stock Solution" and all flows; list every app, flow, dataflow, table, SharePoint list, connection and owner; note what to keep/rebuild/retire.</t>
  </si>
  <si>
    <t>ITB inventory sheet + exported zip in Git /legacy</t>
  </si>
  <si>
    <t>Inventory reviewed with team</t>
  </si>
  <si>
    <t>2, 16.4</t>
  </si>
  <si>
    <t>MO-02</t>
  </si>
  <si>
    <t>Ownership-transfer plan for ITB apps and flows</t>
  </si>
  <si>
    <t>Plan transfer of flows/apps from the external account to stk.svc so nothing stops when the external account is removed; agree date with NKG IT.</t>
  </si>
  <si>
    <t>Transfer plan</t>
  </si>
  <si>
    <t>NKG IT agreed date</t>
  </si>
  <si>
    <t>16.4</t>
  </si>
  <si>
    <t>MO-03</t>
  </si>
  <si>
    <t>Environments</t>
  </si>
  <si>
    <t>Request/confirm DEV, UAT, PROD environments and DLP policy</t>
  </si>
  <si>
    <t>Dataverse in each; DLP Business group: Dataverse, SharePoint, Outlook, Teams, Approvals, Power BI; block consumer connectors.</t>
  </si>
  <si>
    <t>Environments live</t>
  </si>
  <si>
    <t>Team can open DEV as makers</t>
  </si>
  <si>
    <t>16.1, 15.2</t>
  </si>
  <si>
    <t>MO-04</t>
  </si>
  <si>
    <t>ALM</t>
  </si>
  <si>
    <t>Create publisher (prefix stk) and solutions in DEV</t>
  </si>
  <si>
    <t>STK Core, STK Apps, STK Automation, STK Copilot; environment-variable and connection-reference standards.</t>
  </si>
  <si>
    <t>Solutions in DEV</t>
  </si>
  <si>
    <t>All devs building inside solutions</t>
  </si>
  <si>
    <t>16.2, App. D</t>
  </si>
  <si>
    <t>MO-05</t>
  </si>
  <si>
    <t>Git repository and branching</t>
  </si>
  <si>
    <t>Create repo (/solutions, /powerbi, /docs, /test, /legacy); main/develop/feature branches; PR rule (Moses reviews); access for all 8.</t>
  </si>
  <si>
    <t>Git repo</t>
  </si>
  <si>
    <t>First commit by every developer</t>
  </si>
  <si>
    <t>16.3</t>
  </si>
  <si>
    <t>MO-06</t>
  </si>
  <si>
    <t>Data model</t>
  </si>
  <si>
    <t>Data-model review (34 tables, keys, alternate keys)</t>
  </si>
  <si>
    <t>Review with Denis: columns, choice sets, relationships, alternate keys (stk_localid, rule+key), audit settings.</t>
  </si>
  <si>
    <t>Approved ERD</t>
  </si>
  <si>
    <t>Signed off by Moses</t>
  </si>
  <si>
    <t>6</t>
  </si>
  <si>
    <t>NI-01</t>
  </si>
  <si>
    <t>Data analysis</t>
  </si>
  <si>
    <t>Profile sample files from every feed</t>
  </si>
  <si>
    <t>For each file: row counts, keys, duplicates, blanks, grade/quality codes, units, date formats; compare to Appendix E templates.</t>
  </si>
  <si>
    <t>Profiling report</t>
  </si>
  <si>
    <t>Issues list sent to data owners</t>
  </si>
  <si>
    <t>7.2, App. E</t>
  </si>
  <si>
    <t>DO-01</t>
  </si>
  <si>
    <t>Data engineering</t>
  </si>
  <si>
    <t>Review ITB dataflows and staging</t>
  </si>
  <si>
    <t>Understand current dataflows → Dataverse staging → SharePoint lists; note reusable logic and known failures.</t>
  </si>
  <si>
    <t>Notes in Git /docs</t>
  </si>
  <si>
    <t>Reviewed with Moses</t>
  </si>
  <si>
    <t>2</t>
  </si>
  <si>
    <t>DO-02</t>
  </si>
  <si>
    <t>Finalise intake file templates and column mappings</t>
  </si>
  <si>
    <t>Agree exact column names per feed with owners; publish templates in STK-Intake/Templates.</t>
  </si>
  <si>
    <t>Templates S1–S15</t>
  </si>
  <si>
    <t>Owners confirm they can produce them</t>
  </si>
  <si>
    <t>App. E</t>
  </si>
  <si>
    <t>WI-01</t>
  </si>
  <si>
    <t>Stock Take app</t>
  </si>
  <si>
    <t>Review ITB Stock Take app</t>
  </si>
  <si>
    <t>Walk every screen and formula; note delegation warnings, performance, what to keep/rebuild.</t>
  </si>
  <si>
    <t>Review notes</t>
  </si>
  <si>
    <t>Shared at stand-up</t>
  </si>
  <si>
    <t>9</t>
  </si>
  <si>
    <t>AN-01</t>
  </si>
  <si>
    <t>Hub</t>
  </si>
  <si>
    <t>Review ITB Stock Management app</t>
  </si>
  <si>
    <t>Admin, Import, Dashboard, Reports, Stock Takes approvals: document logic and data sources.</t>
  </si>
  <si>
    <t>10</t>
  </si>
  <si>
    <t>JO-01</t>
  </si>
  <si>
    <t>Control Centre / Copilot</t>
  </si>
  <si>
    <t>Copilot Studio and model-driven readiness check</t>
  </si>
  <si>
    <t>Check Copilot Studio availability/licensing in tenant; list knowledge sources; draft model-driven site map.</t>
  </si>
  <si>
    <t>Readiness note</t>
  </si>
  <si>
    <t>Input to OD8</t>
  </si>
  <si>
    <t>11, 14</t>
  </si>
  <si>
    <t>WI-02</t>
  </si>
  <si>
    <t>Shared UI</t>
  </si>
  <si>
    <t>Shared component library (NKG theme)</t>
  </si>
  <si>
    <t>Header, buttons, chips, tiles, input fields in NKG Green #006330 palette; published as component library for all canvas apps.</t>
  </si>
  <si>
    <t>Component library</t>
  </si>
  <si>
    <t>Used by Stock Take app and Hub</t>
  </si>
  <si>
    <t>9.1</t>
  </si>
  <si>
    <t>FR-01</t>
  </si>
  <si>
    <t>Testing</t>
  </si>
  <si>
    <t>Test strategy and defect process</t>
  </si>
  <si>
    <t>Defect log (severity 1–4, owner, status), test case template, SIT script structure per area.</t>
  </si>
  <si>
    <t>Test strategy + defect log</t>
  </si>
  <si>
    <t>Approved by PM</t>
  </si>
  <si>
    <t>18</t>
  </si>
  <si>
    <t>PM-20</t>
  </si>
  <si>
    <t>Delivery</t>
  </si>
  <si>
    <t>Sprint 1 planning</t>
  </si>
  <si>
    <t>Assign Sprint 1 stories; confirm capacity (Mashujaa Day Tue 20 Oct is a public holiday).</t>
  </si>
  <si>
    <t>Sprint 1 board</t>
  </si>
  <si>
    <t>Every story has owner and estimate</t>
  </si>
  <si>
    <t>19</t>
  </si>
  <si>
    <t>MO-07</t>
  </si>
  <si>
    <t>Shared mailbox and SharePoint STK-Intake site</t>
  </si>
  <si>
    <t>With NKG IT: create mailbox stocktake.data@nkg.coffee; library STK-Intake with Incoming/Rejected/Processed/Templates; permissions for stk.svc.</t>
  </si>
  <si>
    <t>Mailbox + library</t>
  </si>
  <si>
    <t>Test email lands and is readable by flow</t>
  </si>
  <si>
    <t>7.1</t>
  </si>
  <si>
    <t>DO-03</t>
  </si>
  <si>
    <t>Create Dataverse tables in STK Core</t>
  </si>
  <si>
    <t>Build 34 stk_ tables with columns, choices, alternate keys, relationships, auditing; stk_config seeded with keys.</t>
  </si>
  <si>
    <t>Tables in DEV</t>
  </si>
  <si>
    <t>ERD = DEV schema; solution exported to Git</t>
  </si>
  <si>
    <t>DO-04</t>
  </si>
  <si>
    <t>Intake</t>
  </si>
  <si>
    <t>F01 Receive intake email</t>
  </si>
  <si>
    <t>Trigger on shared mailbox; parse subject; sender allow-list; save attachment as &lt;SOURCE&gt;_&lt;YYYYMMDD&gt;_&lt;HHMM&gt;.&lt;ext&gt;; log to stk_loadlog.</t>
  </si>
  <si>
    <t>MO-07, DO-03</t>
  </si>
  <si>
    <t>Flow F01</t>
  </si>
  <si>
    <t>10 test emails processed correctly, bad sender rejected</t>
  </si>
  <si>
    <t>12.2</t>
  </si>
  <si>
    <t>DO-05</t>
  </si>
  <si>
    <t>F02 Validate file (V1–V7)</t>
  </si>
  <si>
    <t>Columns, types, dates, row counts, duplicates, control totals, period; move to Rejected + reply with reason, or Processed + trigger load.</t>
  </si>
  <si>
    <t>Flow F02</t>
  </si>
  <si>
    <t>Each V-rule has a failing test file that is rejected with the right reason</t>
  </si>
  <si>
    <t>7.3</t>
  </si>
  <si>
    <t>DO-06</t>
  </si>
  <si>
    <t>Dataflows to staging + F03 load</t>
  </si>
  <si>
    <t>One dataflow per source (XBS stock, XBS movements, 526, 537, contracts, SNI, provisional, third-party); F03 refresh, poll, snapshot header, row-count check.</t>
  </si>
  <si>
    <t>Dataflows + F03</t>
  </si>
  <si>
    <t>T1 completeness passes for every sample file</t>
  </si>
  <si>
    <t>7, 12.2</t>
  </si>
  <si>
    <t>DO-07</t>
  </si>
  <si>
    <t>Master data</t>
  </si>
  <si>
    <t>Master-data migration</t>
  </si>
  <si>
    <t>Load warehouses, locations, zones, grades, quality codes, packing types, secondary/primary baskets, contracts, mappings from ITB lists and Comtras.</t>
  </si>
  <si>
    <t>Master data in DEV</t>
  </si>
  <si>
    <t>Counts tie to sources; T2 coverage report produced</t>
  </si>
  <si>
    <t>7.5</t>
  </si>
  <si>
    <t>NI-02</t>
  </si>
  <si>
    <t>Mapping coverage analysis</t>
  </si>
  <si>
    <t>Outturn → grade → secondary → primary basket; list unmapped and conflicting outturns for Trade/QC with eq60 impact.</t>
  </si>
  <si>
    <t>Coverage report + unmapped list</t>
  </si>
  <si>
    <t>List sent to Trade and QC</t>
  </si>
  <si>
    <t>8.2, 11.2</t>
  </si>
  <si>
    <t>NI-03</t>
  </si>
  <si>
    <t>Build test data sets</t>
  </si>
  <si>
    <t>Scenarios for every RI code and EX01–EX20: found-elsewhere, pockets, lights, timing, third-party, SNI, provisional, wrong basket, roll-over.</t>
  </si>
  <si>
    <t>Test data pack in Git /test</t>
  </si>
  <si>
    <t>Each scenario has expected result</t>
  </si>
  <si>
    <t>8.4, 8.5, 18</t>
  </si>
  <si>
    <t>WI-03</t>
  </si>
  <si>
    <t>S1 Sign-in/version check and S2 Home</t>
  </si>
  <si>
    <t>SSO, role &amp; warehouse load, App.MinVersion check; Home tiles, banner with cut-off and time left.</t>
  </si>
  <si>
    <t>Screens S1–S2</t>
  </si>
  <si>
    <t>Demoed at stand-up</t>
  </si>
  <si>
    <t>9.2</t>
  </si>
  <si>
    <t>WI-04</t>
  </si>
  <si>
    <t>S3 My Assignments and S4 Location (QR)</t>
  </si>
  <si>
    <t>Assignments grouped by zone with status chips; QR scan or pick; Start count / Mark empty / Cannot access (reason).</t>
  </si>
  <si>
    <t>WI-03, DO-03</t>
  </si>
  <si>
    <t>Screens S3–S4</t>
  </si>
  <si>
    <t>QR test labels scan on 2 devices</t>
  </si>
  <si>
    <t>WI-05</t>
  </si>
  <si>
    <t>S5 Capture screen</t>
  </si>
  <si>
    <t>Outturn scan/search (StartsWith, delegable); Expected / Found elsewhere / Not in list / Unidentified (photo); grade from mapping; packing default; bags + pocket; live Units/Kg/Eq60; category.</t>
  </si>
  <si>
    <t>Screen S5</t>
  </si>
  <si>
    <t>AC-9.2: 20 test lines equal engine calculation</t>
  </si>
  <si>
    <t>9.3</t>
  </si>
  <si>
    <t>AN-02</t>
  </si>
  <si>
    <t>Admin screens</t>
  </si>
  <si>
    <t>Warehouses, grades, packing types, unit rules (with approval), stk_config editor with change reason, users and roles.</t>
  </si>
  <si>
    <t>WI-02, DO-03</t>
  </si>
  <si>
    <t>Admin area</t>
  </si>
  <si>
    <t>Config change writes audit record</t>
  </si>
  <si>
    <t>10.8</t>
  </si>
  <si>
    <t>AN-03</t>
  </si>
  <si>
    <t>Location generator + QR labels</t>
  </si>
  <si>
    <t>Generate A01–G14 per warehouse; deactivate not delete; print QR label sheet (PDF via Word template flow).</t>
  </si>
  <si>
    <t>Generator + label PDF</t>
  </si>
  <si>
    <t>98 labels generated for Main Warehouse test</t>
  </si>
  <si>
    <t>AN-04</t>
  </si>
  <si>
    <t>Stock take wizard (5 steps) + F10 notify</t>
  </si>
  <si>
    <t>Type, cut-off, locked snapshot, scope, counters, review &amp; create; pre-checks (feeds, lock, EX20, mapping); creates stocktake, assignments, hidden expected lines; F10 Teams/email.</t>
  </si>
  <si>
    <t>AN-03, DO-06</t>
  </si>
  <si>
    <t>Wizard + F10</t>
  </si>
  <si>
    <t>Stock take created from test snapshot; counters notified</t>
  </si>
  <si>
    <t>10.2</t>
  </si>
  <si>
    <t>JO-02</t>
  </si>
  <si>
    <t>Control Centre</t>
  </si>
  <si>
    <t>Model-driven app shell</t>
  </si>
  <si>
    <t>Site map (Master data, Stock positions, Reconciliation, Exceptions, Close, Insights); main forms and views for master-data tables.</t>
  </si>
  <si>
    <t>App shell</t>
  </si>
  <si>
    <t>All tables navigable</t>
  </si>
  <si>
    <t>11.1</t>
  </si>
  <si>
    <t>JO-03</t>
  </si>
  <si>
    <t>Mapping BPF + F22 + versioning</t>
  </si>
  <si>
    <t>Proposed → QC verified → Finance approved → Active; effective dates; coverage and conflict views; F22 notifications; overlap blocked.</t>
  </si>
  <si>
    <t>Mapping BPF</t>
  </si>
  <si>
    <t>UAT-03 path works end to end in DEV</t>
  </si>
  <si>
    <t>11.2</t>
  </si>
  <si>
    <t>MO-08</t>
  </si>
  <si>
    <t>Security</t>
  </si>
  <si>
    <t>Security model build</t>
  </si>
  <si>
    <t>Entra groups SG-STK-&lt;Role&gt;; 10 Dataverse roles; team mapping; field security (expected qty hidden from Counter, approvals, config).</t>
  </si>
  <si>
    <t>Roles + groups</t>
  </si>
  <si>
    <t>Role test: counter cannot read expected qty</t>
  </si>
  <si>
    <t>15</t>
  </si>
  <si>
    <t>MO-09</t>
  </si>
  <si>
    <t>Build and deploy pipeline DEV → UAT</t>
  </si>
  <si>
    <t>pac CLI export/unpack/commit; managed build; deployment settings per environment.</t>
  </si>
  <si>
    <t>Pipeline</t>
  </si>
  <si>
    <t>First managed deploy to UAT succeeds</t>
  </si>
  <si>
    <t>FR-02</t>
  </si>
  <si>
    <t>Write SIT scripts</t>
  </si>
  <si>
    <t>Scripts for INT, MAP, CNT, EXC, COR, PRV, REG, 3P, CON, FB areas with steps, test data and expected results.</t>
  </si>
  <si>
    <t>FR-01, NI-03</t>
  </si>
  <si>
    <t>SIT script pack</t>
  </si>
  <si>
    <t>Reviewed by Moses</t>
  </si>
  <si>
    <t>18.1, App. B</t>
  </si>
  <si>
    <t>PM-21</t>
  </si>
  <si>
    <t>Sprint 1 review / demo to NKG</t>
  </si>
  <si>
    <t>Demo intake, master data, Stock Take app capture, wizard, mapping BPF.</t>
  </si>
  <si>
    <t>Demo + feedback</t>
  </si>
  <si>
    <t>NKG feedback logged</t>
  </si>
  <si>
    <t>PM-30</t>
  </si>
  <si>
    <t>Sprint 2 planning</t>
  </si>
  <si>
    <t>Carry-over from Sprint 1; confirm parallel-run plan.</t>
  </si>
  <si>
    <t>Sprint 2 board</t>
  </si>
  <si>
    <t>Stories assigned</t>
  </si>
  <si>
    <t>DO-08</t>
  </si>
  <si>
    <t>F04 missing-feed, F05 reprocess, F06 lock snapshot</t>
  </si>
  <si>
    <t>F04 08:00 check → EX20; F05 Hub button; F06 locks month-end snapshot.</t>
  </si>
  <si>
    <t>Flows F04–F06</t>
  </si>
  <si>
    <t>Missing test feed raises EX20</t>
  </si>
  <si>
    <t>DO-09</t>
  </si>
  <si>
    <t>Engine</t>
  </si>
  <si>
    <t>Normalisation and mass balance</t>
  </si>
  <si>
    <t>Convert all positions to kg/eq60 with unit rules; opening + receipts − issues ± adjustments = closing per outturn.</t>
  </si>
  <si>
    <t>Engine step 1</t>
  </si>
  <si>
    <t>T6 passes on test data</t>
  </si>
  <si>
    <t>4.2–4.3</t>
  </si>
  <si>
    <t>DO-10</t>
  </si>
  <si>
    <t>L1 Physical vs XBS (F30)</t>
  </si>
  <si>
    <t>Compare count vs locked snapshot; attach RIs in order TIMING, LOCATION, CORRECTION-PENDING, UNIT-RULE, PACKING, PROVISIONAL, THIRD-PARTY, REMNANT; raise EX01/EX02.</t>
  </si>
  <si>
    <t>L1 engine</t>
  </si>
  <si>
    <t>Worked example KCS7948 gives residual 0</t>
  </si>
  <si>
    <t>4.4, 8.3</t>
  </si>
  <si>
    <t>DO-11</t>
  </si>
  <si>
    <t>L2 XBS vs Comtras</t>
  </si>
  <si>
    <t>SNI add-back, provisional, registers; RIs DOWNGRADE, PURCHASE-PENDING, WRONG-BASKET, ROLLOVER, BRIC-PENDING, SHORT-DELIVERY; EX15.</t>
  </si>
  <si>
    <t>L2 engine</t>
  </si>
  <si>
    <t>T4 passes on test data</t>
  </si>
  <si>
    <t>4.5</t>
  </si>
  <si>
    <t>DO-12</t>
  </si>
  <si>
    <t>L3 Baskets vs Contracts</t>
  </si>
  <si>
    <t>Basket balances vs contract open quantities incl. roll-over lineage.</t>
  </si>
  <si>
    <t>L3 engine</t>
  </si>
  <si>
    <t>T5 passes</t>
  </si>
  <si>
    <t>4.6</t>
  </si>
  <si>
    <t>DO-13</t>
  </si>
  <si>
    <t>Rules</t>
  </si>
  <si>
    <t>F20 daily rules EX05–EX20 + upsert child flow</t>
  </si>
  <si>
    <t>Rule child flows return (rule, key, qty, details); upsert on alternate key; auto-close when cleared.</t>
  </si>
  <si>
    <t>F20 + rules</t>
  </si>
  <si>
    <t>Each EX code fires and auto-closes on test data</t>
  </si>
  <si>
    <t>8.5, 12.3</t>
  </si>
  <si>
    <t>DO-14</t>
  </si>
  <si>
    <t>Automation</t>
  </si>
  <si>
    <t>F23 provisional auto-match, F28 correction posting check</t>
  </si>
  <si>
    <t>Close provisional on matching XBS receipt; mark corrections Posted from next snapshot or raise EX13.</t>
  </si>
  <si>
    <t>Flows F23, F28</t>
  </si>
  <si>
    <t>Test receipt closes provisional; unposted correction ages to EX13</t>
  </si>
  <si>
    <t>NI-04</t>
  </si>
  <si>
    <t>Power BI</t>
  </si>
  <si>
    <t>Power BI model</t>
  </si>
  <si>
    <t>Dataverse connection; FactStock, FactRecon, FactException, FactMovement; dims; Import + DirectQuery split.</t>
  </si>
  <si>
    <t>PBIP in Git</t>
  </si>
  <si>
    <t>Model refreshes in DEV workspace</t>
  </si>
  <si>
    <t>13.1</t>
  </si>
  <si>
    <t>NI-05</t>
  </si>
  <si>
    <t>DAX measures</t>
  </si>
  <si>
    <t>Eq60 by source, Raw Diff, RI Total, Corrections, Residual, Residual OK, Count Accuracy %, Open/Overdue exceptions.</t>
  </si>
  <si>
    <t>Measures</t>
  </si>
  <si>
    <t>Measures match hand-calculated test values</t>
  </si>
  <si>
    <t>13.2</t>
  </si>
  <si>
    <t>NI-06</t>
  </si>
  <si>
    <t>Eight report pages</t>
  </si>
  <si>
    <t>Executive, Stock position, Reconciliation waterfall, Exceptions, Count performance, Provisional &amp; SNI, Third parties, Data quality.</t>
  </si>
  <si>
    <t>Report</t>
  </si>
  <si>
    <t>Matches mockup 08; reviewed by PM</t>
  </si>
  <si>
    <t>13.3</t>
  </si>
  <si>
    <t>NI-07</t>
  </si>
  <si>
    <t>RLS, workspace app, embed</t>
  </si>
  <si>
    <t>RLS by department/warehouse; publish workspace app "NKG EA Stock Control"; embed in Control Centre with Jones.</t>
  </si>
  <si>
    <t>Workspace app</t>
  </si>
  <si>
    <t>Role test: Logistics sees only Logistics pages</t>
  </si>
  <si>
    <t>NI-08</t>
  </si>
  <si>
    <t>Reporting</t>
  </si>
  <si>
    <t>Month-end pack template (F32)</t>
  </si>
  <si>
    <t>Paginated report / Word template: residuals, waterfall, exceptions, corrections, sign-off history.</t>
  </si>
  <si>
    <t>Pack template</t>
  </si>
  <si>
    <t>PDF generated from test period</t>
  </si>
  <si>
    <t>WI-06</t>
  </si>
  <si>
    <t>S6 Location summary and close; F11 bulk submit</t>
  </si>
  <si>
    <t>Review lines, totals, edit before submit, close location; F11 for &gt;50 lines.</t>
  </si>
  <si>
    <t>S6 + F11</t>
  </si>
  <si>
    <t>Close writes lines and status in one action</t>
  </si>
  <si>
    <t>9.4</t>
  </si>
  <si>
    <t>WI-07</t>
  </si>
  <si>
    <t>Offline queue and sync (S9)</t>
  </si>
  <si>
    <t>LoadData/SaveData queue; 30-s timer sync; Failed state with reason; idempotent on stk_localid.</t>
  </si>
  <si>
    <t>Offline sync</t>
  </si>
  <si>
    <t>AC-9.3: 100 offline lines sync with 0 duplicates, 0 loss</t>
  </si>
  <si>
    <t>9.5</t>
  </si>
  <si>
    <t>WI-08</t>
  </si>
  <si>
    <t>Smart warnings + F12 not-in-list alert</t>
  </si>
  <si>
    <t>Duplicate in location, counted elsewhere, implausible qty, pocket ≥ bag, closed location; F12 supervisor alert with photo.</t>
  </si>
  <si>
    <t>Warnings + F12</t>
  </si>
  <si>
    <t>Each warning shown with test data</t>
  </si>
  <si>
    <t>9.3.3</t>
  </si>
  <si>
    <t>WI-09</t>
  </si>
  <si>
    <t>S7 Recount (double-blind), S8 100% issue/receive, S10 Help</t>
  </si>
  <si>
    <t>Recount task view; issue/receive during count; Help with rules card and Stock Assistant link.</t>
  </si>
  <si>
    <t>Screens S7, S8, S10</t>
  </si>
  <si>
    <t>Recount goes to a different counter</t>
  </si>
  <si>
    <t>WI-10</t>
  </si>
  <si>
    <t>Device and floor testing</t>
  </si>
  <si>
    <t>Test on NKG phones/tablets — models to confirm in far zones and Wi-Fi dead spots; glove test; font sizes.</t>
  </si>
  <si>
    <t>Device test report</t>
  </si>
  <si>
    <t>No blocker on any device</t>
  </si>
  <si>
    <t>AN-05</t>
  </si>
  <si>
    <t>Assignments board and auto-balance</t>
  </si>
  <si>
    <t>Assign by zone; auto-balance by expected line count; block self-recount.</t>
  </si>
  <si>
    <t>Assignments board</t>
  </si>
  <si>
    <t>Balanced split for 98 locations</t>
  </si>
  <si>
    <t>AN-06</t>
  </si>
  <si>
    <t>Live monitor</t>
  </si>
  <si>
    <t>KPIs, floor map, progress by counter, in-XBS-not-counted, counted-not-in-XBS; 60-s refresh.</t>
  </si>
  <si>
    <t>AN-05, WI-06</t>
  </si>
  <si>
    <t>AC-9.4: new line visible within 60 s</t>
  </si>
  <si>
    <t>10.3</t>
  </si>
  <si>
    <t>AN-07</t>
  </si>
  <si>
    <t>F13 location variance check, recount and unidentified queues</t>
  </si>
  <si>
    <t>Compare with hidden expected; out of tolerance → recount to different counter; supervisor queues.</t>
  </si>
  <si>
    <t>F13 + queues</t>
  </si>
  <si>
    <t>Out-of-tolerance location creates recount</t>
  </si>
  <si>
    <t>10.4, 12.2</t>
  </si>
  <si>
    <t>AN-08</t>
  </si>
  <si>
    <t>Variance review, manual approvals, close count + F14</t>
  </si>
  <si>
    <t>Supervisor actions with comment; close only when all closed/recounts done; F14 freezes lines and triggers L1.</t>
  </si>
  <si>
    <t>AN-07, DO-10</t>
  </si>
  <si>
    <t>Review + close</t>
  </si>
  <si>
    <t>AC-9.5: close to L1 with no manual step</t>
  </si>
  <si>
    <t>10.4–10.5</t>
  </si>
  <si>
    <t>AN-09</t>
  </si>
  <si>
    <t>Third-party confirmations + F15</t>
  </si>
  <si>
    <t>Balance statements M−5, capture replies, chase M−3, escalate M−2, EX10/EX11.</t>
  </si>
  <si>
    <t>Screen + F15</t>
  </si>
  <si>
    <t>Test third party with difference creates RI-THIRD-PARTY</t>
  </si>
  <si>
    <t>10.6</t>
  </si>
  <si>
    <t>AN-10</t>
  </si>
  <si>
    <t>Registers + F24, Imports &amp; load log, Audit</t>
  </si>
  <si>
    <t>Disputed, franchise, ex-office, sweepings, loose bags, lights; release actions; upload-to-Incoming fallback; audit view.</t>
  </si>
  <si>
    <t>Screens + F24</t>
  </si>
  <si>
    <t>Release creates correction where required</t>
  </si>
  <si>
    <t>10.7, 10.9</t>
  </si>
  <si>
    <t>JO-04</t>
  </si>
  <si>
    <t>Contracts lineage + F26, provisional pipeline views</t>
  </si>
  <si>
    <t>Contract form with allocations, relief, amendments; roll-over lineage; provisional stages and ageing.</t>
  </si>
  <si>
    <t>Forms + F26</t>
  </si>
  <si>
    <t>Roll-over test links successor contract</t>
  </si>
  <si>
    <t>11.4–11.5</t>
  </si>
  <si>
    <t>JO-05</t>
  </si>
  <si>
    <t>Exception register + F21 notifications</t>
  </si>
  <si>
    <t>Views (my, team, overdue, closed); SLA timer; comments table; resolution codes; F21 owner alerts, 16:00 reminders, escalation.</t>
  </si>
  <si>
    <t>Register + F21</t>
  </si>
  <si>
    <t>Overdue test exception escalates to manager</t>
  </si>
  <si>
    <t>11.8</t>
  </si>
  <si>
    <t>JO-06</t>
  </si>
  <si>
    <t>Reconciliation workspace (custom page)</t>
  </si>
  <si>
    <t>Tabs L1/L2/L3; tiles raw/RIs/corrections/residual; drill grid; side panel (RIs, exceptions, comments); Attach RI, Propose correction, Re-run.</t>
  </si>
  <si>
    <t>Workspace</t>
  </si>
  <si>
    <t>Matches mockup 04 with live DEV data</t>
  </si>
  <si>
    <t>11.6</t>
  </si>
  <si>
    <t>JO-07</t>
  </si>
  <si>
    <t>Corrections + approval matrix + F27 batch</t>
  </si>
  <si>
    <t>Correction form, SoD (proposer ≠ approver), approval by type/value, weekly Excel batch per system owner.</t>
  </si>
  <si>
    <t>Corrections + F27</t>
  </si>
  <si>
    <t>Same-user approval is blocked</t>
  </si>
  <si>
    <t>11.9, 15.2</t>
  </si>
  <si>
    <t>JO-08</t>
  </si>
  <si>
    <t>Downgrade worksheet + F25; SNI/shorts views; feedback log</t>
  </si>
  <si>
    <t>Monthly Low Grade candidates; approval creates mapping versions + basket-transfer correction.</t>
  </si>
  <si>
    <t>Worksheet + views</t>
  </si>
  <si>
    <t>Approved downgrade shows RI-DOWNGRADE in L2</t>
  </si>
  <si>
    <t>11.3, 11.7, 11.10</t>
  </si>
  <si>
    <t>JO-09</t>
  </si>
  <si>
    <t>Sign-off BPF + F31 gate/lock + F32 trigger</t>
  </si>
  <si>
    <t>Six stages with automatic gate checks; final locks period and publishes pack.</t>
  </si>
  <si>
    <t>JO-06, NI-08</t>
  </si>
  <si>
    <t>Sign-off BPF</t>
  </si>
  <si>
    <t>UAT-06: sign-off blocked while residual ≠ 0</t>
  </si>
  <si>
    <t>11.11</t>
  </si>
  <si>
    <t>JO-10</t>
  </si>
  <si>
    <t>Copilot</t>
  </si>
  <si>
    <t>Stock Assistant set-up + topics T1–T5</t>
  </si>
  <si>
    <t>Agent in DEV, Entra auth, STK-Knowledge library, read-only actions; topics: where is outturn, why variance, count progress, my exceptions, explain a rule.</t>
  </si>
  <si>
    <t>JO-01, DO-10</t>
  </si>
  <si>
    <t>Agent with T1–T5</t>
  </si>
  <si>
    <t>T1–T5 answer test questions correctly</t>
  </si>
  <si>
    <t>14</t>
  </si>
  <si>
    <t>MO-10</t>
  </si>
  <si>
    <t>Engine design review</t>
  </si>
  <si>
    <t>Review L1–L3 order, RI taxonomy implementation and idempotency with Denis.</t>
  </si>
  <si>
    <t>Issues fixed before SIT</t>
  </si>
  <si>
    <t>4, 8.3</t>
  </si>
  <si>
    <t>MO-11</t>
  </si>
  <si>
    <t>Operations</t>
  </si>
  <si>
    <t>F40 health check, F41 housekeeping, Teams STK Support channel</t>
  </si>
  <si>
    <t>Hourly health check; weekly archive; alert channel.</t>
  </si>
  <si>
    <t>Flows F40–F41</t>
  </si>
  <si>
    <t>Turned-off test flow raises alert</t>
  </si>
  <si>
    <t>MO-12</t>
  </si>
  <si>
    <t>Code review</t>
  </si>
  <si>
    <t>Pull-request reviews (ongoing)</t>
  </si>
  <si>
    <t>Review every PR within 1 working day; enforce naming, no hard-coded values, error handling.</t>
  </si>
  <si>
    <t>Merged PRs</t>
  </si>
  <si>
    <t>No PR older than 1 day</t>
  </si>
  <si>
    <t>16.3, App. D</t>
  </si>
  <si>
    <t>FR-03</t>
  </si>
  <si>
    <t>4 SIT</t>
  </si>
  <si>
    <t>Execute SIT scripts (rolling as features land)</t>
  </si>
  <si>
    <t>Run scripts per area as each feature is merged; log defects; retest fixes.</t>
  </si>
  <si>
    <t>SIT results + defect log</t>
  </si>
  <si>
    <t>All scripts executed; 0 open Sev 1/2</t>
  </si>
  <si>
    <t>PM-31</t>
  </si>
  <si>
    <t>Parallel run</t>
  </si>
  <si>
    <t>Plan October month-end parallel run</t>
  </si>
  <si>
    <t>Agree with Operations: counters, zones, dates (count Mon 2 – Wed 4 Nov), devices, QR labels on bays, fallback to current process.</t>
  </si>
  <si>
    <t>Andrew Tanui, William Imo</t>
  </si>
  <si>
    <t>Parallel-run plan</t>
  </si>
  <si>
    <t>Ops manager agreed</t>
  </si>
  <si>
    <t>18.1</t>
  </si>
  <si>
    <t>AN-11</t>
  </si>
  <si>
    <t>Print and fix QR labels on bays for parallel run</t>
  </si>
  <si>
    <t>Generate and print labels; fix on bays with warehouse team.</t>
  </si>
  <si>
    <t>Labels on bays</t>
  </si>
  <si>
    <t>All bays in scope labelled</t>
  </si>
  <si>
    <t>DO-15</t>
  </si>
  <si>
    <t>Load October month-end snapshots into UAT and lock</t>
  </si>
  <si>
    <t>Day 1 feeds (Sun 1 Nov) loaded and locked; stock take created.</t>
  </si>
  <si>
    <t>DO-08, MO-09</t>
  </si>
  <si>
    <t>Locked snapshot</t>
  </si>
  <si>
    <t>Wizard pre-checks all green</t>
  </si>
  <si>
    <t>5.2</t>
  </si>
  <si>
    <t>WI-11</t>
  </si>
  <si>
    <t>Floor support during parallel count</t>
  </si>
  <si>
    <t>On the floor with counters; capture issues; quick fixes.</t>
  </si>
  <si>
    <t>Issue list</t>
  </si>
  <si>
    <t>Count completed in new app</t>
  </si>
  <si>
    <t>DO-16</t>
  </si>
  <si>
    <t>Run L1–L3 on October data and reconcile</t>
  </si>
  <si>
    <t>Close count → L1; L2/L3 on month-end feeds; work residual with Finance/Ops.</t>
  </si>
  <si>
    <t>Recon results</t>
  </si>
  <si>
    <t>Residual explained to 0 or items listed</t>
  </si>
  <si>
    <t>4, 18.2</t>
  </si>
  <si>
    <t>NI-09</t>
  </si>
  <si>
    <t>Parallel-run comparison report</t>
  </si>
  <si>
    <t>Compare manual vs new solution: variances found, explanations, time taken (T9).</t>
  </si>
  <si>
    <t>Comparison report</t>
  </si>
  <si>
    <t>Shared with NKG sponsors</t>
  </si>
  <si>
    <t>18.2 T9</t>
  </si>
  <si>
    <t>DO-17</t>
  </si>
  <si>
    <t>Tie-outs T1–T8 and T10</t>
  </si>
  <si>
    <t>Completeness, mapping coverage, L1, L2, L3, mass balance, repeatability, timeliness; evidence in Git /test.</t>
  </si>
  <si>
    <t>Tie-out evidence</t>
  </si>
  <si>
    <t>All = 0 difference</t>
  </si>
  <si>
    <t>18.2</t>
  </si>
  <si>
    <t>NI-10</t>
  </si>
  <si>
    <t>T7 report vs source tie-out</t>
  </si>
  <si>
    <t>Every Power BI total vs Dataverse query total.</t>
  </si>
  <si>
    <t>T7 evidence</t>
  </si>
  <si>
    <t>0 difference</t>
  </si>
  <si>
    <t>MO-13</t>
  </si>
  <si>
    <t>Performance and security tests</t>
  </si>
  <si>
    <t>Volume test (50k XBS lines, 20k count lines); SEC-01..05 role tests.</t>
  </si>
  <si>
    <t>Test results</t>
  </si>
  <si>
    <t>NFR-01/02/03 met; roles pass</t>
  </si>
  <si>
    <t>17, 18</t>
  </si>
  <si>
    <t>PM-32</t>
  </si>
  <si>
    <t>Sprint 2 review / SIT exit</t>
  </si>
  <si>
    <t>Demo full flow; review SIT and parallel-run results; go/no-go for UAT.</t>
  </si>
  <si>
    <t>SIT exit note</t>
  </si>
  <si>
    <t>UAT entry approved</t>
  </si>
  <si>
    <t>18.4</t>
  </si>
  <si>
    <t>PM-40</t>
  </si>
  <si>
    <t>Training</t>
  </si>
  <si>
    <t>Training plan, schedule and invites</t>
  </si>
  <si>
    <t>Sessions per audience; Digitization Project Team Boardroom / Teams; attendance list.</t>
  </si>
  <si>
    <t>Training schedule + invites</t>
  </si>
  <si>
    <t>Invites accepted</t>
  </si>
  <si>
    <t>21</t>
  </si>
  <si>
    <t>FR-04</t>
  </si>
  <si>
    <t>Documentation</t>
  </si>
  <si>
    <t>User guides and quick reference cards</t>
  </si>
  <si>
    <t>Counter card (laminated), supervisor, Ops admin, Trade/QC/Logistics, Finance/Management guides from developer inputs.</t>
  </si>
  <si>
    <t>William Imo, Andrew Tanui, Jones Alukwe</t>
  </si>
  <si>
    <t>Guides + cards</t>
  </si>
  <si>
    <t>Reviewed by PM</t>
  </si>
  <si>
    <t>JO-11</t>
  </si>
  <si>
    <t>Topics T6–T10 + evaluation set</t>
  </si>
  <si>
    <t>Contract status, provisional status, summarise comments, draft correction note, month-end readiness; run ~30-question evaluation built with Nicole.</t>
  </si>
  <si>
    <t>JO-10, NI-09</t>
  </si>
  <si>
    <t>Agent T1–T10 + eval results</t>
  </si>
  <si>
    <t>≥ 90% correct; 100% on numbers</t>
  </si>
  <si>
    <t>14.4</t>
  </si>
  <si>
    <t>JO-12</t>
  </si>
  <si>
    <t>Publish Stock Assistant to Teams (UAT)</t>
  </si>
  <si>
    <t>Teams channel publish; Control Centre side pane; Help link in app.</t>
  </si>
  <si>
    <t>Published agent</t>
  </si>
  <si>
    <t>Available to UAT users</t>
  </si>
  <si>
    <t>WI-12</t>
  </si>
  <si>
    <t>Train counters and supervisors (Stock Take app)</t>
  </si>
  <si>
    <t>30-min hands-on per group + card; supervisor 1 h.</t>
  </si>
  <si>
    <t>Attendance</t>
  </si>
  <si>
    <t>All named counters trained</t>
  </si>
  <si>
    <t>AN-12</t>
  </si>
  <si>
    <t>Train Operations admin and warehouse managers (Hub)</t>
  </si>
  <si>
    <t>2-h session: wizard, monitor, recounts, close, registers, third parties, admin.</t>
  </si>
  <si>
    <t>Trained users can create a stock take unaided</t>
  </si>
  <si>
    <t>JO-13</t>
  </si>
  <si>
    <t>Train Trade, QC, Logistics, Finance, Management (Control Centre + Copilot)</t>
  </si>
  <si>
    <t>1.5–2 h per group: mapping, downgrade, provisional, SNI, exceptions, corrections, workspace, sign-off, Copilot.</t>
  </si>
  <si>
    <t>Nicole Akinyi, Daphne Okwaro</t>
  </si>
  <si>
    <t>≥ 90% of named users trained</t>
  </si>
  <si>
    <t>NI-11</t>
  </si>
  <si>
    <t>Data dictionary</t>
  </si>
  <si>
    <t>Generate from Dataverse; add business definitions.</t>
  </si>
  <si>
    <t>Published in STK-Knowledge</t>
  </si>
  <si>
    <t>MO-14</t>
  </si>
  <si>
    <t>Deploy release candidate to UAT</t>
  </si>
  <si>
    <t>Managed deployment; environment variables; connections; users added to groups.</t>
  </si>
  <si>
    <t>UAT RC</t>
  </si>
  <si>
    <t>Smoke test passes</t>
  </si>
  <si>
    <t>FR-05</t>
  </si>
  <si>
    <t>UAT scripts and UAT participant packs</t>
  </si>
  <si>
    <t>Scenarios UAT-01..07 per department with test data and sign-off sheet.</t>
  </si>
  <si>
    <t>UAT pack</t>
  </si>
  <si>
    <t>Reviewed by department leads</t>
  </si>
  <si>
    <t>18.3</t>
  </si>
  <si>
    <t>PM-50</t>
  </si>
  <si>
    <t>UAT</t>
  </si>
  <si>
    <t>Run UAT and daily defect triage</t>
  </si>
  <si>
    <t>Kick-off Mon 16 Nov; daily 16:00 triage; track progress per department.</t>
  </si>
  <si>
    <t>Frankie Omasaja, Moses Masibo</t>
  </si>
  <si>
    <t>MO-14, FR-05</t>
  </si>
  <si>
    <t>UAT tracker</t>
  </si>
  <si>
    <t>All scenarios executed</t>
  </si>
  <si>
    <t>WI-13</t>
  </si>
  <si>
    <t>Fix UAT defects — Stock Take app</t>
  </si>
  <si>
    <t>Fix and redeploy within severity SLA.</t>
  </si>
  <si>
    <t>Fixes</t>
  </si>
  <si>
    <t>No open Sev 1/2</t>
  </si>
  <si>
    <t>AN-13</t>
  </si>
  <si>
    <t>Fix UAT defects — Hub</t>
  </si>
  <si>
    <t>JO-14</t>
  </si>
  <si>
    <t>Fix UAT defects — Control Centre + Copilot</t>
  </si>
  <si>
    <t>DO-18</t>
  </si>
  <si>
    <t>Fix UAT defects — intake and engine</t>
  </si>
  <si>
    <t>NI-12</t>
  </si>
  <si>
    <t>Fix UAT defects — Power BI and pack</t>
  </si>
  <si>
    <t>Fix and republish.</t>
  </si>
  <si>
    <t>PM-51</t>
  </si>
  <si>
    <t>UAT sign-off by department leads</t>
  </si>
  <si>
    <t>Sign-off sheet per department.</t>
  </si>
  <si>
    <t>Signed UAT</t>
  </si>
  <si>
    <t>All departments signed</t>
  </si>
  <si>
    <t>MO-15</t>
  </si>
  <si>
    <t>PROD</t>
  </si>
  <si>
    <t>PROD readiness</t>
  </si>
  <si>
    <t>Environment, DLP, groups, service account licensed, mailbox and library in PROD.</t>
  </si>
  <si>
    <t>PROD ready</t>
  </si>
  <si>
    <t>Checklist items 1 and 5 done</t>
  </si>
  <si>
    <t>20.1</t>
  </si>
  <si>
    <t>MO-16</t>
  </si>
  <si>
    <t>Deploy release candidate to PROD</t>
  </si>
  <si>
    <t>Managed solutions; settings file; connections; share apps.</t>
  </si>
  <si>
    <t>PROD RC</t>
  </si>
  <si>
    <t>DO-19</t>
  </si>
  <si>
    <t>PROD master-data load and tie-out</t>
  </si>
  <si>
    <t>Load and tie out all master data; mapping coverage = 100%.</t>
  </si>
  <si>
    <t>PROD master data</t>
  </si>
  <si>
    <t>T1/T2 pass in PROD</t>
  </si>
  <si>
    <t>DO-20</t>
  </si>
  <si>
    <t>Switch feeds to PROD mailbox; 3 clean intake days</t>
  </si>
  <si>
    <t>Owners send to PROD; monitor 25, 26, 27 Nov.</t>
  </si>
  <si>
    <t>Clean intake log</t>
  </si>
  <si>
    <t>3 consecutive clean days</t>
  </si>
  <si>
    <t>DO-21</t>
  </si>
  <si>
    <t>Baseline</t>
  </si>
  <si>
    <t>Opening baseline calculation</t>
  </si>
  <si>
    <t>Agree last reconciled position (October parallel run); record historic unexplained as RI-BASELINE.</t>
  </si>
  <si>
    <t>Baseline workbook</t>
  </si>
  <si>
    <t>Approved by Finance + Ops</t>
  </si>
  <si>
    <t>4.8, 20.3</t>
  </si>
  <si>
    <t>PM-60</t>
  </si>
  <si>
    <t>Cutover</t>
  </si>
  <si>
    <t>Go / no-go meeting</t>
  </si>
  <si>
    <t>Criteria: UAT signed, parallel run residual 0, feeds live, ≥ 90% trained, support rota.</t>
  </si>
  <si>
    <t>PM-51, DO-20</t>
  </si>
  <si>
    <t>Go/no-go decision</t>
  </si>
  <si>
    <t>Decision minuted</t>
  </si>
  <si>
    <t>20.2</t>
  </si>
  <si>
    <t>MO-17</t>
  </si>
  <si>
    <t>Final patch deploy to PROD after UAT fixes</t>
  </si>
  <si>
    <t>Deploy last fixes; set legacy ITB apps read-only after first live count.</t>
  </si>
  <si>
    <t>PROD final</t>
  </si>
  <si>
    <t>PM-61</t>
  </si>
  <si>
    <t>Live</t>
  </si>
  <si>
    <t>First live month-end count (November) in PROD</t>
  </si>
  <si>
    <t>Count Tue 1 – Thu 3 Dec; whole team on call; floor support William/Andrew.</t>
  </si>
  <si>
    <t>Live count</t>
  </si>
  <si>
    <t>Count closed in PROD</t>
  </si>
  <si>
    <t>DO-22</t>
  </si>
  <si>
    <t>November L1–L3 runs; drive residual to 0</t>
  </si>
  <si>
    <t>Support Finance/Ops to clear exceptions and corrections by WD7 (Wed 9 Dec).</t>
  </si>
  <si>
    <t>Nicole Akinyi, Jones Alukwe</t>
  </si>
  <si>
    <t>Residual 0 at all levels</t>
  </si>
  <si>
    <t>4, 5.2</t>
  </si>
  <si>
    <t>PM-62</t>
  </si>
  <si>
    <t>First live sign-off (residual = 0 gate)</t>
  </si>
  <si>
    <t>Walk signatories through BPF; pack generated and distributed.</t>
  </si>
  <si>
    <t>Signed period</t>
  </si>
  <si>
    <t>Period locked</t>
  </si>
  <si>
    <t>PM-63</t>
  </si>
  <si>
    <t>Hypercare</t>
  </si>
  <si>
    <t>Hypercare: daily stand-up with NKG super users</t>
  </si>
  <si>
    <t>Sev1 4 h, Sev2 1 day; daily issue review.</t>
  </si>
  <si>
    <t>Hypercare log</t>
  </si>
  <si>
    <t>Issues closed or handed over</t>
  </si>
  <si>
    <t>20.4</t>
  </si>
  <si>
    <t>MO-18</t>
  </si>
  <si>
    <t>Handover</t>
  </si>
  <si>
    <t>Knowledge transfer to NKG IT (2 × 2 h)</t>
  </si>
  <si>
    <t>ALM, flows, monitoring, support runbook.</t>
  </si>
  <si>
    <t>KT attendance</t>
  </si>
  <si>
    <t>NKG IT can deploy and monitor</t>
  </si>
  <si>
    <t>DO-23</t>
  </si>
  <si>
    <t>Runbooks for intake and engine failures</t>
  </si>
  <si>
    <t>One runbook entry per failure type.</t>
  </si>
  <si>
    <t>Runbooks</t>
  </si>
  <si>
    <t>17 NFR-10</t>
  </si>
  <si>
    <t>FR-06</t>
  </si>
  <si>
    <t>As-built documentation pack</t>
  </si>
  <si>
    <t>Spec as-built, admin guide, user guides, runbooks, data dictionary in STK-Knowledge.</t>
  </si>
  <si>
    <t>Handover pack</t>
  </si>
  <si>
    <t>Accepted by NKG IT</t>
  </si>
  <si>
    <t>PM-64</t>
  </si>
  <si>
    <t>Hypercare exit report</t>
  </si>
  <si>
    <t>Issues, fixes, open items, recommendations.</t>
  </si>
  <si>
    <t>Exit report</t>
  </si>
  <si>
    <t>Sent to sponsors</t>
  </si>
  <si>
    <t>PM-70</t>
  </si>
  <si>
    <t>Closure</t>
  </si>
  <si>
    <t>Final acceptance and project close</t>
  </si>
  <si>
    <t>Formal acceptance meeting; lessons learned; budget close (USD 24,753).</t>
  </si>
  <si>
    <t>Acceptance certificate</t>
  </si>
  <si>
    <t>Signed by NKG sponsor</t>
  </si>
  <si>
    <t>19.1</t>
  </si>
  <si>
    <t>Next week, day by day (Mon 12 – Fri 16 Oct)</t>
  </si>
  <si>
    <t>Daily stand-up 09:00. Design walkthrough with NKG on Tue 13 Oct.</t>
  </si>
  <si>
    <t>Person</t>
  </si>
  <si>
    <t>Mon 12 Oct</t>
  </si>
  <si>
    <t>Tue 13 Oct</t>
  </si>
  <si>
    <t>Wed 14 Oct</t>
  </si>
  <si>
    <t>Thu 15 Oct</t>
  </si>
  <si>
    <t>Fri 16 Oct</t>
  </si>
  <si>
    <t>Sprint 1 planning 09:30; circulate BRD/spec/mockups (PM-11); send feed request (PM-15); NKG IT licensing email (PM-16)</t>
  </si>
  <si>
    <t>Create decision log; book calls with OD owners; prepare walkthrough deck</t>
  </si>
  <si>
    <t>Design walkthrough with NKG (PM-13); log feedback</t>
  </si>
  <si>
    <t>Chase feed samples and decisions; update BRD/spec to V1.2</t>
  </si>
  <si>
    <t>Collect sign-offs (PM-14); steering check-in; weekly status #3</t>
  </si>
  <si>
    <t>ITB inventory: export solution and flows (MO-01); request environments (MO-03)</t>
  </si>
  <si>
    <t>Finish ITB inventory; Git repo set-up (MO-05); ownership-transfer plan (MO-02)</t>
  </si>
  <si>
    <t>Walkthrough with NKG; create publisher + solutions (MO-04)</t>
  </si>
  <si>
    <t>Data-model review with Denis (MO-06); env-variable standards</t>
  </si>
  <si>
    <t>Mailbox/SharePoint with NKG IT (MO-07); approve ERD</t>
  </si>
  <si>
    <t>Review ITB dataflows (DO-01); support feed request</t>
  </si>
  <si>
    <t>Finish dataflow review; list reusable logic</t>
  </si>
  <si>
    <t>Draft intake templates (DO-02); data-model review prep</t>
  </si>
  <si>
    <t>Data-model review with Moses; start Dataverse tables (DO-03)</t>
  </si>
  <si>
    <t>Templates agreed with owners; continue tables</t>
  </si>
  <si>
    <t>Prepare profiling checklist; support decision log</t>
  </si>
  <si>
    <t>Profile first sample files received (NI-01)</t>
  </si>
  <si>
    <t>Continue profiling; issues list to owners</t>
  </si>
  <si>
    <t>Start mapping coverage analysis (NI-02)</t>
  </si>
  <si>
    <t>Profiling report final; coverage first cut</t>
  </si>
  <si>
    <t>Review ITB Stock Take app (WI-01)</t>
  </si>
  <si>
    <t>Finish review; start component library (WI-02)</t>
  </si>
  <si>
    <t>Walkthrough demo support; finish component library</t>
  </si>
  <si>
    <t>S1 Sign-in and version check (WI-03)</t>
  </si>
  <si>
    <t>S2 Home; demo at stand-up</t>
  </si>
  <si>
    <t>Review ITB Stock Management app (AN-01)</t>
  </si>
  <si>
    <t>Finish review; help William with component library</t>
  </si>
  <si>
    <t>Walkthrough demo support; plan Hub screens</t>
  </si>
  <si>
    <t>Admin screens: warehouses, grades (AN-02)</t>
  </si>
  <si>
    <t>Admin: packing types, unit rules, config editor</t>
  </si>
  <si>
    <t>Copilot Studio and model-driven readiness check (JO-01)</t>
  </si>
  <si>
    <t>Finish readiness note; draft site map</t>
  </si>
  <si>
    <t>Walkthrough demo support (mockups 04–07, 09)</t>
  </si>
  <si>
    <t>Model-driven app shell: site map (JO-02)</t>
  </si>
  <si>
    <t>Master-data forms and views</t>
  </si>
  <si>
    <t>Read BRD, spec and mockups; set up defect log</t>
  </si>
  <si>
    <t>Test strategy draft (FR-01)</t>
  </si>
  <si>
    <t>Walkthrough: capture questions as test cases</t>
  </si>
  <si>
    <t>SIT script template per area</t>
  </si>
  <si>
    <t>Test strategy approved by PM</t>
  </si>
  <si>
    <t>Gantt (weekly)</t>
  </si>
  <si>
    <t>Bars fill from Master Plan dates. Dark green = complete; light green = planned; red = overdue.</t>
  </si>
  <si>
    <t>Days to go counts calendar days from today.</t>
  </si>
  <si>
    <t>#</t>
  </si>
  <si>
    <t>Milestone</t>
  </si>
  <si>
    <t>Date</t>
  </si>
  <si>
    <t>Days to go</t>
  </si>
  <si>
    <t>Discovery complete</t>
  </si>
  <si>
    <t>BRD and design signed off</t>
  </si>
  <si>
    <t>Planned</t>
  </si>
  <si>
    <t>All open decisions OD1–OD9 closed</t>
  </si>
  <si>
    <t>Feeds arriving automatically in DEV mailbox</t>
  </si>
  <si>
    <t>Sprint 1 demo</t>
  </si>
  <si>
    <t>October parallel count (count 2–4 Nov)</t>
  </si>
  <si>
    <t>Sprint 2 demo / SIT exit</t>
  </si>
  <si>
    <t>Training complete</t>
  </si>
  <si>
    <t>UAT signed off + go/no-go</t>
  </si>
  <si>
    <t>PROD final deployment</t>
  </si>
  <si>
    <t>First live count closed (November)</t>
  </si>
  <si>
    <t>First sign-off with residual = 0 (WD7)</t>
  </si>
  <si>
    <t>Hypercare exit</t>
  </si>
  <si>
    <t>Final acceptance / go-live (business case)</t>
  </si>
  <si>
    <t>What we need from NKG</t>
  </si>
  <si>
    <t>Send this list with the weekly status. Late items push the dependent task.</t>
  </si>
  <si>
    <t>What we need</t>
  </si>
  <si>
    <t>NKG owner</t>
  </si>
  <si>
    <t>Needed by</t>
  </si>
  <si>
    <t>Blocks our task</t>
  </si>
  <si>
    <t>Our task owner</t>
  </si>
  <si>
    <t>Days late</t>
  </si>
  <si>
    <t>NK-01</t>
  </si>
  <si>
    <t>Review BRD V1.1, spec and mockups; send comments</t>
  </si>
  <si>
    <t>Carol, Maina, Mathew, Denis Koech, department leads</t>
  </si>
  <si>
    <t>Requested</t>
  </si>
  <si>
    <t>NK-02</t>
  </si>
  <si>
    <t>OD1 Cut-off rule (last 3 days posting window vs Day 1 download)</t>
  </si>
  <si>
    <t>Finance + Operations</t>
  </si>
  <si>
    <t>NK-03</t>
  </si>
  <si>
    <t>OD2 Unit rule for pockets and lights</t>
  </si>
  <si>
    <t>Warehouse (Luis Brian)</t>
  </si>
  <si>
    <t>NK-04</t>
  </si>
  <si>
    <t>OD3 Low Grade posting method in Comtras/BRIC</t>
  </si>
  <si>
    <t>Finance + Trade</t>
  </si>
  <si>
    <t>NK-05</t>
  </si>
  <si>
    <t>OD4 Where provisional stock is shown</t>
  </si>
  <si>
    <t>Trade + Finance</t>
  </si>
  <si>
    <t>NK-06</t>
  </si>
  <si>
    <t>OD5 Count tolerance (proposed 0 eq60)</t>
  </si>
  <si>
    <t>NK-07</t>
  </si>
  <si>
    <t>OD6 Write-off approval thresholds</t>
  </si>
  <si>
    <t>Finance</t>
  </si>
  <si>
    <t>NK-08</t>
  </si>
  <si>
    <t>OD7 Sign-off order and signatories</t>
  </si>
  <si>
    <t>NK-09</t>
  </si>
  <si>
    <t>OD8 Copilot Studio approval and licensing</t>
  </si>
  <si>
    <t>NKG IT</t>
  </si>
  <si>
    <t>NK-10</t>
  </si>
  <si>
    <t>OD9 Licences (Premium), service account, DEV/UAT/PROD environments</t>
  </si>
  <si>
    <t>NK-11</t>
  </si>
  <si>
    <t>Sample files for every feed (XBS stock &amp; movements, 526, 537, contracts, SNI, provisional, third-party)</t>
  </si>
  <si>
    <t>XBS and Comtras/BRIC owners, Logistics</t>
  </si>
  <si>
    <t>NK-12</t>
  </si>
  <si>
    <t>Scheduled daily emails of feeds to the shared mailbox at 07:00</t>
  </si>
  <si>
    <t>XBS and Comtras/BRIC owners</t>
  </si>
  <si>
    <t>NK-13</t>
  </si>
  <si>
    <t>Create shared mailbox and SharePoint site</t>
  </si>
  <si>
    <t>NK-14</t>
  </si>
  <si>
    <t>Transfer ITB flow/app ownership from external account</t>
  </si>
  <si>
    <t>NK-15</t>
  </si>
  <si>
    <t>Trade/QC propose mappings for unmapped outturns</t>
  </si>
  <si>
    <t>Trade + QC (Judy Murimi)</t>
  </si>
  <si>
    <t>NK-16</t>
  </si>
  <si>
    <t>Name counters, supervisors and devices for parallel run</t>
  </si>
  <si>
    <t>Operations / Warehouse</t>
  </si>
  <si>
    <t>NK-17</t>
  </si>
  <si>
    <t>Third-party warehouse contacts (all 5)</t>
  </si>
  <si>
    <t>Logistics</t>
  </si>
  <si>
    <t>NK-18</t>
  </si>
  <si>
    <t>Name UAT participants per department</t>
  </si>
  <si>
    <t>Department leads</t>
  </si>
  <si>
    <t>NK-19</t>
  </si>
  <si>
    <t>Attend training sessions</t>
  </si>
  <si>
    <t>All named users</t>
  </si>
  <si>
    <t>NK-20</t>
  </si>
  <si>
    <t>Approve opening baseline</t>
  </si>
  <si>
    <t>Meetings and working rhythm</t>
  </si>
  <si>
    <t>Location: Digitization Project Team Boardroom / Microsoft Teams Meeting</t>
  </si>
  <si>
    <t>Meeting / routine</t>
  </si>
  <si>
    <t>When</t>
  </si>
  <si>
    <t>Who</t>
  </si>
  <si>
    <t>Organiser</t>
  </si>
  <si>
    <t>Period</t>
  </si>
  <si>
    <t>Notes</t>
  </si>
  <si>
    <t>Daily stand-up (15 min)</t>
  </si>
  <si>
    <t>Every working day 09:00</t>
  </si>
  <si>
    <t>All team</t>
  </si>
  <si>
    <t>12 Oct – 11 Dec</t>
  </si>
  <si>
    <t>Yesterday / today / blockers; update the plan statuses</t>
  </si>
  <si>
    <t>Weekly status report to NKG</t>
  </si>
  <si>
    <t>Every Friday</t>
  </si>
  <si>
    <t>NKG distribution list</t>
  </si>
  <si>
    <t>9 Oct – 11 Dec</t>
  </si>
  <si>
    <t>Word + email; RAG, progress, next week, decisions needed</t>
  </si>
  <si>
    <t>Decision chase (OD1–OD9)</t>
  </si>
  <si>
    <t>Daily until closed</t>
  </si>
  <si>
    <t>Decision owners</t>
  </si>
  <si>
    <t>One message per open decision</t>
  </si>
  <si>
    <t>RAID log update</t>
  </si>
  <si>
    <t>Team</t>
  </si>
  <si>
    <t>Risks, assumptions, issues, dependencies</t>
  </si>
  <si>
    <t>PR code review</t>
  </si>
  <si>
    <t>Within 1 working day of each PR</t>
  </si>
  <si>
    <t>Developers</t>
  </si>
  <si>
    <t>Naming, no hard-coded values, error handling</t>
  </si>
  <si>
    <t>Sprint planning</t>
  </si>
  <si>
    <t>Mon 12 Oct, Mon 26 Oct</t>
  </si>
  <si>
    <t>1 hour</t>
  </si>
  <si>
    <t>Sprint review / demo to NKG</t>
  </si>
  <si>
    <t>Fri 23 Oct, Fri 6 Nov</t>
  </si>
  <si>
    <t>NKG + team</t>
  </si>
  <si>
    <t>1 hour, Teams</t>
  </si>
  <si>
    <t>Steering check-in with sponsor</t>
  </si>
  <si>
    <t>Fri 16 Oct, 30 Oct, 13 Nov, 27 Nov, 11 Dec</t>
  </si>
  <si>
    <t>NKG sponsors</t>
  </si>
  <si>
    <t>30 min</t>
  </si>
  <si>
    <t>UAT defect triage</t>
  </si>
  <si>
    <t>Daily 16:00</t>
  </si>
  <si>
    <t>Team + UAT leads</t>
  </si>
  <si>
    <t>Severity, owner, fix date</t>
  </si>
  <si>
    <t>Budget tracking</t>
  </si>
  <si>
    <t>Last Friday of month</t>
  </si>
  <si>
    <t>Pathways</t>
  </si>
  <si>
    <t>Oct – Dec</t>
  </si>
  <si>
    <t>Against USD 24,753</t>
  </si>
  <si>
    <t>Daphne Okwaro — Project Manager / Data Analytics Lead</t>
  </si>
  <si>
    <t>Owns: Plan, NKG decisions, access, stakeholder management, status reporting, SIT/UAT/training/cutover coordination. Live links to Master Plan — update status there.</t>
  </si>
  <si>
    <t>Deliverable</t>
  </si>
  <si>
    <t>Done when</t>
  </si>
  <si>
    <t>Tasks where Daphne is supporting</t>
  </si>
  <si>
    <t>Moses Masibo — Solution Architect</t>
  </si>
  <si>
    <t>Owns: Environments, solutions, ALM and Git, security model, data-model and engine design review, code review, PROD readiness. Live links to Master Plan — update status there.</t>
  </si>
  <si>
    <t>Tasks where Moses is supporting</t>
  </si>
  <si>
    <t>Denis Otieno — Data Engineer</t>
  </si>
  <si>
    <t>Owns: Email intake, validation, dataflows, Dataverse tables, master-data migration, reconciliation engine L1–L3, rules, tie-outs. Live links to Master Plan — update status there.</t>
  </si>
  <si>
    <t>Tasks where Denis is supporting</t>
  </si>
  <si>
    <t>Nicole Akinyi — Data Analyst</t>
  </si>
  <si>
    <t>Owns: Data profiling, mapping coverage, test data, Power BI model and reports, month-end pack, parallel-run analysis. Live links to Master Plan — update status there.</t>
  </si>
  <si>
    <t>Tasks where Nicole is supporting</t>
  </si>
  <si>
    <t>William Imo — Power Apps Developer</t>
  </si>
  <si>
    <t>Owns: Stock Take app (counter phone/tablet app), offline sync, count flows F11–F12, counter training. Live links to Master Plan — update status there.</t>
  </si>
  <si>
    <t>Tasks where William is supporting</t>
  </si>
  <si>
    <t>Andrew Tanui — Power Apps Developer</t>
  </si>
  <si>
    <t>Owns: Stock Management Hub (plan, run, review, close, third parties, registers, admin), Hub flows. Live links to Master Plan — update status there.</t>
  </si>
  <si>
    <t>Tasks where Andrew is supporting</t>
  </si>
  <si>
    <t>Jones Alukwe — Power Apps Developer / Copilot Developer</t>
  </si>
  <si>
    <t>Owns: Stock Control Centre (model-driven), BPFs, exceptions, corrections, sign-off gate, Copilot Stock Assistant. Live links to Master Plan — update status there.</t>
  </si>
  <si>
    <t>Tasks where Jones is supporting</t>
  </si>
  <si>
    <t>Frankie Omasaja — QA / Test &amp; Documentation — role to confirm</t>
  </si>
  <si>
    <t>Owns: SIT scripts and execution, defect log, UAT scripts, user guides and training material formatting. Live links to Master Plan — update status there.</t>
  </si>
  <si>
    <t>Tasks where Frankie is supporting</t>
  </si>
  <si>
    <t>Public holidays used in working-day counts</t>
  </si>
  <si>
    <t>Kenya. Verify against the gazette notice; add any new holiday here and all day counts update.</t>
  </si>
  <si>
    <t>Holiday</t>
  </si>
  <si>
    <t>Note</t>
  </si>
  <si>
    <t>Mashujaa Day</t>
  </si>
  <si>
    <t>Tuesday — inside Sprint 1</t>
  </si>
  <si>
    <t>Jamhuri Day</t>
  </si>
  <si>
    <t>Saturday in 2026</t>
  </si>
  <si>
    <t>Christmas Day</t>
  </si>
  <si>
    <t>After project end</t>
  </si>
  <si>
    <t>Boxing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</si>
</sst>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d\ dd\-mmm"/>
    <numFmt numFmtId="165" formatCode="dd\-mmm"/>
    <numFmt numFmtId="166" formatCode="ddd\ dd\-mmm\-yy"/>
  </numFmts>
  <fonts count="9">
    <font>
      <sz val="11"/>
      <color theme="1"/>
      <name val="Calibri"/>
      <family val="2"/>
      <charset val="1"/>
    </font>
    <font>
      <b/>
      <sz val="16"/>
      <color rgb="FF006330"/>
      <name val="Arial"/>
      <charset val="1"/>
    </font>
    <font>
      <i/>
      <sz val="10"/>
      <color rgb="FF555555"/>
      <name val="Arial"/>
      <charset val="1"/>
    </font>
    <font>
      <b/>
      <sz val="12"/>
      <color rgb="FF006330"/>
      <name val="Arial"/>
      <charset val="1"/>
    </font>
    <font>
      <b/>
      <sz val="10"/>
      <color rgb="FF1A1A1A"/>
      <name val="Arial"/>
      <charset val="1"/>
    </font>
    <font>
      <sz val="10"/>
      <color rgb="FF1A1A1A"/>
      <name val="Arial"/>
      <charset val="1"/>
    </font>
    <font>
      <b/>
      <sz val="10"/>
      <color rgb="FFFFFFFF"/>
      <name val="Arial"/>
      <charset val="1"/>
    </font>
    <font>
      <sz val="10"/>
      <color rgb="FFC00000"/>
      <name val="Arial"/>
      <charset val="1"/>
    </font>
    <font>
      <b/>
      <sz val="10"/>
      <color rgb="FFC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006330"/>
        <bgColor rgb="FF008080"/>
      </patternFill>
    </fill>
    <fill>
      <patternFill patternType="solid">
        <fgColor rgb="FFEEF4EF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5" fillId="0" borderId="1" xfId="0" applyFont="1" applyBorder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vertical="top" wrapText="1"/>
    </xf>
    <xf numFmtId="0" fontId="6" fillId="2" borderId="1" xfId="0" applyFont="1" applyFill="1" applyBorder="1"/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6" fillId="2" borderId="1" xfId="0" applyFont="1" applyFill="1" applyBorder="1" applyAlignment="1">
      <alignment vertical="center" wrapText="1"/>
    </xf>
    <xf numFmtId="9" fontId="5" fillId="0" borderId="1" xfId="0" applyNumberFormat="1" applyFont="1" applyBorder="1" applyAlignment="1">
      <alignment vertical="top" wrapText="1"/>
    </xf>
    <xf numFmtId="164" fontId="5" fillId="0" borderId="1" xfId="0" applyNumberFormat="1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164" fontId="5" fillId="3" borderId="1" xfId="0" applyNumberFormat="1" applyFont="1" applyFill="1" applyBorder="1" applyAlignment="1">
      <alignment vertical="top" wrapText="1"/>
    </xf>
    <xf numFmtId="9" fontId="5" fillId="3" borderId="1" xfId="0" applyNumberFormat="1" applyFont="1" applyFill="1" applyBorder="1" applyAlignment="1">
      <alignment vertical="top" wrapText="1"/>
    </xf>
    <xf numFmtId="0" fontId="8" fillId="3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165" fontId="6" fillId="2" borderId="1" xfId="0" applyNumberFormat="1" applyFont="1" applyFill="1" applyBorder="1" applyAlignment="1">
      <alignment horizontal="center" vertical="center" textRotation="90"/>
    </xf>
    <xf numFmtId="0" fontId="5" fillId="0" borderId="1" xfId="0" applyFont="1" applyBorder="1" applyAlignment="1">
      <alignment vertical="top"/>
    </xf>
    <xf numFmtId="165" fontId="5" fillId="0" borderId="1" xfId="0" applyNumberFormat="1" applyFont="1" applyBorder="1" applyAlignment="1">
      <alignment vertical="top"/>
    </xf>
    <xf numFmtId="0" fontId="0" fillId="0" borderId="1" xfId="0" applyBorder="1"/>
    <xf numFmtId="166" fontId="5" fillId="0" borderId="1" xfId="0" applyNumberFormat="1" applyFont="1" applyBorder="1" applyAlignment="1">
      <alignment vertical="top" wrapText="1"/>
    </xf>
    <xf numFmtId="1" fontId="5" fillId="0" borderId="1" xfId="0" applyNumberFormat="1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</cellXfs>
  <cellStyles count="1">
    <cellStyle name="Normal" xfId="0" builtinId="0"/>
  </cellStyles>
  <dxfs count="40">
    <dxf>
      <fill>
        <patternFill>
          <bgColor rgb="FFFCE0CC"/>
        </patternFill>
      </fill>
    </dxf>
    <dxf>
      <fill>
        <patternFill>
          <bgColor rgb="FFF8CBCB"/>
        </patternFill>
      </fill>
    </dxf>
    <dxf>
      <fill>
        <patternFill>
          <bgColor rgb="FFFFF2C4"/>
        </patternFill>
      </fill>
    </dxf>
    <dxf>
      <fill>
        <patternFill>
          <bgColor rgb="FFD9EAD3"/>
        </patternFill>
      </fill>
    </dxf>
    <dxf>
      <fill>
        <patternFill>
          <bgColor rgb="FFFCE0CC"/>
        </patternFill>
      </fill>
    </dxf>
    <dxf>
      <fill>
        <patternFill>
          <bgColor rgb="FFF8CBCB"/>
        </patternFill>
      </fill>
    </dxf>
    <dxf>
      <fill>
        <patternFill>
          <bgColor rgb="FFFFF2C4"/>
        </patternFill>
      </fill>
    </dxf>
    <dxf>
      <fill>
        <patternFill>
          <bgColor rgb="FFD9EAD3"/>
        </patternFill>
      </fill>
    </dxf>
    <dxf>
      <fill>
        <patternFill>
          <bgColor rgb="FFFCE0CC"/>
        </patternFill>
      </fill>
    </dxf>
    <dxf>
      <fill>
        <patternFill>
          <bgColor rgb="FFF8CBCB"/>
        </patternFill>
      </fill>
    </dxf>
    <dxf>
      <fill>
        <patternFill>
          <bgColor rgb="FFFFF2C4"/>
        </patternFill>
      </fill>
    </dxf>
    <dxf>
      <fill>
        <patternFill>
          <bgColor rgb="FFD9EAD3"/>
        </patternFill>
      </fill>
    </dxf>
    <dxf>
      <fill>
        <patternFill>
          <bgColor rgb="FFFCE0CC"/>
        </patternFill>
      </fill>
    </dxf>
    <dxf>
      <fill>
        <patternFill>
          <bgColor rgb="FFF8CBCB"/>
        </patternFill>
      </fill>
    </dxf>
    <dxf>
      <fill>
        <patternFill>
          <bgColor rgb="FFFFF2C4"/>
        </patternFill>
      </fill>
    </dxf>
    <dxf>
      <fill>
        <patternFill>
          <bgColor rgb="FFD9EAD3"/>
        </patternFill>
      </fill>
    </dxf>
    <dxf>
      <fill>
        <patternFill>
          <bgColor rgb="FFFCE0CC"/>
        </patternFill>
      </fill>
    </dxf>
    <dxf>
      <fill>
        <patternFill>
          <bgColor rgb="FFF8CBCB"/>
        </patternFill>
      </fill>
    </dxf>
    <dxf>
      <fill>
        <patternFill>
          <bgColor rgb="FFFFF2C4"/>
        </patternFill>
      </fill>
    </dxf>
    <dxf>
      <fill>
        <patternFill>
          <bgColor rgb="FFD9EAD3"/>
        </patternFill>
      </fill>
    </dxf>
    <dxf>
      <fill>
        <patternFill>
          <bgColor rgb="FFFCE0CC"/>
        </patternFill>
      </fill>
    </dxf>
    <dxf>
      <fill>
        <patternFill>
          <bgColor rgb="FFF8CBCB"/>
        </patternFill>
      </fill>
    </dxf>
    <dxf>
      <fill>
        <patternFill>
          <bgColor rgb="FFFFF2C4"/>
        </patternFill>
      </fill>
    </dxf>
    <dxf>
      <fill>
        <patternFill>
          <bgColor rgb="FFD9EAD3"/>
        </patternFill>
      </fill>
    </dxf>
    <dxf>
      <fill>
        <patternFill>
          <bgColor rgb="FFFCE0CC"/>
        </patternFill>
      </fill>
    </dxf>
    <dxf>
      <fill>
        <patternFill>
          <bgColor rgb="FFF8CBCB"/>
        </patternFill>
      </fill>
    </dxf>
    <dxf>
      <fill>
        <patternFill>
          <bgColor rgb="FFFFF2C4"/>
        </patternFill>
      </fill>
    </dxf>
    <dxf>
      <fill>
        <patternFill>
          <bgColor rgb="FFD9EAD3"/>
        </patternFill>
      </fill>
    </dxf>
    <dxf>
      <fill>
        <patternFill>
          <bgColor rgb="FFFCE0CC"/>
        </patternFill>
      </fill>
    </dxf>
    <dxf>
      <fill>
        <patternFill>
          <bgColor rgb="FFF8CBCB"/>
        </patternFill>
      </fill>
    </dxf>
    <dxf>
      <fill>
        <patternFill>
          <bgColor rgb="FFFFF2C4"/>
        </patternFill>
      </fill>
    </dxf>
    <dxf>
      <fill>
        <patternFill>
          <bgColor rgb="FFD9EAD3"/>
        </patternFill>
      </fill>
    </dxf>
    <dxf>
      <fill>
        <patternFill>
          <bgColor rgb="FFA9D18E"/>
        </patternFill>
      </fill>
    </dxf>
    <dxf>
      <fill>
        <patternFill>
          <bgColor rgb="FFED1C24"/>
        </patternFill>
      </fill>
    </dxf>
    <dxf>
      <fill>
        <patternFill>
          <bgColor rgb="FF006330"/>
        </patternFill>
      </fill>
    </dxf>
    <dxf>
      <font>
        <color rgb="FF7F7F7F"/>
      </font>
    </dxf>
    <dxf>
      <fill>
        <patternFill>
          <bgColor rgb="FFFCE0CC"/>
        </patternFill>
      </fill>
    </dxf>
    <dxf>
      <fill>
        <patternFill>
          <bgColor rgb="FFF8CBCB"/>
        </patternFill>
      </fill>
    </dxf>
    <dxf>
      <fill>
        <patternFill>
          <bgColor rgb="FFFFF2C4"/>
        </patternFill>
      </fill>
    </dxf>
    <dxf>
      <fill>
        <patternFill>
          <bgColor rgb="FFD9EAD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ED1C24"/>
      <rgbColor rgb="FF00FF00"/>
      <rgbColor rgb="FF0000FF"/>
      <rgbColor rgb="FFFFFF00"/>
      <rgbColor rgb="FFFF00FF"/>
      <rgbColor rgb="FF00FFFF"/>
      <rgbColor rgb="FFC00000"/>
      <rgbColor rgb="FF00633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4"/>
      <rgbColor rgb="FFEEF4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0CC"/>
      <rgbColor rgb="FFA9D18E"/>
      <rgbColor rgb="FFFF99CC"/>
      <rgbColor rgb="FFCC99FF"/>
      <rgbColor rgb="FFF8CBCB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showGridLines="0" tabSelected="1" zoomScaleNormal="100" workbookViewId="0"/>
  </sheetViews>
  <sheetFormatPr defaultColWidth="8.7109375" defaultRowHeight="15"/>
  <cols>
    <col min="1" max="1" width="26" customWidth="1"/>
    <col min="2" max="2" width="40" customWidth="1"/>
    <col min="3" max="3" width="90" customWidth="1"/>
  </cols>
  <sheetData>
    <row r="1" spans="1:3" ht="19.7">
      <c r="A1" s="2" t="s">
        <v>0</v>
      </c>
    </row>
    <row r="2" spans="1:3">
      <c r="A2" s="3" t="s">
        <v>1</v>
      </c>
    </row>
    <row r="4" spans="1:3">
      <c r="A4" s="4" t="s">
        <v>2</v>
      </c>
    </row>
    <row r="5" spans="1:3" ht="15" customHeight="1">
      <c r="A5" s="5" t="s">
        <v>3</v>
      </c>
      <c r="B5" s="24" t="s">
        <v>4</v>
      </c>
      <c r="C5" s="24"/>
    </row>
    <row r="6" spans="1:3" ht="15" customHeight="1">
      <c r="A6" s="5" t="s">
        <v>5</v>
      </c>
      <c r="B6" s="24" t="s">
        <v>6</v>
      </c>
      <c r="C6" s="24"/>
    </row>
    <row r="7" spans="1:3" ht="15" customHeight="1">
      <c r="A7" s="5" t="s">
        <v>7</v>
      </c>
      <c r="B7" s="24" t="s">
        <v>8</v>
      </c>
      <c r="C7" s="24"/>
    </row>
    <row r="8" spans="1:3" ht="15" customHeight="1">
      <c r="A8" s="5" t="s">
        <v>9</v>
      </c>
      <c r="B8" s="24" t="s">
        <v>10</v>
      </c>
      <c r="C8" s="24"/>
    </row>
    <row r="9" spans="1:3" ht="15" customHeight="1">
      <c r="A9" s="5" t="s">
        <v>11</v>
      </c>
      <c r="B9" s="24" t="s">
        <v>12</v>
      </c>
      <c r="C9" s="24"/>
    </row>
    <row r="10" spans="1:3" ht="15" customHeight="1">
      <c r="A10" s="5" t="s">
        <v>13</v>
      </c>
      <c r="B10" s="24" t="s">
        <v>14</v>
      </c>
      <c r="C10" s="24"/>
    </row>
    <row r="11" spans="1:3" ht="15" customHeight="1">
      <c r="A11" s="5" t="s">
        <v>15</v>
      </c>
      <c r="B11" s="24" t="s">
        <v>16</v>
      </c>
      <c r="C11" s="24"/>
    </row>
    <row r="12" spans="1:3" ht="15" customHeight="1">
      <c r="A12" s="5" t="s">
        <v>17</v>
      </c>
      <c r="B12" s="24" t="s">
        <v>18</v>
      </c>
      <c r="C12" s="24"/>
    </row>
    <row r="13" spans="1:3" ht="15" customHeight="1">
      <c r="A13" s="5" t="s">
        <v>19</v>
      </c>
      <c r="B13" s="24" t="s">
        <v>20</v>
      </c>
      <c r="C13" s="24"/>
    </row>
    <row r="14" spans="1:3" ht="15" customHeight="1">
      <c r="A14" s="5" t="s">
        <v>21</v>
      </c>
      <c r="B14" s="24" t="s">
        <v>22</v>
      </c>
      <c r="C14" s="24"/>
    </row>
    <row r="16" spans="1:3">
      <c r="A16" s="4" t="s">
        <v>23</v>
      </c>
    </row>
    <row r="17" spans="1:3">
      <c r="A17" s="6" t="s">
        <v>24</v>
      </c>
      <c r="B17" s="6" t="s">
        <v>25</v>
      </c>
      <c r="C17" s="6" t="s">
        <v>26</v>
      </c>
    </row>
    <row r="18" spans="1:3">
      <c r="A18" s="5" t="s">
        <v>27</v>
      </c>
      <c r="B18" s="1" t="s">
        <v>28</v>
      </c>
      <c r="C18" s="1" t="s">
        <v>29</v>
      </c>
    </row>
    <row r="19" spans="1:3" ht="23.85">
      <c r="A19" s="5" t="s">
        <v>30</v>
      </c>
      <c r="B19" s="1" t="s">
        <v>31</v>
      </c>
      <c r="C19" s="1" t="s">
        <v>32</v>
      </c>
    </row>
    <row r="20" spans="1:3" ht="23.85">
      <c r="A20" s="5" t="s">
        <v>33</v>
      </c>
      <c r="B20" s="1" t="s">
        <v>34</v>
      </c>
      <c r="C20" s="1" t="s">
        <v>35</v>
      </c>
    </row>
    <row r="21" spans="1:3">
      <c r="A21" s="5" t="s">
        <v>36</v>
      </c>
      <c r="B21" s="1" t="s">
        <v>37</v>
      </c>
      <c r="C21" s="1" t="s">
        <v>38</v>
      </c>
    </row>
    <row r="22" spans="1:3">
      <c r="A22" s="5" t="s">
        <v>39</v>
      </c>
      <c r="B22" s="1" t="s">
        <v>40</v>
      </c>
      <c r="C22" s="1" t="s">
        <v>41</v>
      </c>
    </row>
    <row r="23" spans="1:3">
      <c r="A23" s="5" t="s">
        <v>42</v>
      </c>
      <c r="B23" s="1" t="s">
        <v>40</v>
      </c>
      <c r="C23" s="1" t="s">
        <v>43</v>
      </c>
    </row>
    <row r="24" spans="1:3">
      <c r="A24" s="5" t="s">
        <v>44</v>
      </c>
      <c r="B24" s="1" t="s">
        <v>45</v>
      </c>
      <c r="C24" s="1" t="s">
        <v>46</v>
      </c>
    </row>
    <row r="25" spans="1:3">
      <c r="A25" s="5" t="s">
        <v>47</v>
      </c>
      <c r="B25" s="7" t="s">
        <v>48</v>
      </c>
      <c r="C25" s="1" t="s">
        <v>49</v>
      </c>
    </row>
    <row r="27" spans="1:3">
      <c r="A27" s="4" t="s">
        <v>50</v>
      </c>
    </row>
    <row r="28" spans="1:3">
      <c r="A28" s="6" t="s">
        <v>51</v>
      </c>
      <c r="B28" s="6" t="s">
        <v>52</v>
      </c>
      <c r="C28" s="6" t="s">
        <v>53</v>
      </c>
    </row>
    <row r="29" spans="1:3">
      <c r="A29" s="5" t="s">
        <v>54</v>
      </c>
      <c r="B29" s="1" t="s">
        <v>55</v>
      </c>
      <c r="C29" s="1" t="s">
        <v>56</v>
      </c>
    </row>
    <row r="30" spans="1:3">
      <c r="A30" s="5" t="s">
        <v>57</v>
      </c>
      <c r="B30" s="1" t="s">
        <v>58</v>
      </c>
      <c r="C30" s="1" t="s">
        <v>59</v>
      </c>
    </row>
    <row r="31" spans="1:3">
      <c r="A31" s="5" t="s">
        <v>60</v>
      </c>
      <c r="B31" s="1" t="s">
        <v>61</v>
      </c>
      <c r="C31" s="1" t="s">
        <v>62</v>
      </c>
    </row>
    <row r="32" spans="1:3">
      <c r="A32" s="5" t="s">
        <v>63</v>
      </c>
      <c r="B32" s="1" t="s">
        <v>64</v>
      </c>
      <c r="C32" s="1" t="s">
        <v>65</v>
      </c>
    </row>
    <row r="33" spans="1:3">
      <c r="A33" s="5" t="s">
        <v>66</v>
      </c>
      <c r="B33" s="1" t="s">
        <v>64</v>
      </c>
      <c r="C33" s="1" t="s">
        <v>67</v>
      </c>
    </row>
    <row r="34" spans="1:3">
      <c r="A34" s="5" t="s">
        <v>68</v>
      </c>
      <c r="B34" s="1" t="s">
        <v>69</v>
      </c>
      <c r="C34" s="1" t="s">
        <v>70</v>
      </c>
    </row>
    <row r="35" spans="1:3">
      <c r="A35" s="5" t="s">
        <v>71</v>
      </c>
      <c r="B35" s="1" t="s">
        <v>72</v>
      </c>
      <c r="C35" s="1" t="s">
        <v>73</v>
      </c>
    </row>
    <row r="36" spans="1:3">
      <c r="A36" s="5" t="s">
        <v>74</v>
      </c>
      <c r="B36" s="1" t="s">
        <v>75</v>
      </c>
      <c r="C36" s="1" t="s">
        <v>76</v>
      </c>
    </row>
    <row r="37" spans="1:3">
      <c r="A37" s="5" t="s">
        <v>77</v>
      </c>
      <c r="B37" s="1" t="s">
        <v>78</v>
      </c>
      <c r="C37" s="1" t="s">
        <v>79</v>
      </c>
    </row>
    <row r="38" spans="1:3">
      <c r="A38" s="5" t="s">
        <v>80</v>
      </c>
      <c r="B38" s="1" t="s">
        <v>81</v>
      </c>
      <c r="C38" s="1" t="s">
        <v>82</v>
      </c>
    </row>
    <row r="40" spans="1:3" ht="45" customHeight="1">
      <c r="A40" s="8" t="s">
        <v>83</v>
      </c>
      <c r="B40" s="24" t="s">
        <v>84</v>
      </c>
      <c r="C40" s="24"/>
    </row>
  </sheetData>
  <mergeCells count="11">
    <mergeCell ref="B5:C5"/>
    <mergeCell ref="B6:C6"/>
    <mergeCell ref="B7:C7"/>
    <mergeCell ref="B8:C8"/>
    <mergeCell ref="B9:C9"/>
    <mergeCell ref="B40:C40"/>
    <mergeCell ref="B10:C10"/>
    <mergeCell ref="B11:C11"/>
    <mergeCell ref="B12:C12"/>
    <mergeCell ref="B13:C13"/>
    <mergeCell ref="B14:C1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"/>
  <sheetViews>
    <sheetView showGridLines="0" zoomScaleNormal="100" workbookViewId="0">
      <pane xSplit="2" ySplit="4" topLeftCell="C5" activePane="bottomRight" state="frozen"/>
      <selection pane="bottomRight"/>
      <selection pane="bottomLeft" activeCell="A5" sqref="A5"/>
      <selection pane="topRight" activeCell="C1" sqref="C1"/>
    </sheetView>
  </sheetViews>
  <sheetFormatPr defaultColWidth="8.7109375" defaultRowHeight="15"/>
  <cols>
    <col min="1" max="1" width="18" customWidth="1"/>
    <col min="2" max="2" width="30" customWidth="1"/>
    <col min="3" max="6" width="9" customWidth="1"/>
    <col min="7" max="7" width="10" customWidth="1"/>
    <col min="8" max="8" width="9" customWidth="1"/>
    <col min="9" max="10" width="10" customWidth="1"/>
    <col min="11" max="11" width="14" customWidth="1"/>
    <col min="12" max="12" width="12" customWidth="1"/>
  </cols>
  <sheetData>
    <row r="1" spans="1:12" ht="19.7">
      <c r="A1" s="2" t="s">
        <v>5</v>
      </c>
    </row>
    <row r="2" spans="1:12">
      <c r="A2" s="3" t="s">
        <v>85</v>
      </c>
    </row>
    <row r="4" spans="1:12" ht="30" customHeight="1">
      <c r="A4" s="9" t="s">
        <v>24</v>
      </c>
      <c r="B4" s="9" t="s">
        <v>25</v>
      </c>
      <c r="C4" s="9" t="s">
        <v>86</v>
      </c>
      <c r="D4" s="9" t="s">
        <v>87</v>
      </c>
      <c r="E4" s="9" t="s">
        <v>88</v>
      </c>
      <c r="F4" s="9" t="s">
        <v>89</v>
      </c>
      <c r="G4" s="9" t="s">
        <v>90</v>
      </c>
      <c r="H4" s="9" t="s">
        <v>91</v>
      </c>
      <c r="I4" s="9" t="s">
        <v>92</v>
      </c>
      <c r="J4" s="9" t="s">
        <v>93</v>
      </c>
      <c r="K4" s="9" t="s">
        <v>94</v>
      </c>
      <c r="L4" s="9" t="s">
        <v>95</v>
      </c>
    </row>
    <row r="5" spans="1:12" ht="23.85">
      <c r="A5" s="5" t="s">
        <v>27</v>
      </c>
      <c r="B5" s="1" t="s">
        <v>28</v>
      </c>
      <c r="C5" s="1">
        <f>COUNTIF('Master Plan'!$F$5:$F$130,A5)</f>
        <v>27</v>
      </c>
      <c r="D5" s="1">
        <f>COUNTIFS('Master Plan'!$F$5:$F$130,A5,'Master Plan'!$O$5:$O$130,"Complete")</f>
        <v>6</v>
      </c>
      <c r="E5" s="1">
        <f>COUNTIFS('Master Plan'!$F$5:$F$130,A5,'Master Plan'!$O$5:$O$130,"In progress")</f>
        <v>1</v>
      </c>
      <c r="F5" s="1">
        <f>COUNTIFS('Master Plan'!$F$5:$F$130,A5,'Master Plan'!$O$5:$O$130,"Not started")</f>
        <v>20</v>
      </c>
      <c r="G5" s="1">
        <f>COUNTIFS('Master Plan'!$F$5:$F$130,A5,'Master Plan'!$O$5:$O$130,"Blocked")+COUNTIFS('Master Plan'!$F$5:$F$130,A5,'Master Plan'!$O$5:$O$130,"At risk")</f>
        <v>0</v>
      </c>
      <c r="H5" s="7">
        <f ca="1">COUNTIFS('Master Plan'!$F$5:$F$130,A5,'Master Plan'!$Q$5:$Q$130,"OVERDUE")</f>
        <v>0</v>
      </c>
      <c r="I5" s="1">
        <f>SUMIF('Master Plan'!$F$5:$F$130,A5,'Master Plan'!$J$5:$J$130)</f>
        <v>82</v>
      </c>
      <c r="J5" s="10">
        <f>IFERROR(AVERAGEIF('Master Plan'!$F$5:$F$130,A5,'Master Plan'!$P$5:$P$130),0)</f>
        <v>0.23148148148148148</v>
      </c>
      <c r="K5" s="11">
        <f>IFERROR(1/(1/_xlfn.MINIFS('Master Plan'!$I$5:$I$130,'Master Plan'!$F$5:$F$130,A5,'Master Plan'!$O$5:$O$130,"&lt;&gt;Complete")),"—")</f>
        <v>46304</v>
      </c>
      <c r="L5" s="1">
        <f>COUNTIF('Master Plan'!$G$5:$G$130,"*"&amp;LEFT(A5,FIND(" ",A5)-1)&amp;"*")+COUNTIF('Master Plan'!$G$5:$G$130,"All")</f>
        <v>13</v>
      </c>
    </row>
    <row r="6" spans="1:12">
      <c r="A6" s="5" t="s">
        <v>30</v>
      </c>
      <c r="B6" s="1" t="s">
        <v>31</v>
      </c>
      <c r="C6" s="1">
        <f>COUNTIF('Master Plan'!$F$5:$F$130,A6)</f>
        <v>18</v>
      </c>
      <c r="D6" s="1">
        <f>COUNTIFS('Master Plan'!$F$5:$F$130,A6,'Master Plan'!$O$5:$O$130,"Complete")</f>
        <v>0</v>
      </c>
      <c r="E6" s="1">
        <f>COUNTIFS('Master Plan'!$F$5:$F$130,A6,'Master Plan'!$O$5:$O$130,"In progress")</f>
        <v>0</v>
      </c>
      <c r="F6" s="1">
        <f>COUNTIFS('Master Plan'!$F$5:$F$130,A6,'Master Plan'!$O$5:$O$130,"Not started")</f>
        <v>18</v>
      </c>
      <c r="G6" s="1">
        <f>COUNTIFS('Master Plan'!$F$5:$F$130,A6,'Master Plan'!$O$5:$O$130,"Blocked")+COUNTIFS('Master Plan'!$F$5:$F$130,A6,'Master Plan'!$O$5:$O$130,"At risk")</f>
        <v>0</v>
      </c>
      <c r="H6" s="7">
        <f ca="1">COUNTIFS('Master Plan'!$F$5:$F$130,A6,'Master Plan'!$Q$5:$Q$130,"OVERDUE")</f>
        <v>0</v>
      </c>
      <c r="I6" s="1">
        <f>SUMIF('Master Plan'!$F$5:$F$130,A6,'Master Plan'!$J$5:$J$130)</f>
        <v>66</v>
      </c>
      <c r="J6" s="10">
        <f>IFERROR(AVERAGEIF('Master Plan'!$F$5:$F$130,A6,'Master Plan'!$P$5:$P$130),0)</f>
        <v>0</v>
      </c>
      <c r="K6" s="11">
        <f>IFERROR(1/(1/_xlfn.MINIFS('Master Plan'!$I$5:$I$130,'Master Plan'!$F$5:$F$130,A6,'Master Plan'!$O$5:$O$130,"&lt;&gt;Complete")),"—")</f>
        <v>46308</v>
      </c>
      <c r="L6" s="1">
        <f>COUNTIF('Master Plan'!$G$5:$G$130,"*"&amp;LEFT(A6,FIND(" ",A6)-1)&amp;"*")+COUNTIF('Master Plan'!$G$5:$G$130,"All")</f>
        <v>24</v>
      </c>
    </row>
    <row r="7" spans="1:12">
      <c r="A7" s="5" t="s">
        <v>33</v>
      </c>
      <c r="B7" s="1" t="s">
        <v>34</v>
      </c>
      <c r="C7" s="1">
        <f>COUNTIF('Master Plan'!$F$5:$F$130,A7)</f>
        <v>23</v>
      </c>
      <c r="D7" s="1">
        <f>COUNTIFS('Master Plan'!$F$5:$F$130,A7,'Master Plan'!$O$5:$O$130,"Complete")</f>
        <v>0</v>
      </c>
      <c r="E7" s="1">
        <f>COUNTIFS('Master Plan'!$F$5:$F$130,A7,'Master Plan'!$O$5:$O$130,"In progress")</f>
        <v>0</v>
      </c>
      <c r="F7" s="1">
        <f>COUNTIFS('Master Plan'!$F$5:$F$130,A7,'Master Plan'!$O$5:$O$130,"Not started")</f>
        <v>23</v>
      </c>
      <c r="G7" s="1">
        <f>COUNTIFS('Master Plan'!$F$5:$F$130,A7,'Master Plan'!$O$5:$O$130,"Blocked")+COUNTIFS('Master Plan'!$F$5:$F$130,A7,'Master Plan'!$O$5:$O$130,"At risk")</f>
        <v>0</v>
      </c>
      <c r="H7" s="7">
        <f ca="1">COUNTIFS('Master Plan'!$F$5:$F$130,A7,'Master Plan'!$Q$5:$Q$130,"OVERDUE")</f>
        <v>0</v>
      </c>
      <c r="I7" s="1">
        <f>SUMIF('Master Plan'!$F$5:$F$130,A7,'Master Plan'!$J$5:$J$130)</f>
        <v>81</v>
      </c>
      <c r="J7" s="10">
        <f>IFERROR(AVERAGEIF('Master Plan'!$F$5:$F$130,A7,'Master Plan'!$P$5:$P$130),0)</f>
        <v>0</v>
      </c>
      <c r="K7" s="11">
        <f>IFERROR(1/(1/_xlfn.MINIFS('Master Plan'!$I$5:$I$130,'Master Plan'!$F$5:$F$130,A7,'Master Plan'!$O$5:$O$130,"&lt;&gt;Complete")),"—")</f>
        <v>46308</v>
      </c>
      <c r="L7" s="1">
        <f>COUNTIF('Master Plan'!$G$5:$G$130,"*"&amp;LEFT(A7,FIND(" ",A7)-1)&amp;"*")+COUNTIF('Master Plan'!$G$5:$G$130,"All")</f>
        <v>21</v>
      </c>
    </row>
    <row r="8" spans="1:12">
      <c r="A8" s="5" t="s">
        <v>36</v>
      </c>
      <c r="B8" s="1" t="s">
        <v>37</v>
      </c>
      <c r="C8" s="1">
        <f>COUNTIF('Master Plan'!$F$5:$F$130,A8)</f>
        <v>12</v>
      </c>
      <c r="D8" s="1">
        <f>COUNTIFS('Master Plan'!$F$5:$F$130,A8,'Master Plan'!$O$5:$O$130,"Complete")</f>
        <v>0</v>
      </c>
      <c r="E8" s="1">
        <f>COUNTIFS('Master Plan'!$F$5:$F$130,A8,'Master Plan'!$O$5:$O$130,"In progress")</f>
        <v>0</v>
      </c>
      <c r="F8" s="1">
        <f>COUNTIFS('Master Plan'!$F$5:$F$130,A8,'Master Plan'!$O$5:$O$130,"Not started")</f>
        <v>12</v>
      </c>
      <c r="G8" s="1">
        <f>COUNTIFS('Master Plan'!$F$5:$F$130,A8,'Master Plan'!$O$5:$O$130,"Blocked")+COUNTIFS('Master Plan'!$F$5:$F$130,A8,'Master Plan'!$O$5:$O$130,"At risk")</f>
        <v>0</v>
      </c>
      <c r="H8" s="7">
        <f ca="1">COUNTIFS('Master Plan'!$F$5:$F$130,A8,'Master Plan'!$Q$5:$Q$130,"OVERDUE")</f>
        <v>0</v>
      </c>
      <c r="I8" s="1">
        <f>SUMIF('Master Plan'!$F$5:$F$130,A8,'Master Plan'!$J$5:$J$130)</f>
        <v>46</v>
      </c>
      <c r="J8" s="10">
        <f>IFERROR(AVERAGEIF('Master Plan'!$F$5:$F$130,A8,'Master Plan'!$P$5:$P$130),0)</f>
        <v>0</v>
      </c>
      <c r="K8" s="11">
        <f>IFERROR(1/(1/_xlfn.MINIFS('Master Plan'!$I$5:$I$130,'Master Plan'!$F$5:$F$130,A8,'Master Plan'!$O$5:$O$130,"&lt;&gt;Complete")),"—")</f>
        <v>46311</v>
      </c>
      <c r="L8" s="1">
        <f>COUNTIF('Master Plan'!$G$5:$G$130,"*"&amp;LEFT(A8,FIND(" ",A8)-1)&amp;"*")+COUNTIF('Master Plan'!$G$5:$G$130,"All")</f>
        <v>26</v>
      </c>
    </row>
    <row r="9" spans="1:12">
      <c r="A9" s="5" t="s">
        <v>39</v>
      </c>
      <c r="B9" s="1" t="s">
        <v>40</v>
      </c>
      <c r="C9" s="1">
        <f>COUNTIF('Master Plan'!$F$5:$F$130,A9)</f>
        <v>13</v>
      </c>
      <c r="D9" s="1">
        <f>COUNTIFS('Master Plan'!$F$5:$F$130,A9,'Master Plan'!$O$5:$O$130,"Complete")</f>
        <v>0</v>
      </c>
      <c r="E9" s="1">
        <f>COUNTIFS('Master Plan'!$F$5:$F$130,A9,'Master Plan'!$O$5:$O$130,"In progress")</f>
        <v>0</v>
      </c>
      <c r="F9" s="1">
        <f>COUNTIFS('Master Plan'!$F$5:$F$130,A9,'Master Plan'!$O$5:$O$130,"Not started")</f>
        <v>13</v>
      </c>
      <c r="G9" s="1">
        <f>COUNTIFS('Master Plan'!$F$5:$F$130,A9,'Master Plan'!$O$5:$O$130,"Blocked")+COUNTIFS('Master Plan'!$F$5:$F$130,A9,'Master Plan'!$O$5:$O$130,"At risk")</f>
        <v>0</v>
      </c>
      <c r="H9" s="7">
        <f ca="1">COUNTIFS('Master Plan'!$F$5:$F$130,A9,'Master Plan'!$Q$5:$Q$130,"OVERDUE")</f>
        <v>0</v>
      </c>
      <c r="I9" s="1">
        <f>SUMIF('Master Plan'!$F$5:$F$130,A9,'Master Plan'!$J$5:$J$130)</f>
        <v>41</v>
      </c>
      <c r="J9" s="10">
        <f>IFERROR(AVERAGEIF('Master Plan'!$F$5:$F$130,A9,'Master Plan'!$P$5:$P$130),0)</f>
        <v>0</v>
      </c>
      <c r="K9" s="11">
        <f>IFERROR(1/(1/_xlfn.MINIFS('Master Plan'!$I$5:$I$130,'Master Plan'!$F$5:$F$130,A9,'Master Plan'!$O$5:$O$130,"&lt;&gt;Complete")),"—")</f>
        <v>46308</v>
      </c>
      <c r="L9" s="1">
        <f>COUNTIF('Master Plan'!$G$5:$G$130,"*"&amp;LEFT(A9,FIND(" ",A9)-1)&amp;"*")+COUNTIF('Master Plan'!$G$5:$G$130,"All")</f>
        <v>12</v>
      </c>
    </row>
    <row r="10" spans="1:12">
      <c r="A10" s="5" t="s">
        <v>42</v>
      </c>
      <c r="B10" s="1" t="s">
        <v>40</v>
      </c>
      <c r="C10" s="1">
        <f>COUNTIF('Master Plan'!$F$5:$F$130,A10)</f>
        <v>13</v>
      </c>
      <c r="D10" s="1">
        <f>COUNTIFS('Master Plan'!$F$5:$F$130,A10,'Master Plan'!$O$5:$O$130,"Complete")</f>
        <v>0</v>
      </c>
      <c r="E10" s="1">
        <f>COUNTIFS('Master Plan'!$F$5:$F$130,A10,'Master Plan'!$O$5:$O$130,"In progress")</f>
        <v>0</v>
      </c>
      <c r="F10" s="1">
        <f>COUNTIFS('Master Plan'!$F$5:$F$130,A10,'Master Plan'!$O$5:$O$130,"Not started")</f>
        <v>13</v>
      </c>
      <c r="G10" s="1">
        <f>COUNTIFS('Master Plan'!$F$5:$F$130,A10,'Master Plan'!$O$5:$O$130,"Blocked")+COUNTIFS('Master Plan'!$F$5:$F$130,A10,'Master Plan'!$O$5:$O$130,"At risk")</f>
        <v>0</v>
      </c>
      <c r="H10" s="7">
        <f ca="1">COUNTIFS('Master Plan'!$F$5:$F$130,A10,'Master Plan'!$Q$5:$Q$130,"OVERDUE")</f>
        <v>0</v>
      </c>
      <c r="I10" s="1">
        <f>SUMIF('Master Plan'!$F$5:$F$130,A10,'Master Plan'!$J$5:$J$130)</f>
        <v>37</v>
      </c>
      <c r="J10" s="10">
        <f>IFERROR(AVERAGEIF('Master Plan'!$F$5:$F$130,A10,'Master Plan'!$P$5:$P$130),0)</f>
        <v>0</v>
      </c>
      <c r="K10" s="11">
        <f>IFERROR(1/(1/_xlfn.MINIFS('Master Plan'!$I$5:$I$130,'Master Plan'!$F$5:$F$130,A10,'Master Plan'!$O$5:$O$130,"&lt;&gt;Complete")),"—")</f>
        <v>46308</v>
      </c>
      <c r="L10" s="1">
        <f>COUNTIF('Master Plan'!$G$5:$G$130,"*"&amp;LEFT(A10,FIND(" ",A10)-1)&amp;"*")+COUNTIF('Master Plan'!$G$5:$G$130,"All")</f>
        <v>14</v>
      </c>
    </row>
    <row r="11" spans="1:12" ht="23.85">
      <c r="A11" s="5" t="s">
        <v>44</v>
      </c>
      <c r="B11" s="1" t="s">
        <v>45</v>
      </c>
      <c r="C11" s="1">
        <f>COUNTIF('Master Plan'!$F$5:$F$130,A11)</f>
        <v>14</v>
      </c>
      <c r="D11" s="1">
        <f>COUNTIFS('Master Plan'!$F$5:$F$130,A11,'Master Plan'!$O$5:$O$130,"Complete")</f>
        <v>0</v>
      </c>
      <c r="E11" s="1">
        <f>COUNTIFS('Master Plan'!$F$5:$F$130,A11,'Master Plan'!$O$5:$O$130,"In progress")</f>
        <v>0</v>
      </c>
      <c r="F11" s="1">
        <f>COUNTIFS('Master Plan'!$F$5:$F$130,A11,'Master Plan'!$O$5:$O$130,"Not started")</f>
        <v>14</v>
      </c>
      <c r="G11" s="1">
        <f>COUNTIFS('Master Plan'!$F$5:$F$130,A11,'Master Plan'!$O$5:$O$130,"Blocked")+COUNTIFS('Master Plan'!$F$5:$F$130,A11,'Master Plan'!$O$5:$O$130,"At risk")</f>
        <v>0</v>
      </c>
      <c r="H11" s="7">
        <f ca="1">COUNTIFS('Master Plan'!$F$5:$F$130,A11,'Master Plan'!$Q$5:$Q$130,"OVERDUE")</f>
        <v>0</v>
      </c>
      <c r="I11" s="1">
        <f>SUMIF('Master Plan'!$F$5:$F$130,A11,'Master Plan'!$J$5:$J$130)</f>
        <v>47</v>
      </c>
      <c r="J11" s="10">
        <f>IFERROR(AVERAGEIF('Master Plan'!$F$5:$F$130,A11,'Master Plan'!$P$5:$P$130),0)</f>
        <v>0</v>
      </c>
      <c r="K11" s="11">
        <f>IFERROR(1/(1/_xlfn.MINIFS('Master Plan'!$I$5:$I$130,'Master Plan'!$F$5:$F$130,A11,'Master Plan'!$O$5:$O$130,"&lt;&gt;Complete")),"—")</f>
        <v>46308</v>
      </c>
      <c r="L11" s="1">
        <f>COUNTIF('Master Plan'!$G$5:$G$130,"*"&amp;LEFT(A11,FIND(" ",A11)-1)&amp;"*")+COUNTIF('Master Plan'!$G$5:$G$130,"All")</f>
        <v>14</v>
      </c>
    </row>
    <row r="12" spans="1:12" ht="23.85">
      <c r="A12" s="5" t="s">
        <v>47</v>
      </c>
      <c r="B12" s="7" t="s">
        <v>48</v>
      </c>
      <c r="C12" s="1">
        <f>COUNTIF('Master Plan'!$F$5:$F$130,A12)</f>
        <v>6</v>
      </c>
      <c r="D12" s="1">
        <f>COUNTIFS('Master Plan'!$F$5:$F$130,A12,'Master Plan'!$O$5:$O$130,"Complete")</f>
        <v>0</v>
      </c>
      <c r="E12" s="1">
        <f>COUNTIFS('Master Plan'!$F$5:$F$130,A12,'Master Plan'!$O$5:$O$130,"In progress")</f>
        <v>0</v>
      </c>
      <c r="F12" s="1">
        <f>COUNTIFS('Master Plan'!$F$5:$F$130,A12,'Master Plan'!$O$5:$O$130,"Not started")</f>
        <v>6</v>
      </c>
      <c r="G12" s="1">
        <f>COUNTIFS('Master Plan'!$F$5:$F$130,A12,'Master Plan'!$O$5:$O$130,"Blocked")+COUNTIFS('Master Plan'!$F$5:$F$130,A12,'Master Plan'!$O$5:$O$130,"At risk")</f>
        <v>0</v>
      </c>
      <c r="H12" s="7">
        <f ca="1">COUNTIFS('Master Plan'!$F$5:$F$130,A12,'Master Plan'!$Q$5:$Q$130,"OVERDUE")</f>
        <v>0</v>
      </c>
      <c r="I12" s="1">
        <f>SUMIF('Master Plan'!$F$5:$F$130,A12,'Master Plan'!$J$5:$J$130)</f>
        <v>35</v>
      </c>
      <c r="J12" s="10">
        <f>IFERROR(AVERAGEIF('Master Plan'!$F$5:$F$130,A12,'Master Plan'!$P$5:$P$130),0)</f>
        <v>0</v>
      </c>
      <c r="K12" s="11">
        <f>IFERROR(1/(1/_xlfn.MINIFS('Master Plan'!$I$5:$I$130,'Master Plan'!$F$5:$F$130,A12,'Master Plan'!$O$5:$O$130,"&lt;&gt;Complete")),"—")</f>
        <v>46311</v>
      </c>
      <c r="L12" s="1">
        <f>COUNTIF('Master Plan'!$G$5:$G$130,"*"&amp;LEFT(A12,FIND(" ",A12)-1)&amp;"*")+COUNTIF('Master Plan'!$G$5:$G$130,"All")</f>
        <v>12</v>
      </c>
    </row>
    <row r="13" spans="1:12">
      <c r="A13" s="5" t="s">
        <v>96</v>
      </c>
      <c r="C13" s="5">
        <f>SUM(C5:C12)</f>
        <v>126</v>
      </c>
      <c r="D13" s="5">
        <f>SUM(D5:D12)</f>
        <v>6</v>
      </c>
      <c r="E13" s="5">
        <f>SUM(E5:E12)</f>
        <v>1</v>
      </c>
      <c r="F13" s="5">
        <f>SUM(F5:F12)</f>
        <v>119</v>
      </c>
      <c r="G13" s="5">
        <f>SUM(G5:G12)</f>
        <v>0</v>
      </c>
      <c r="H13" s="5">
        <f ca="1">SUM(H5:H12)</f>
        <v>0</v>
      </c>
      <c r="I13" s="5">
        <f>SUM(I5:I12)</f>
        <v>435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130"/>
  <sheetViews>
    <sheetView showGridLines="0" zoomScaleNormal="100" workbookViewId="0">
      <pane xSplit="4" ySplit="4" topLeftCell="E5" activePane="bottomRight" state="frozen"/>
      <selection pane="bottomRight"/>
      <selection pane="bottomLeft" activeCell="A5" sqref="A5"/>
      <selection pane="topRight" activeCell="E1" sqref="E1"/>
    </sheetView>
  </sheetViews>
  <sheetFormatPr defaultColWidth="8.7109375" defaultRowHeight="15"/>
  <cols>
    <col min="1" max="1" width="8" customWidth="1"/>
    <col min="2" max="2" width="13" customWidth="1"/>
    <col min="3" max="3" width="17" customWidth="1"/>
    <col min="4" max="4" width="34" customWidth="1"/>
    <col min="5" max="5" width="60" customWidth="1"/>
    <col min="6" max="6" width="16" customWidth="1"/>
    <col min="7" max="7" width="22" customWidth="1"/>
    <col min="8" max="9" width="12" customWidth="1"/>
    <col min="10" max="10" width="8" customWidth="1"/>
    <col min="11" max="11" width="13" customWidth="1"/>
    <col min="12" max="12" width="26" customWidth="1"/>
    <col min="13" max="13" width="32" customWidth="1"/>
    <col min="14" max="14" width="10" customWidth="1"/>
    <col min="15" max="15" width="12" customWidth="1"/>
    <col min="16" max="16" width="7" customWidth="1"/>
    <col min="17" max="17" width="10" customWidth="1"/>
    <col min="18" max="18" width="26" customWidth="1"/>
  </cols>
  <sheetData>
    <row r="1" spans="1:18" ht="19.7">
      <c r="A1" s="2" t="s">
        <v>97</v>
      </c>
    </row>
    <row r="2" spans="1:18">
      <c r="A2" s="3" t="s">
        <v>98</v>
      </c>
    </row>
    <row r="4" spans="1:18" ht="30" customHeight="1">
      <c r="A4" s="9" t="s">
        <v>99</v>
      </c>
      <c r="B4" s="9" t="s">
        <v>51</v>
      </c>
      <c r="C4" s="9" t="s">
        <v>100</v>
      </c>
      <c r="D4" s="9" t="s">
        <v>101</v>
      </c>
      <c r="E4" s="9" t="s">
        <v>102</v>
      </c>
      <c r="F4" s="9" t="s">
        <v>103</v>
      </c>
      <c r="G4" s="9" t="s">
        <v>104</v>
      </c>
      <c r="H4" s="9" t="s">
        <v>105</v>
      </c>
      <c r="I4" s="9" t="s">
        <v>106</v>
      </c>
      <c r="J4" s="9" t="s">
        <v>107</v>
      </c>
      <c r="K4" s="9" t="s">
        <v>108</v>
      </c>
      <c r="L4" s="9" t="s">
        <v>109</v>
      </c>
      <c r="M4" s="9" t="s">
        <v>110</v>
      </c>
      <c r="N4" s="9" t="s">
        <v>111</v>
      </c>
      <c r="O4" s="9" t="s">
        <v>112</v>
      </c>
      <c r="P4" s="9" t="s">
        <v>113</v>
      </c>
      <c r="Q4" s="9" t="s">
        <v>114</v>
      </c>
      <c r="R4" s="9" t="s">
        <v>115</v>
      </c>
    </row>
    <row r="5" spans="1:18" ht="23.85">
      <c r="A5" s="5" t="s">
        <v>116</v>
      </c>
      <c r="B5" s="1" t="s">
        <v>54</v>
      </c>
      <c r="C5" s="1" t="s">
        <v>117</v>
      </c>
      <c r="D5" s="1" t="s">
        <v>118</v>
      </c>
      <c r="E5" s="1" t="s">
        <v>119</v>
      </c>
      <c r="F5" s="1" t="s">
        <v>27</v>
      </c>
      <c r="G5" s="1" t="s">
        <v>120</v>
      </c>
      <c r="H5" s="11">
        <v>46296</v>
      </c>
      <c r="I5" s="11">
        <v>46296</v>
      </c>
      <c r="J5" s="1">
        <f>NETWORKDAYS(H5,I5,Holidays!$A$5:$A$12)</f>
        <v>1</v>
      </c>
      <c r="K5" s="1"/>
      <c r="L5" s="1" t="s">
        <v>121</v>
      </c>
      <c r="M5" s="1" t="s">
        <v>122</v>
      </c>
      <c r="N5" s="1" t="s">
        <v>123</v>
      </c>
      <c r="O5" s="1" t="s">
        <v>87</v>
      </c>
      <c r="P5" s="10">
        <v>1</v>
      </c>
      <c r="Q5" s="8" t="str">
        <f ca="1">IF(AND(O5&lt;&gt;"Complete",I5&lt;TODAY()),"OVERDUE","")</f>
        <v/>
      </c>
      <c r="R5" s="1"/>
    </row>
    <row r="6" spans="1:18" ht="23.85">
      <c r="A6" s="12" t="s">
        <v>124</v>
      </c>
      <c r="B6" s="13" t="s">
        <v>54</v>
      </c>
      <c r="C6" s="13" t="s">
        <v>117</v>
      </c>
      <c r="D6" s="13" t="s">
        <v>125</v>
      </c>
      <c r="E6" s="13" t="s">
        <v>126</v>
      </c>
      <c r="F6" s="13" t="s">
        <v>27</v>
      </c>
      <c r="G6" s="13" t="s">
        <v>127</v>
      </c>
      <c r="H6" s="14">
        <v>46297</v>
      </c>
      <c r="I6" s="14">
        <v>46303</v>
      </c>
      <c r="J6" s="13">
        <f>NETWORKDAYS(H6,I6,Holidays!$A$5:$A$12)</f>
        <v>5</v>
      </c>
      <c r="K6" s="13" t="s">
        <v>116</v>
      </c>
      <c r="L6" s="13" t="s">
        <v>128</v>
      </c>
      <c r="M6" s="13" t="s">
        <v>129</v>
      </c>
      <c r="N6" s="13" t="s">
        <v>130</v>
      </c>
      <c r="O6" s="13" t="s">
        <v>87</v>
      </c>
      <c r="P6" s="15">
        <v>1</v>
      </c>
      <c r="Q6" s="16" t="str">
        <f ca="1">IF(AND(O6&lt;&gt;"Complete",I6&lt;TODAY()),"OVERDUE","")</f>
        <v/>
      </c>
      <c r="R6" s="13"/>
    </row>
    <row r="7" spans="1:18" ht="23.85">
      <c r="A7" s="5" t="s">
        <v>131</v>
      </c>
      <c r="B7" s="1" t="s">
        <v>54</v>
      </c>
      <c r="C7" s="1" t="s">
        <v>117</v>
      </c>
      <c r="D7" s="1" t="s">
        <v>132</v>
      </c>
      <c r="E7" s="1" t="s">
        <v>133</v>
      </c>
      <c r="F7" s="1" t="s">
        <v>27</v>
      </c>
      <c r="G7" s="1" t="s">
        <v>36</v>
      </c>
      <c r="H7" s="11">
        <v>46300</v>
      </c>
      <c r="I7" s="11">
        <v>46304</v>
      </c>
      <c r="J7" s="1">
        <f>NETWORKDAYS(H7,I7,Holidays!$A$5:$A$12)</f>
        <v>5</v>
      </c>
      <c r="K7" s="1" t="s">
        <v>124</v>
      </c>
      <c r="L7" s="1" t="s">
        <v>134</v>
      </c>
      <c r="M7" s="1" t="s">
        <v>135</v>
      </c>
      <c r="N7" s="1" t="s">
        <v>130</v>
      </c>
      <c r="O7" s="1" t="s">
        <v>87</v>
      </c>
      <c r="P7" s="10">
        <v>1</v>
      </c>
      <c r="Q7" s="8" t="str">
        <f ca="1">IF(AND(O7&lt;&gt;"Complete",I7&lt;TODAY()),"OVERDUE","")</f>
        <v/>
      </c>
      <c r="R7" s="1"/>
    </row>
    <row r="8" spans="1:18" ht="23.85">
      <c r="A8" s="12" t="s">
        <v>136</v>
      </c>
      <c r="B8" s="13" t="s">
        <v>54</v>
      </c>
      <c r="C8" s="13" t="s">
        <v>137</v>
      </c>
      <c r="D8" s="13" t="s">
        <v>138</v>
      </c>
      <c r="E8" s="13" t="s">
        <v>139</v>
      </c>
      <c r="F8" s="13" t="s">
        <v>27</v>
      </c>
      <c r="G8" s="13" t="s">
        <v>30</v>
      </c>
      <c r="H8" s="14">
        <v>46302</v>
      </c>
      <c r="I8" s="14">
        <v>46304</v>
      </c>
      <c r="J8" s="13">
        <f>NETWORKDAYS(H8,I8,Holidays!$A$5:$A$12)</f>
        <v>3</v>
      </c>
      <c r="K8" s="13" t="s">
        <v>131</v>
      </c>
      <c r="L8" s="13" t="s">
        <v>140</v>
      </c>
      <c r="M8" s="13" t="s">
        <v>135</v>
      </c>
      <c r="N8" s="13" t="s">
        <v>120</v>
      </c>
      <c r="O8" s="13" t="s">
        <v>87</v>
      </c>
      <c r="P8" s="15">
        <v>1</v>
      </c>
      <c r="Q8" s="16" t="str">
        <f ca="1">IF(AND(O8&lt;&gt;"Complete",I8&lt;TODAY()),"OVERDUE","")</f>
        <v/>
      </c>
      <c r="R8" s="13"/>
    </row>
    <row r="9" spans="1:18" ht="35.1">
      <c r="A9" s="5" t="s">
        <v>141</v>
      </c>
      <c r="B9" s="1" t="s">
        <v>54</v>
      </c>
      <c r="C9" s="1" t="s">
        <v>142</v>
      </c>
      <c r="D9" s="1" t="s">
        <v>143</v>
      </c>
      <c r="E9" s="1" t="s">
        <v>144</v>
      </c>
      <c r="F9" s="1" t="s">
        <v>27</v>
      </c>
      <c r="G9" s="1" t="s">
        <v>30</v>
      </c>
      <c r="H9" s="11">
        <v>46300</v>
      </c>
      <c r="I9" s="11">
        <v>46301</v>
      </c>
      <c r="J9" s="1">
        <f>NETWORKDAYS(H9,I9,Holidays!$A$5:$A$12)</f>
        <v>2</v>
      </c>
      <c r="K9" s="1"/>
      <c r="L9" s="1" t="s">
        <v>145</v>
      </c>
      <c r="M9" s="1" t="s">
        <v>146</v>
      </c>
      <c r="N9" s="1" t="s">
        <v>147</v>
      </c>
      <c r="O9" s="1" t="s">
        <v>87</v>
      </c>
      <c r="P9" s="10">
        <v>1</v>
      </c>
      <c r="Q9" s="8" t="str">
        <f ca="1">IF(AND(O9&lt;&gt;"Complete",I9&lt;TODAY()),"OVERDUE","")</f>
        <v/>
      </c>
      <c r="R9" s="1"/>
    </row>
    <row r="10" spans="1:18">
      <c r="A10" s="12" t="s">
        <v>148</v>
      </c>
      <c r="B10" s="13" t="s">
        <v>54</v>
      </c>
      <c r="C10" s="13" t="s">
        <v>149</v>
      </c>
      <c r="D10" s="13" t="s">
        <v>150</v>
      </c>
      <c r="E10" s="13" t="s">
        <v>151</v>
      </c>
      <c r="F10" s="13" t="s">
        <v>27</v>
      </c>
      <c r="G10" s="13"/>
      <c r="H10" s="14">
        <v>46297</v>
      </c>
      <c r="I10" s="14">
        <v>46297</v>
      </c>
      <c r="J10" s="13">
        <f>NETWORKDAYS(H10,I10,Holidays!$A$5:$A$12)</f>
        <v>1</v>
      </c>
      <c r="K10" s="13"/>
      <c r="L10" s="13" t="s">
        <v>152</v>
      </c>
      <c r="M10" s="13" t="s">
        <v>153</v>
      </c>
      <c r="N10" s="13" t="s">
        <v>123</v>
      </c>
      <c r="O10" s="13" t="s">
        <v>87</v>
      </c>
      <c r="P10" s="15">
        <v>1</v>
      </c>
      <c r="Q10" s="16" t="str">
        <f ca="1">IF(AND(O10&lt;&gt;"Complete",I10&lt;TODAY()),"OVERDUE","")</f>
        <v/>
      </c>
      <c r="R10" s="13"/>
    </row>
    <row r="11" spans="1:18" ht="23.85">
      <c r="A11" s="5" t="s">
        <v>154</v>
      </c>
      <c r="B11" s="1" t="s">
        <v>57</v>
      </c>
      <c r="C11" s="1" t="s">
        <v>149</v>
      </c>
      <c r="D11" s="1" t="s">
        <v>155</v>
      </c>
      <c r="E11" s="1" t="s">
        <v>156</v>
      </c>
      <c r="F11" s="1" t="s">
        <v>27</v>
      </c>
      <c r="G11" s="1"/>
      <c r="H11" s="11">
        <v>46304</v>
      </c>
      <c r="I11" s="11">
        <v>46304</v>
      </c>
      <c r="J11" s="1">
        <f>NETWORKDAYS(H11,I11,Holidays!$A$5:$A$12)</f>
        <v>1</v>
      </c>
      <c r="K11" s="1" t="s">
        <v>136</v>
      </c>
      <c r="L11" s="1" t="s">
        <v>152</v>
      </c>
      <c r="M11" s="1" t="s">
        <v>157</v>
      </c>
      <c r="N11" s="1" t="s">
        <v>123</v>
      </c>
      <c r="O11" s="1" t="s">
        <v>88</v>
      </c>
      <c r="P11" s="10">
        <v>0.25</v>
      </c>
      <c r="Q11" s="8" t="str">
        <f ca="1">IF(AND(O11&lt;&gt;"Complete",I11&lt;TODAY()),"OVERDUE","")</f>
        <v/>
      </c>
      <c r="R11" s="1"/>
    </row>
    <row r="12" spans="1:18" ht="23.85">
      <c r="A12" s="12" t="s">
        <v>158</v>
      </c>
      <c r="B12" s="13" t="s">
        <v>57</v>
      </c>
      <c r="C12" s="13" t="s">
        <v>159</v>
      </c>
      <c r="D12" s="13" t="s">
        <v>160</v>
      </c>
      <c r="E12" s="13" t="s">
        <v>161</v>
      </c>
      <c r="F12" s="13" t="s">
        <v>27</v>
      </c>
      <c r="G12" s="13"/>
      <c r="H12" s="14">
        <v>46307</v>
      </c>
      <c r="I12" s="14">
        <v>46307</v>
      </c>
      <c r="J12" s="13">
        <f>NETWORKDAYS(H12,I12,Holidays!$A$5:$A$12)</f>
        <v>1</v>
      </c>
      <c r="K12" s="13" t="s">
        <v>136</v>
      </c>
      <c r="L12" s="13" t="s">
        <v>162</v>
      </c>
      <c r="M12" s="13" t="s">
        <v>163</v>
      </c>
      <c r="N12" s="13" t="s">
        <v>123</v>
      </c>
      <c r="O12" s="13" t="s">
        <v>89</v>
      </c>
      <c r="P12" s="15">
        <v>0</v>
      </c>
      <c r="Q12" s="16" t="str">
        <f ca="1">IF(AND(O12&lt;&gt;"Complete",I12&lt;TODAY()),"OVERDUE","")</f>
        <v/>
      </c>
      <c r="R12" s="13"/>
    </row>
    <row r="13" spans="1:18" ht="68.650000000000006">
      <c r="A13" s="5" t="s">
        <v>164</v>
      </c>
      <c r="B13" s="1" t="s">
        <v>57</v>
      </c>
      <c r="C13" s="1" t="s">
        <v>165</v>
      </c>
      <c r="D13" s="1" t="s">
        <v>166</v>
      </c>
      <c r="E13" s="1" t="s">
        <v>167</v>
      </c>
      <c r="F13" s="1" t="s">
        <v>27</v>
      </c>
      <c r="G13" s="1" t="s">
        <v>30</v>
      </c>
      <c r="H13" s="11">
        <v>46307</v>
      </c>
      <c r="I13" s="11">
        <v>46311</v>
      </c>
      <c r="J13" s="1">
        <f>NETWORKDAYS(H13,I13,Holidays!$A$5:$A$12)</f>
        <v>5</v>
      </c>
      <c r="K13" s="1" t="s">
        <v>158</v>
      </c>
      <c r="L13" s="1" t="s">
        <v>168</v>
      </c>
      <c r="M13" s="1" t="s">
        <v>169</v>
      </c>
      <c r="N13" s="1" t="s">
        <v>170</v>
      </c>
      <c r="O13" s="1" t="s">
        <v>89</v>
      </c>
      <c r="P13" s="10">
        <v>0</v>
      </c>
      <c r="Q13" s="8" t="str">
        <f ca="1">IF(AND(O13&lt;&gt;"Complete",I13&lt;TODAY()),"OVERDUE","")</f>
        <v/>
      </c>
      <c r="R13" s="1"/>
    </row>
    <row r="14" spans="1:18" ht="35.1">
      <c r="A14" s="12" t="s">
        <v>171</v>
      </c>
      <c r="B14" s="13" t="s">
        <v>57</v>
      </c>
      <c r="C14" s="13" t="s">
        <v>159</v>
      </c>
      <c r="D14" s="13" t="s">
        <v>172</v>
      </c>
      <c r="E14" s="13" t="s">
        <v>173</v>
      </c>
      <c r="F14" s="13" t="s">
        <v>27</v>
      </c>
      <c r="G14" s="13" t="s">
        <v>174</v>
      </c>
      <c r="H14" s="14">
        <v>46308</v>
      </c>
      <c r="I14" s="14">
        <v>46308</v>
      </c>
      <c r="J14" s="13">
        <f>NETWORKDAYS(H14,I14,Holidays!$A$5:$A$12)</f>
        <v>1</v>
      </c>
      <c r="K14" s="13" t="s">
        <v>158</v>
      </c>
      <c r="L14" s="13" t="s">
        <v>175</v>
      </c>
      <c r="M14" s="13" t="s">
        <v>176</v>
      </c>
      <c r="N14" s="13" t="s">
        <v>177</v>
      </c>
      <c r="O14" s="13" t="s">
        <v>89</v>
      </c>
      <c r="P14" s="15">
        <v>0</v>
      </c>
      <c r="Q14" s="16" t="str">
        <f ca="1">IF(AND(O14&lt;&gt;"Complete",I14&lt;TODAY()),"OVERDUE","")</f>
        <v/>
      </c>
      <c r="R14" s="13"/>
    </row>
    <row r="15" spans="1:18" ht="23.85">
      <c r="A15" s="5" t="s">
        <v>178</v>
      </c>
      <c r="B15" s="1" t="s">
        <v>57</v>
      </c>
      <c r="C15" s="1" t="s">
        <v>159</v>
      </c>
      <c r="D15" s="1" t="s">
        <v>179</v>
      </c>
      <c r="E15" s="1" t="s">
        <v>180</v>
      </c>
      <c r="F15" s="1" t="s">
        <v>27</v>
      </c>
      <c r="G15" s="1" t="s">
        <v>30</v>
      </c>
      <c r="H15" s="11">
        <v>46309</v>
      </c>
      <c r="I15" s="11">
        <v>46311</v>
      </c>
      <c r="J15" s="1">
        <f>NETWORKDAYS(H15,I15,Holidays!$A$5:$A$12)</f>
        <v>3</v>
      </c>
      <c r="K15" s="1" t="s">
        <v>181</v>
      </c>
      <c r="L15" s="1" t="s">
        <v>182</v>
      </c>
      <c r="M15" s="1" t="s">
        <v>183</v>
      </c>
      <c r="N15" s="1" t="s">
        <v>184</v>
      </c>
      <c r="O15" s="1" t="s">
        <v>89</v>
      </c>
      <c r="P15" s="10">
        <v>0</v>
      </c>
      <c r="Q15" s="8" t="str">
        <f ca="1">IF(AND(O15&lt;&gt;"Complete",I15&lt;TODAY()),"OVERDUE","")</f>
        <v/>
      </c>
      <c r="R15" s="1"/>
    </row>
    <row r="16" spans="1:18" ht="35.1">
      <c r="A16" s="12" t="s">
        <v>185</v>
      </c>
      <c r="B16" s="13" t="s">
        <v>57</v>
      </c>
      <c r="C16" s="13" t="s">
        <v>186</v>
      </c>
      <c r="D16" s="13" t="s">
        <v>187</v>
      </c>
      <c r="E16" s="13" t="s">
        <v>188</v>
      </c>
      <c r="F16" s="13" t="s">
        <v>27</v>
      </c>
      <c r="G16" s="13" t="s">
        <v>33</v>
      </c>
      <c r="H16" s="14">
        <v>46307</v>
      </c>
      <c r="I16" s="14">
        <v>46309</v>
      </c>
      <c r="J16" s="13">
        <f>NETWORKDAYS(H16,I16,Holidays!$A$5:$A$12)</f>
        <v>3</v>
      </c>
      <c r="K16" s="13"/>
      <c r="L16" s="13" t="s">
        <v>189</v>
      </c>
      <c r="M16" s="13" t="s">
        <v>190</v>
      </c>
      <c r="N16" s="13" t="s">
        <v>191</v>
      </c>
      <c r="O16" s="13" t="s">
        <v>89</v>
      </c>
      <c r="P16" s="15">
        <v>0</v>
      </c>
      <c r="Q16" s="16" t="str">
        <f ca="1">IF(AND(O16&lt;&gt;"Complete",I16&lt;TODAY()),"OVERDUE","")</f>
        <v/>
      </c>
      <c r="R16" s="13"/>
    </row>
    <row r="17" spans="1:18" ht="35.1">
      <c r="A17" s="5" t="s">
        <v>192</v>
      </c>
      <c r="B17" s="1" t="s">
        <v>57</v>
      </c>
      <c r="C17" s="1" t="s">
        <v>142</v>
      </c>
      <c r="D17" s="1" t="s">
        <v>193</v>
      </c>
      <c r="E17" s="1" t="s">
        <v>194</v>
      </c>
      <c r="F17" s="1" t="s">
        <v>27</v>
      </c>
      <c r="G17" s="1" t="s">
        <v>30</v>
      </c>
      <c r="H17" s="11">
        <v>46307</v>
      </c>
      <c r="I17" s="11">
        <v>46311</v>
      </c>
      <c r="J17" s="1">
        <f>NETWORKDAYS(H17,I17,Holidays!$A$5:$A$12)</f>
        <v>5</v>
      </c>
      <c r="K17" s="1"/>
      <c r="L17" s="1" t="s">
        <v>195</v>
      </c>
      <c r="M17" s="1" t="s">
        <v>196</v>
      </c>
      <c r="N17" s="1" t="s">
        <v>197</v>
      </c>
      <c r="O17" s="1" t="s">
        <v>89</v>
      </c>
      <c r="P17" s="10">
        <v>0</v>
      </c>
      <c r="Q17" s="8" t="str">
        <f ca="1">IF(AND(O17&lt;&gt;"Complete",I17&lt;TODAY()),"OVERDUE","")</f>
        <v/>
      </c>
      <c r="R17" s="1"/>
    </row>
    <row r="18" spans="1:18" ht="35.1">
      <c r="A18" s="12" t="s">
        <v>198</v>
      </c>
      <c r="B18" s="13" t="s">
        <v>57</v>
      </c>
      <c r="C18" s="13" t="s">
        <v>199</v>
      </c>
      <c r="D18" s="13" t="s">
        <v>200</v>
      </c>
      <c r="E18" s="13" t="s">
        <v>201</v>
      </c>
      <c r="F18" s="13" t="s">
        <v>30</v>
      </c>
      <c r="G18" s="13" t="s">
        <v>33</v>
      </c>
      <c r="H18" s="14">
        <v>46307</v>
      </c>
      <c r="I18" s="14">
        <v>46308</v>
      </c>
      <c r="J18" s="13">
        <f>NETWORKDAYS(H18,I18,Holidays!$A$5:$A$12)</f>
        <v>2</v>
      </c>
      <c r="K18" s="13" t="s">
        <v>141</v>
      </c>
      <c r="L18" s="13" t="s">
        <v>202</v>
      </c>
      <c r="M18" s="13" t="s">
        <v>203</v>
      </c>
      <c r="N18" s="13" t="s">
        <v>204</v>
      </c>
      <c r="O18" s="13" t="s">
        <v>89</v>
      </c>
      <c r="P18" s="15">
        <v>0</v>
      </c>
      <c r="Q18" s="16" t="str">
        <f ca="1">IF(AND(O18&lt;&gt;"Complete",I18&lt;TODAY()),"OVERDUE","")</f>
        <v/>
      </c>
      <c r="R18" s="13"/>
    </row>
    <row r="19" spans="1:18" ht="23.85">
      <c r="A19" s="5" t="s">
        <v>205</v>
      </c>
      <c r="B19" s="1" t="s">
        <v>57</v>
      </c>
      <c r="C19" s="1" t="s">
        <v>199</v>
      </c>
      <c r="D19" s="1" t="s">
        <v>206</v>
      </c>
      <c r="E19" s="1" t="s">
        <v>207</v>
      </c>
      <c r="F19" s="1" t="s">
        <v>30</v>
      </c>
      <c r="G19" s="1"/>
      <c r="H19" s="11">
        <v>46308</v>
      </c>
      <c r="I19" s="11">
        <v>46309</v>
      </c>
      <c r="J19" s="1">
        <f>NETWORKDAYS(H19,I19,Holidays!$A$5:$A$12)</f>
        <v>2</v>
      </c>
      <c r="K19" s="1" t="s">
        <v>198</v>
      </c>
      <c r="L19" s="1" t="s">
        <v>208</v>
      </c>
      <c r="M19" s="1" t="s">
        <v>209</v>
      </c>
      <c r="N19" s="1" t="s">
        <v>210</v>
      </c>
      <c r="O19" s="1" t="s">
        <v>89</v>
      </c>
      <c r="P19" s="10">
        <v>0</v>
      </c>
      <c r="Q19" s="8" t="str">
        <f ca="1">IF(AND(O19&lt;&gt;"Complete",I19&lt;TODAY()),"OVERDUE","")</f>
        <v/>
      </c>
      <c r="R19" s="1"/>
    </row>
    <row r="20" spans="1:18" ht="23.85">
      <c r="A20" s="12" t="s">
        <v>211</v>
      </c>
      <c r="B20" s="13" t="s">
        <v>57</v>
      </c>
      <c r="C20" s="13" t="s">
        <v>212</v>
      </c>
      <c r="D20" s="13" t="s">
        <v>213</v>
      </c>
      <c r="E20" s="13" t="s">
        <v>214</v>
      </c>
      <c r="F20" s="13" t="s">
        <v>30</v>
      </c>
      <c r="G20" s="13" t="s">
        <v>27</v>
      </c>
      <c r="H20" s="14">
        <v>46307</v>
      </c>
      <c r="I20" s="14">
        <v>46311</v>
      </c>
      <c r="J20" s="13">
        <f>NETWORKDAYS(H20,I20,Holidays!$A$5:$A$12)</f>
        <v>5</v>
      </c>
      <c r="K20" s="13" t="s">
        <v>192</v>
      </c>
      <c r="L20" s="13" t="s">
        <v>215</v>
      </c>
      <c r="M20" s="13" t="s">
        <v>216</v>
      </c>
      <c r="N20" s="13" t="s">
        <v>217</v>
      </c>
      <c r="O20" s="13" t="s">
        <v>89</v>
      </c>
      <c r="P20" s="15">
        <v>0</v>
      </c>
      <c r="Q20" s="16" t="str">
        <f ca="1">IF(AND(O20&lt;&gt;"Complete",I20&lt;TODAY()),"OVERDUE","")</f>
        <v/>
      </c>
      <c r="R20" s="13"/>
    </row>
    <row r="21" spans="1:18" ht="23.85">
      <c r="A21" s="5" t="s">
        <v>218</v>
      </c>
      <c r="B21" s="1" t="s">
        <v>57</v>
      </c>
      <c r="C21" s="1" t="s">
        <v>219</v>
      </c>
      <c r="D21" s="1" t="s">
        <v>220</v>
      </c>
      <c r="E21" s="1" t="s">
        <v>221</v>
      </c>
      <c r="F21" s="1" t="s">
        <v>30</v>
      </c>
      <c r="G21" s="1"/>
      <c r="H21" s="11">
        <v>46309</v>
      </c>
      <c r="I21" s="11">
        <v>46310</v>
      </c>
      <c r="J21" s="1">
        <f>NETWORKDAYS(H21,I21,Holidays!$A$5:$A$12)</f>
        <v>2</v>
      </c>
      <c r="K21" s="1" t="s">
        <v>211</v>
      </c>
      <c r="L21" s="1" t="s">
        <v>222</v>
      </c>
      <c r="M21" s="1" t="s">
        <v>223</v>
      </c>
      <c r="N21" s="1" t="s">
        <v>224</v>
      </c>
      <c r="O21" s="1" t="s">
        <v>89</v>
      </c>
      <c r="P21" s="10">
        <v>0</v>
      </c>
      <c r="Q21" s="8" t="str">
        <f ca="1">IF(AND(O21&lt;&gt;"Complete",I21&lt;TODAY()),"OVERDUE","")</f>
        <v/>
      </c>
      <c r="R21" s="1"/>
    </row>
    <row r="22" spans="1:18" ht="23.85">
      <c r="A22" s="12" t="s">
        <v>225</v>
      </c>
      <c r="B22" s="13" t="s">
        <v>57</v>
      </c>
      <c r="C22" s="13" t="s">
        <v>219</v>
      </c>
      <c r="D22" s="13" t="s">
        <v>226</v>
      </c>
      <c r="E22" s="13" t="s">
        <v>227</v>
      </c>
      <c r="F22" s="13" t="s">
        <v>30</v>
      </c>
      <c r="G22" s="13"/>
      <c r="H22" s="14">
        <v>46308</v>
      </c>
      <c r="I22" s="14">
        <v>46310</v>
      </c>
      <c r="J22" s="13">
        <f>NETWORKDAYS(H22,I22,Holidays!$A$5:$A$12)</f>
        <v>3</v>
      </c>
      <c r="K22" s="13" t="s">
        <v>141</v>
      </c>
      <c r="L22" s="13" t="s">
        <v>228</v>
      </c>
      <c r="M22" s="13" t="s">
        <v>229</v>
      </c>
      <c r="N22" s="13" t="s">
        <v>230</v>
      </c>
      <c r="O22" s="13" t="s">
        <v>89</v>
      </c>
      <c r="P22" s="15">
        <v>0</v>
      </c>
      <c r="Q22" s="16" t="str">
        <f ca="1">IF(AND(O22&lt;&gt;"Complete",I22&lt;TODAY()),"OVERDUE","")</f>
        <v/>
      </c>
      <c r="R22" s="13"/>
    </row>
    <row r="23" spans="1:18" ht="23.85">
      <c r="A23" s="5" t="s">
        <v>231</v>
      </c>
      <c r="B23" s="1" t="s">
        <v>57</v>
      </c>
      <c r="C23" s="1" t="s">
        <v>232</v>
      </c>
      <c r="D23" s="1" t="s">
        <v>233</v>
      </c>
      <c r="E23" s="1" t="s">
        <v>234</v>
      </c>
      <c r="F23" s="1" t="s">
        <v>30</v>
      </c>
      <c r="G23" s="1" t="s">
        <v>33</v>
      </c>
      <c r="H23" s="11">
        <v>46309</v>
      </c>
      <c r="I23" s="11">
        <v>46311</v>
      </c>
      <c r="J23" s="1">
        <f>NETWORKDAYS(H23,I23,Holidays!$A$5:$A$12)</f>
        <v>3</v>
      </c>
      <c r="K23" s="1" t="s">
        <v>218</v>
      </c>
      <c r="L23" s="1" t="s">
        <v>235</v>
      </c>
      <c r="M23" s="1" t="s">
        <v>236</v>
      </c>
      <c r="N23" s="1" t="s">
        <v>237</v>
      </c>
      <c r="O23" s="1" t="s">
        <v>89</v>
      </c>
      <c r="P23" s="10">
        <v>0</v>
      </c>
      <c r="Q23" s="8" t="str">
        <f ca="1">IF(AND(O23&lt;&gt;"Complete",I23&lt;TODAY()),"OVERDUE","")</f>
        <v/>
      </c>
      <c r="R23" s="1"/>
    </row>
    <row r="24" spans="1:18" ht="23.85">
      <c r="A24" s="12" t="s">
        <v>238</v>
      </c>
      <c r="B24" s="13" t="s">
        <v>57</v>
      </c>
      <c r="C24" s="13" t="s">
        <v>239</v>
      </c>
      <c r="D24" s="13" t="s">
        <v>240</v>
      </c>
      <c r="E24" s="13" t="s">
        <v>241</v>
      </c>
      <c r="F24" s="13" t="s">
        <v>36</v>
      </c>
      <c r="G24" s="13" t="s">
        <v>33</v>
      </c>
      <c r="H24" s="14">
        <v>46308</v>
      </c>
      <c r="I24" s="14">
        <v>46311</v>
      </c>
      <c r="J24" s="13">
        <f>NETWORKDAYS(H24,I24,Holidays!$A$5:$A$12)</f>
        <v>4</v>
      </c>
      <c r="K24" s="13" t="s">
        <v>185</v>
      </c>
      <c r="L24" s="13" t="s">
        <v>242</v>
      </c>
      <c r="M24" s="13" t="s">
        <v>243</v>
      </c>
      <c r="N24" s="13" t="s">
        <v>244</v>
      </c>
      <c r="O24" s="13" t="s">
        <v>89</v>
      </c>
      <c r="P24" s="15">
        <v>0</v>
      </c>
      <c r="Q24" s="16" t="str">
        <f ca="1">IF(AND(O24&lt;&gt;"Complete",I24&lt;TODAY()),"OVERDUE","")</f>
        <v/>
      </c>
      <c r="R24" s="13"/>
    </row>
    <row r="25" spans="1:18" ht="23.85">
      <c r="A25" s="5" t="s">
        <v>245</v>
      </c>
      <c r="B25" s="1" t="s">
        <v>57</v>
      </c>
      <c r="C25" s="1" t="s">
        <v>246</v>
      </c>
      <c r="D25" s="1" t="s">
        <v>247</v>
      </c>
      <c r="E25" s="1" t="s">
        <v>248</v>
      </c>
      <c r="F25" s="1" t="s">
        <v>33</v>
      </c>
      <c r="G25" s="1" t="s">
        <v>30</v>
      </c>
      <c r="H25" s="11">
        <v>46307</v>
      </c>
      <c r="I25" s="11">
        <v>46308</v>
      </c>
      <c r="J25" s="1">
        <f>NETWORKDAYS(H25,I25,Holidays!$A$5:$A$12)</f>
        <v>2</v>
      </c>
      <c r="K25" s="1" t="s">
        <v>141</v>
      </c>
      <c r="L25" s="1" t="s">
        <v>249</v>
      </c>
      <c r="M25" s="1" t="s">
        <v>250</v>
      </c>
      <c r="N25" s="1" t="s">
        <v>251</v>
      </c>
      <c r="O25" s="1" t="s">
        <v>89</v>
      </c>
      <c r="P25" s="10">
        <v>0</v>
      </c>
      <c r="Q25" s="8" t="str">
        <f ca="1">IF(AND(O25&lt;&gt;"Complete",I25&lt;TODAY()),"OVERDUE","")</f>
        <v/>
      </c>
      <c r="R25" s="1"/>
    </row>
    <row r="26" spans="1:18" ht="23.85">
      <c r="A26" s="12" t="s">
        <v>252</v>
      </c>
      <c r="B26" s="13" t="s">
        <v>57</v>
      </c>
      <c r="C26" s="13" t="s">
        <v>246</v>
      </c>
      <c r="D26" s="13" t="s">
        <v>253</v>
      </c>
      <c r="E26" s="13" t="s">
        <v>254</v>
      </c>
      <c r="F26" s="13" t="s">
        <v>33</v>
      </c>
      <c r="G26" s="13" t="s">
        <v>36</v>
      </c>
      <c r="H26" s="14">
        <v>46309</v>
      </c>
      <c r="I26" s="14">
        <v>46311</v>
      </c>
      <c r="J26" s="13">
        <f>NETWORKDAYS(H26,I26,Holidays!$A$5:$A$12)</f>
        <v>3</v>
      </c>
      <c r="K26" s="13" t="s">
        <v>238</v>
      </c>
      <c r="L26" s="13" t="s">
        <v>255</v>
      </c>
      <c r="M26" s="13" t="s">
        <v>256</v>
      </c>
      <c r="N26" s="13" t="s">
        <v>257</v>
      </c>
      <c r="O26" s="13" t="s">
        <v>89</v>
      </c>
      <c r="P26" s="15">
        <v>0</v>
      </c>
      <c r="Q26" s="16" t="str">
        <f ca="1">IF(AND(O26&lt;&gt;"Complete",I26&lt;TODAY()),"OVERDUE","")</f>
        <v/>
      </c>
      <c r="R26" s="13"/>
    </row>
    <row r="27" spans="1:18" ht="23.85">
      <c r="A27" s="5" t="s">
        <v>258</v>
      </c>
      <c r="B27" s="1" t="s">
        <v>57</v>
      </c>
      <c r="C27" s="1" t="s">
        <v>259</v>
      </c>
      <c r="D27" s="1" t="s">
        <v>260</v>
      </c>
      <c r="E27" s="1" t="s">
        <v>261</v>
      </c>
      <c r="F27" s="1" t="s">
        <v>39</v>
      </c>
      <c r="G27" s="1"/>
      <c r="H27" s="11">
        <v>46307</v>
      </c>
      <c r="I27" s="11">
        <v>46308</v>
      </c>
      <c r="J27" s="1">
        <f>NETWORKDAYS(H27,I27,Holidays!$A$5:$A$12)</f>
        <v>2</v>
      </c>
      <c r="K27" s="1" t="s">
        <v>141</v>
      </c>
      <c r="L27" s="1" t="s">
        <v>262</v>
      </c>
      <c r="M27" s="1" t="s">
        <v>263</v>
      </c>
      <c r="N27" s="1" t="s">
        <v>264</v>
      </c>
      <c r="O27" s="1" t="s">
        <v>89</v>
      </c>
      <c r="P27" s="10">
        <v>0</v>
      </c>
      <c r="Q27" s="8" t="str">
        <f ca="1">IF(AND(O27&lt;&gt;"Complete",I27&lt;TODAY()),"OVERDUE","")</f>
        <v/>
      </c>
      <c r="R27" s="1"/>
    </row>
    <row r="28" spans="1:18" ht="23.85">
      <c r="A28" s="12" t="s">
        <v>265</v>
      </c>
      <c r="B28" s="13" t="s">
        <v>57</v>
      </c>
      <c r="C28" s="13" t="s">
        <v>266</v>
      </c>
      <c r="D28" s="13" t="s">
        <v>267</v>
      </c>
      <c r="E28" s="13" t="s">
        <v>268</v>
      </c>
      <c r="F28" s="13" t="s">
        <v>42</v>
      </c>
      <c r="G28" s="13"/>
      <c r="H28" s="14">
        <v>46307</v>
      </c>
      <c r="I28" s="14">
        <v>46308</v>
      </c>
      <c r="J28" s="13">
        <f>NETWORKDAYS(H28,I28,Holidays!$A$5:$A$12)</f>
        <v>2</v>
      </c>
      <c r="K28" s="13" t="s">
        <v>141</v>
      </c>
      <c r="L28" s="13" t="s">
        <v>262</v>
      </c>
      <c r="M28" s="13" t="s">
        <v>263</v>
      </c>
      <c r="N28" s="13" t="s">
        <v>269</v>
      </c>
      <c r="O28" s="13" t="s">
        <v>89</v>
      </c>
      <c r="P28" s="15">
        <v>0</v>
      </c>
      <c r="Q28" s="16" t="str">
        <f ca="1">IF(AND(O28&lt;&gt;"Complete",I28&lt;TODAY()),"OVERDUE","")</f>
        <v/>
      </c>
      <c r="R28" s="13"/>
    </row>
    <row r="29" spans="1:18" ht="23.85">
      <c r="A29" s="5" t="s">
        <v>270</v>
      </c>
      <c r="B29" s="1" t="s">
        <v>57</v>
      </c>
      <c r="C29" s="1" t="s">
        <v>271</v>
      </c>
      <c r="D29" s="1" t="s">
        <v>272</v>
      </c>
      <c r="E29" s="1" t="s">
        <v>273</v>
      </c>
      <c r="F29" s="1" t="s">
        <v>44</v>
      </c>
      <c r="G29" s="1" t="s">
        <v>30</v>
      </c>
      <c r="H29" s="11">
        <v>46307</v>
      </c>
      <c r="I29" s="11">
        <v>46308</v>
      </c>
      <c r="J29" s="1">
        <f>NETWORKDAYS(H29,I29,Holidays!$A$5:$A$12)</f>
        <v>2</v>
      </c>
      <c r="K29" s="1" t="s">
        <v>192</v>
      </c>
      <c r="L29" s="1" t="s">
        <v>274</v>
      </c>
      <c r="M29" s="1" t="s">
        <v>275</v>
      </c>
      <c r="N29" s="1" t="s">
        <v>276</v>
      </c>
      <c r="O29" s="1" t="s">
        <v>89</v>
      </c>
      <c r="P29" s="10">
        <v>0</v>
      </c>
      <c r="Q29" s="8" t="str">
        <f ca="1">IF(AND(O29&lt;&gt;"Complete",I29&lt;TODAY()),"OVERDUE","")</f>
        <v/>
      </c>
      <c r="R29" s="1"/>
    </row>
    <row r="30" spans="1:18" ht="23.85">
      <c r="A30" s="12" t="s">
        <v>277</v>
      </c>
      <c r="B30" s="13" t="s">
        <v>57</v>
      </c>
      <c r="C30" s="13" t="s">
        <v>278</v>
      </c>
      <c r="D30" s="13" t="s">
        <v>279</v>
      </c>
      <c r="E30" s="13" t="s">
        <v>280</v>
      </c>
      <c r="F30" s="13" t="s">
        <v>39</v>
      </c>
      <c r="G30" s="13" t="s">
        <v>42</v>
      </c>
      <c r="H30" s="14">
        <v>46308</v>
      </c>
      <c r="I30" s="14">
        <v>46309</v>
      </c>
      <c r="J30" s="13">
        <f>NETWORKDAYS(H30,I30,Holidays!$A$5:$A$12)</f>
        <v>2</v>
      </c>
      <c r="K30" s="13" t="s">
        <v>218</v>
      </c>
      <c r="L30" s="13" t="s">
        <v>281</v>
      </c>
      <c r="M30" s="13" t="s">
        <v>282</v>
      </c>
      <c r="N30" s="13" t="s">
        <v>283</v>
      </c>
      <c r="O30" s="13" t="s">
        <v>89</v>
      </c>
      <c r="P30" s="15">
        <v>0</v>
      </c>
      <c r="Q30" s="16" t="str">
        <f ca="1">IF(AND(O30&lt;&gt;"Complete",I30&lt;TODAY()),"OVERDUE","")</f>
        <v/>
      </c>
      <c r="R30" s="13"/>
    </row>
    <row r="31" spans="1:18" ht="23.85">
      <c r="A31" s="5" t="s">
        <v>284</v>
      </c>
      <c r="B31" s="1" t="s">
        <v>57</v>
      </c>
      <c r="C31" s="1" t="s">
        <v>285</v>
      </c>
      <c r="D31" s="1" t="s">
        <v>286</v>
      </c>
      <c r="E31" s="1" t="s">
        <v>287</v>
      </c>
      <c r="F31" s="1" t="s">
        <v>47</v>
      </c>
      <c r="G31" s="1" t="s">
        <v>27</v>
      </c>
      <c r="H31" s="11">
        <v>46308</v>
      </c>
      <c r="I31" s="11">
        <v>46311</v>
      </c>
      <c r="J31" s="1">
        <f>NETWORKDAYS(H31,I31,Holidays!$A$5:$A$12)</f>
        <v>4</v>
      </c>
      <c r="K31" s="1" t="s">
        <v>136</v>
      </c>
      <c r="L31" s="1" t="s">
        <v>288</v>
      </c>
      <c r="M31" s="1" t="s">
        <v>289</v>
      </c>
      <c r="N31" s="1" t="s">
        <v>290</v>
      </c>
      <c r="O31" s="1" t="s">
        <v>89</v>
      </c>
      <c r="P31" s="10">
        <v>0</v>
      </c>
      <c r="Q31" s="8" t="str">
        <f ca="1">IF(AND(O31&lt;&gt;"Complete",I31&lt;TODAY()),"OVERDUE","")</f>
        <v/>
      </c>
      <c r="R31" s="1"/>
    </row>
    <row r="32" spans="1:18" ht="23.85">
      <c r="A32" s="12" t="s">
        <v>291</v>
      </c>
      <c r="B32" s="13" t="s">
        <v>60</v>
      </c>
      <c r="C32" s="13" t="s">
        <v>292</v>
      </c>
      <c r="D32" s="13" t="s">
        <v>293</v>
      </c>
      <c r="E32" s="13" t="s">
        <v>294</v>
      </c>
      <c r="F32" s="13" t="s">
        <v>27</v>
      </c>
      <c r="G32" s="13" t="s">
        <v>120</v>
      </c>
      <c r="H32" s="14">
        <v>46307</v>
      </c>
      <c r="I32" s="14">
        <v>46307</v>
      </c>
      <c r="J32" s="13">
        <f>NETWORKDAYS(H32,I32,Holidays!$A$5:$A$12)</f>
        <v>1</v>
      </c>
      <c r="K32" s="13"/>
      <c r="L32" s="13" t="s">
        <v>295</v>
      </c>
      <c r="M32" s="13" t="s">
        <v>296</v>
      </c>
      <c r="N32" s="13" t="s">
        <v>297</v>
      </c>
      <c r="O32" s="13" t="s">
        <v>89</v>
      </c>
      <c r="P32" s="15">
        <v>0</v>
      </c>
      <c r="Q32" s="16" t="str">
        <f ca="1">IF(AND(O32&lt;&gt;"Complete",I32&lt;TODAY()),"OVERDUE","")</f>
        <v/>
      </c>
      <c r="R32" s="13"/>
    </row>
    <row r="33" spans="1:18" ht="35.1">
      <c r="A33" s="5" t="s">
        <v>298</v>
      </c>
      <c r="B33" s="1" t="s">
        <v>60</v>
      </c>
      <c r="C33" s="1" t="s">
        <v>212</v>
      </c>
      <c r="D33" s="1" t="s">
        <v>299</v>
      </c>
      <c r="E33" s="7" t="s">
        <v>300</v>
      </c>
      <c r="F33" s="1" t="s">
        <v>30</v>
      </c>
      <c r="G33" s="1" t="s">
        <v>33</v>
      </c>
      <c r="H33" s="11">
        <v>46310</v>
      </c>
      <c r="I33" s="11">
        <v>46311</v>
      </c>
      <c r="J33" s="1">
        <f>NETWORKDAYS(H33,I33,Holidays!$A$5:$A$12)</f>
        <v>2</v>
      </c>
      <c r="K33" s="1" t="s">
        <v>192</v>
      </c>
      <c r="L33" s="1" t="s">
        <v>301</v>
      </c>
      <c r="M33" s="1" t="s">
        <v>302</v>
      </c>
      <c r="N33" s="1" t="s">
        <v>303</v>
      </c>
      <c r="O33" s="1" t="s">
        <v>89</v>
      </c>
      <c r="P33" s="10">
        <v>0</v>
      </c>
      <c r="Q33" s="8" t="str">
        <f ca="1">IF(AND(O33&lt;&gt;"Complete",I33&lt;TODAY()),"OVERDUE","")</f>
        <v/>
      </c>
      <c r="R33" s="1"/>
    </row>
    <row r="34" spans="1:18" ht="23.85">
      <c r="A34" s="12" t="s">
        <v>304</v>
      </c>
      <c r="B34" s="13" t="s">
        <v>60</v>
      </c>
      <c r="C34" s="13" t="s">
        <v>232</v>
      </c>
      <c r="D34" s="13" t="s">
        <v>305</v>
      </c>
      <c r="E34" s="13" t="s">
        <v>306</v>
      </c>
      <c r="F34" s="13" t="s">
        <v>33</v>
      </c>
      <c r="G34" s="13" t="s">
        <v>30</v>
      </c>
      <c r="H34" s="14">
        <v>46310</v>
      </c>
      <c r="I34" s="14">
        <v>46316</v>
      </c>
      <c r="J34" s="13">
        <f>NETWORKDAYS(H34,I34,Holidays!$A$5:$A$12)</f>
        <v>4</v>
      </c>
      <c r="K34" s="13" t="s">
        <v>231</v>
      </c>
      <c r="L34" s="13" t="s">
        <v>307</v>
      </c>
      <c r="M34" s="13" t="s">
        <v>308</v>
      </c>
      <c r="N34" s="13" t="s">
        <v>237</v>
      </c>
      <c r="O34" s="13" t="s">
        <v>89</v>
      </c>
      <c r="P34" s="15">
        <v>0</v>
      </c>
      <c r="Q34" s="16" t="str">
        <f ca="1">IF(AND(O34&lt;&gt;"Complete",I34&lt;TODAY()),"OVERDUE","")</f>
        <v/>
      </c>
      <c r="R34" s="13"/>
    </row>
    <row r="35" spans="1:18" ht="35.1">
      <c r="A35" s="5" t="s">
        <v>309</v>
      </c>
      <c r="B35" s="1" t="s">
        <v>60</v>
      </c>
      <c r="C35" s="1" t="s">
        <v>310</v>
      </c>
      <c r="D35" s="1" t="s">
        <v>311</v>
      </c>
      <c r="E35" s="1" t="s">
        <v>312</v>
      </c>
      <c r="F35" s="1" t="s">
        <v>33</v>
      </c>
      <c r="G35" s="1"/>
      <c r="H35" s="11">
        <v>46314</v>
      </c>
      <c r="I35" s="11">
        <v>46316</v>
      </c>
      <c r="J35" s="1">
        <f>NETWORKDAYS(H35,I35,Holidays!$A$5:$A$12)</f>
        <v>2</v>
      </c>
      <c r="K35" s="1" t="s">
        <v>313</v>
      </c>
      <c r="L35" s="1" t="s">
        <v>314</v>
      </c>
      <c r="M35" s="1" t="s">
        <v>315</v>
      </c>
      <c r="N35" s="1" t="s">
        <v>316</v>
      </c>
      <c r="O35" s="1" t="s">
        <v>89</v>
      </c>
      <c r="P35" s="10">
        <v>0</v>
      </c>
      <c r="Q35" s="8" t="str">
        <f ca="1">IF(AND(O35&lt;&gt;"Complete",I35&lt;TODAY()),"OVERDUE","")</f>
        <v/>
      </c>
      <c r="R35" s="1"/>
    </row>
    <row r="36" spans="1:18" ht="23.85">
      <c r="A36" s="12" t="s">
        <v>317</v>
      </c>
      <c r="B36" s="13" t="s">
        <v>60</v>
      </c>
      <c r="C36" s="13" t="s">
        <v>310</v>
      </c>
      <c r="D36" s="13" t="s">
        <v>318</v>
      </c>
      <c r="E36" s="13" t="s">
        <v>319</v>
      </c>
      <c r="F36" s="13" t="s">
        <v>33</v>
      </c>
      <c r="G36" s="13" t="s">
        <v>36</v>
      </c>
      <c r="H36" s="14">
        <v>46316</v>
      </c>
      <c r="I36" s="14">
        <v>46318</v>
      </c>
      <c r="J36" s="13">
        <f>NETWORKDAYS(H36,I36,Holidays!$A$5:$A$12)</f>
        <v>3</v>
      </c>
      <c r="K36" s="13" t="s">
        <v>309</v>
      </c>
      <c r="L36" s="13" t="s">
        <v>320</v>
      </c>
      <c r="M36" s="13" t="s">
        <v>321</v>
      </c>
      <c r="N36" s="13" t="s">
        <v>322</v>
      </c>
      <c r="O36" s="13" t="s">
        <v>89</v>
      </c>
      <c r="P36" s="15">
        <v>0</v>
      </c>
      <c r="Q36" s="16" t="str">
        <f ca="1">IF(AND(O36&lt;&gt;"Complete",I36&lt;TODAY()),"OVERDUE","")</f>
        <v/>
      </c>
      <c r="R36" s="13"/>
    </row>
    <row r="37" spans="1:18" ht="35.1">
      <c r="A37" s="5" t="s">
        <v>323</v>
      </c>
      <c r="B37" s="1" t="s">
        <v>60</v>
      </c>
      <c r="C37" s="1" t="s">
        <v>310</v>
      </c>
      <c r="D37" s="1" t="s">
        <v>324</v>
      </c>
      <c r="E37" s="1" t="s">
        <v>325</v>
      </c>
      <c r="F37" s="1" t="s">
        <v>33</v>
      </c>
      <c r="G37" s="1"/>
      <c r="H37" s="11">
        <v>46314</v>
      </c>
      <c r="I37" s="11">
        <v>46318</v>
      </c>
      <c r="J37" s="1">
        <f>NETWORKDAYS(H37,I37,Holidays!$A$5:$A$12)</f>
        <v>4</v>
      </c>
      <c r="K37" s="1" t="s">
        <v>304</v>
      </c>
      <c r="L37" s="1" t="s">
        <v>326</v>
      </c>
      <c r="M37" s="1" t="s">
        <v>327</v>
      </c>
      <c r="N37" s="1" t="s">
        <v>328</v>
      </c>
      <c r="O37" s="1" t="s">
        <v>89</v>
      </c>
      <c r="P37" s="10">
        <v>0</v>
      </c>
      <c r="Q37" s="8" t="str">
        <f ca="1">IF(AND(O37&lt;&gt;"Complete",I37&lt;TODAY()),"OVERDUE","")</f>
        <v/>
      </c>
      <c r="R37" s="1"/>
    </row>
    <row r="38" spans="1:18" ht="35.1">
      <c r="A38" s="12" t="s">
        <v>329</v>
      </c>
      <c r="B38" s="13" t="s">
        <v>60</v>
      </c>
      <c r="C38" s="13" t="s">
        <v>330</v>
      </c>
      <c r="D38" s="13" t="s">
        <v>331</v>
      </c>
      <c r="E38" s="13" t="s">
        <v>332</v>
      </c>
      <c r="F38" s="13" t="s">
        <v>33</v>
      </c>
      <c r="G38" s="13" t="s">
        <v>36</v>
      </c>
      <c r="H38" s="14">
        <v>46316</v>
      </c>
      <c r="I38" s="14">
        <v>46318</v>
      </c>
      <c r="J38" s="13">
        <f>NETWORKDAYS(H38,I38,Holidays!$A$5:$A$12)</f>
        <v>3</v>
      </c>
      <c r="K38" s="13" t="s">
        <v>304</v>
      </c>
      <c r="L38" s="13" t="s">
        <v>333</v>
      </c>
      <c r="M38" s="13" t="s">
        <v>334</v>
      </c>
      <c r="N38" s="13" t="s">
        <v>335</v>
      </c>
      <c r="O38" s="13" t="s">
        <v>89</v>
      </c>
      <c r="P38" s="15">
        <v>0</v>
      </c>
      <c r="Q38" s="16" t="str">
        <f ca="1">IF(AND(O38&lt;&gt;"Complete",I38&lt;TODAY()),"OVERDUE","")</f>
        <v/>
      </c>
      <c r="R38" s="13"/>
    </row>
    <row r="39" spans="1:18" ht="23.85">
      <c r="A39" s="5" t="s">
        <v>336</v>
      </c>
      <c r="B39" s="1" t="s">
        <v>60</v>
      </c>
      <c r="C39" s="1" t="s">
        <v>239</v>
      </c>
      <c r="D39" s="1" t="s">
        <v>337</v>
      </c>
      <c r="E39" s="1" t="s">
        <v>338</v>
      </c>
      <c r="F39" s="1" t="s">
        <v>36</v>
      </c>
      <c r="G39" s="1" t="s">
        <v>33</v>
      </c>
      <c r="H39" s="11">
        <v>46310</v>
      </c>
      <c r="I39" s="11">
        <v>46316</v>
      </c>
      <c r="J39" s="1">
        <f>NETWORKDAYS(H39,I39,Holidays!$A$5:$A$12)</f>
        <v>4</v>
      </c>
      <c r="K39" s="1" t="s">
        <v>238</v>
      </c>
      <c r="L39" s="1" t="s">
        <v>339</v>
      </c>
      <c r="M39" s="1" t="s">
        <v>340</v>
      </c>
      <c r="N39" s="1" t="s">
        <v>341</v>
      </c>
      <c r="O39" s="1" t="s">
        <v>89</v>
      </c>
      <c r="P39" s="10">
        <v>0</v>
      </c>
      <c r="Q39" s="8" t="str">
        <f ca="1">IF(AND(O39&lt;&gt;"Complete",I39&lt;TODAY()),"OVERDUE","")</f>
        <v/>
      </c>
      <c r="R39" s="1"/>
    </row>
    <row r="40" spans="1:18" ht="23.85">
      <c r="A40" s="12" t="s">
        <v>342</v>
      </c>
      <c r="B40" s="13" t="s">
        <v>60</v>
      </c>
      <c r="C40" s="13" t="s">
        <v>285</v>
      </c>
      <c r="D40" s="13" t="s">
        <v>343</v>
      </c>
      <c r="E40" s="13" t="s">
        <v>344</v>
      </c>
      <c r="F40" s="13" t="s">
        <v>36</v>
      </c>
      <c r="G40" s="13" t="s">
        <v>47</v>
      </c>
      <c r="H40" s="14">
        <v>46314</v>
      </c>
      <c r="I40" s="14">
        <v>46318</v>
      </c>
      <c r="J40" s="13">
        <f>NETWORKDAYS(H40,I40,Holidays!$A$5:$A$12)</f>
        <v>4</v>
      </c>
      <c r="K40" s="13" t="s">
        <v>252</v>
      </c>
      <c r="L40" s="13" t="s">
        <v>345</v>
      </c>
      <c r="M40" s="13" t="s">
        <v>346</v>
      </c>
      <c r="N40" s="13" t="s">
        <v>347</v>
      </c>
      <c r="O40" s="13" t="s">
        <v>89</v>
      </c>
      <c r="P40" s="15">
        <v>0</v>
      </c>
      <c r="Q40" s="16" t="str">
        <f ca="1">IF(AND(O40&lt;&gt;"Complete",I40&lt;TODAY()),"OVERDUE","")</f>
        <v/>
      </c>
      <c r="R40" s="13"/>
    </row>
    <row r="41" spans="1:18" ht="23.85">
      <c r="A41" s="5" t="s">
        <v>348</v>
      </c>
      <c r="B41" s="1" t="s">
        <v>60</v>
      </c>
      <c r="C41" s="1" t="s">
        <v>259</v>
      </c>
      <c r="D41" s="1" t="s">
        <v>349</v>
      </c>
      <c r="E41" s="1" t="s">
        <v>350</v>
      </c>
      <c r="F41" s="1" t="s">
        <v>39</v>
      </c>
      <c r="G41" s="1"/>
      <c r="H41" s="11">
        <v>46310</v>
      </c>
      <c r="I41" s="11">
        <v>46311</v>
      </c>
      <c r="J41" s="1">
        <f>NETWORKDAYS(H41,I41,Holidays!$A$5:$A$12)</f>
        <v>2</v>
      </c>
      <c r="K41" s="1" t="s">
        <v>277</v>
      </c>
      <c r="L41" s="1" t="s">
        <v>351</v>
      </c>
      <c r="M41" s="1" t="s">
        <v>352</v>
      </c>
      <c r="N41" s="1" t="s">
        <v>353</v>
      </c>
      <c r="O41" s="1" t="s">
        <v>89</v>
      </c>
      <c r="P41" s="10">
        <v>0</v>
      </c>
      <c r="Q41" s="8" t="str">
        <f ca="1">IF(AND(O41&lt;&gt;"Complete",I41&lt;TODAY()),"OVERDUE","")</f>
        <v/>
      </c>
      <c r="R41" s="1"/>
    </row>
    <row r="42" spans="1:18" ht="23.85">
      <c r="A42" s="12" t="s">
        <v>354</v>
      </c>
      <c r="B42" s="13" t="s">
        <v>60</v>
      </c>
      <c r="C42" s="13" t="s">
        <v>259</v>
      </c>
      <c r="D42" s="13" t="s">
        <v>355</v>
      </c>
      <c r="E42" s="13" t="s">
        <v>356</v>
      </c>
      <c r="F42" s="13" t="s">
        <v>39</v>
      </c>
      <c r="G42" s="13"/>
      <c r="H42" s="14">
        <v>46314</v>
      </c>
      <c r="I42" s="14">
        <v>46317</v>
      </c>
      <c r="J42" s="13">
        <f>NETWORKDAYS(H42,I42,Holidays!$A$5:$A$12)</f>
        <v>3</v>
      </c>
      <c r="K42" s="13" t="s">
        <v>357</v>
      </c>
      <c r="L42" s="13" t="s">
        <v>358</v>
      </c>
      <c r="M42" s="13" t="s">
        <v>359</v>
      </c>
      <c r="N42" s="13" t="s">
        <v>353</v>
      </c>
      <c r="O42" s="13" t="s">
        <v>89</v>
      </c>
      <c r="P42" s="15">
        <v>0</v>
      </c>
      <c r="Q42" s="16" t="str">
        <f ca="1">IF(AND(O42&lt;&gt;"Complete",I42&lt;TODAY()),"OVERDUE","")</f>
        <v/>
      </c>
      <c r="R42" s="13"/>
    </row>
    <row r="43" spans="1:18" ht="35.1">
      <c r="A43" s="5" t="s">
        <v>360</v>
      </c>
      <c r="B43" s="1" t="s">
        <v>60</v>
      </c>
      <c r="C43" s="1" t="s">
        <v>259</v>
      </c>
      <c r="D43" s="1" t="s">
        <v>361</v>
      </c>
      <c r="E43" s="1" t="s">
        <v>362</v>
      </c>
      <c r="F43" s="1" t="s">
        <v>39</v>
      </c>
      <c r="G43" s="1" t="s">
        <v>33</v>
      </c>
      <c r="H43" s="11">
        <v>46316</v>
      </c>
      <c r="I43" s="11">
        <v>46318</v>
      </c>
      <c r="J43" s="1">
        <f>NETWORKDAYS(H43,I43,Holidays!$A$5:$A$12)</f>
        <v>3</v>
      </c>
      <c r="K43" s="1" t="s">
        <v>354</v>
      </c>
      <c r="L43" s="1" t="s">
        <v>363</v>
      </c>
      <c r="M43" s="1" t="s">
        <v>364</v>
      </c>
      <c r="N43" s="1" t="s">
        <v>365</v>
      </c>
      <c r="O43" s="1" t="s">
        <v>89</v>
      </c>
      <c r="P43" s="10">
        <v>0</v>
      </c>
      <c r="Q43" s="8" t="str">
        <f ca="1">IF(AND(O43&lt;&gt;"Complete",I43&lt;TODAY()),"OVERDUE","")</f>
        <v/>
      </c>
      <c r="R43" s="1"/>
    </row>
    <row r="44" spans="1:18" ht="23.85">
      <c r="A44" s="12" t="s">
        <v>366</v>
      </c>
      <c r="B44" s="13" t="s">
        <v>60</v>
      </c>
      <c r="C44" s="13" t="s">
        <v>266</v>
      </c>
      <c r="D44" s="13" t="s">
        <v>367</v>
      </c>
      <c r="E44" s="13" t="s">
        <v>368</v>
      </c>
      <c r="F44" s="13" t="s">
        <v>42</v>
      </c>
      <c r="G44" s="13"/>
      <c r="H44" s="14">
        <v>46310</v>
      </c>
      <c r="I44" s="14">
        <v>46314</v>
      </c>
      <c r="J44" s="13">
        <f>NETWORKDAYS(H44,I44,Holidays!$A$5:$A$12)</f>
        <v>3</v>
      </c>
      <c r="K44" s="13" t="s">
        <v>369</v>
      </c>
      <c r="L44" s="13" t="s">
        <v>370</v>
      </c>
      <c r="M44" s="13" t="s">
        <v>371</v>
      </c>
      <c r="N44" s="13" t="s">
        <v>372</v>
      </c>
      <c r="O44" s="13" t="s">
        <v>89</v>
      </c>
      <c r="P44" s="15">
        <v>0</v>
      </c>
      <c r="Q44" s="16" t="str">
        <f ca="1">IF(AND(O44&lt;&gt;"Complete",I44&lt;TODAY()),"OVERDUE","")</f>
        <v/>
      </c>
      <c r="R44" s="13"/>
    </row>
    <row r="45" spans="1:18" ht="23.85">
      <c r="A45" s="5" t="s">
        <v>373</v>
      </c>
      <c r="B45" s="1" t="s">
        <v>60</v>
      </c>
      <c r="C45" s="1" t="s">
        <v>266</v>
      </c>
      <c r="D45" s="1" t="s">
        <v>374</v>
      </c>
      <c r="E45" s="1" t="s">
        <v>375</v>
      </c>
      <c r="F45" s="1" t="s">
        <v>42</v>
      </c>
      <c r="G45" s="1" t="s">
        <v>39</v>
      </c>
      <c r="H45" s="11">
        <v>46316</v>
      </c>
      <c r="I45" s="11">
        <v>46317</v>
      </c>
      <c r="J45" s="1">
        <f>NETWORKDAYS(H45,I45,Holidays!$A$5:$A$12)</f>
        <v>2</v>
      </c>
      <c r="K45" s="1" t="s">
        <v>366</v>
      </c>
      <c r="L45" s="1" t="s">
        <v>376</v>
      </c>
      <c r="M45" s="1" t="s">
        <v>377</v>
      </c>
      <c r="N45" s="1" t="s">
        <v>372</v>
      </c>
      <c r="O45" s="1" t="s">
        <v>89</v>
      </c>
      <c r="P45" s="10">
        <v>0</v>
      </c>
      <c r="Q45" s="8" t="str">
        <f ca="1">IF(AND(O45&lt;&gt;"Complete",I45&lt;TODAY()),"OVERDUE","")</f>
        <v/>
      </c>
      <c r="R45" s="1"/>
    </row>
    <row r="46" spans="1:18" ht="35.1">
      <c r="A46" s="12" t="s">
        <v>378</v>
      </c>
      <c r="B46" s="13" t="s">
        <v>60</v>
      </c>
      <c r="C46" s="13" t="s">
        <v>266</v>
      </c>
      <c r="D46" s="13" t="s">
        <v>379</v>
      </c>
      <c r="E46" s="13" t="s">
        <v>380</v>
      </c>
      <c r="F46" s="13" t="s">
        <v>42</v>
      </c>
      <c r="G46" s="13" t="s">
        <v>33</v>
      </c>
      <c r="H46" s="14">
        <v>46316</v>
      </c>
      <c r="I46" s="14">
        <v>46321</v>
      </c>
      <c r="J46" s="13">
        <f>NETWORKDAYS(H46,I46,Holidays!$A$5:$A$12)</f>
        <v>4</v>
      </c>
      <c r="K46" s="13" t="s">
        <v>381</v>
      </c>
      <c r="L46" s="13" t="s">
        <v>382</v>
      </c>
      <c r="M46" s="13" t="s">
        <v>383</v>
      </c>
      <c r="N46" s="13" t="s">
        <v>384</v>
      </c>
      <c r="O46" s="13" t="s">
        <v>89</v>
      </c>
      <c r="P46" s="15">
        <v>0</v>
      </c>
      <c r="Q46" s="16" t="str">
        <f ca="1">IF(AND(O46&lt;&gt;"Complete",I46&lt;TODAY()),"OVERDUE","")</f>
        <v/>
      </c>
      <c r="R46" s="13"/>
    </row>
    <row r="47" spans="1:18" ht="23.85">
      <c r="A47" s="5" t="s">
        <v>385</v>
      </c>
      <c r="B47" s="1" t="s">
        <v>60</v>
      </c>
      <c r="C47" s="1" t="s">
        <v>386</v>
      </c>
      <c r="D47" s="1" t="s">
        <v>387</v>
      </c>
      <c r="E47" s="1" t="s">
        <v>388</v>
      </c>
      <c r="F47" s="1" t="s">
        <v>44</v>
      </c>
      <c r="G47" s="1"/>
      <c r="H47" s="11">
        <v>46310</v>
      </c>
      <c r="I47" s="11">
        <v>46314</v>
      </c>
      <c r="J47" s="1">
        <f>NETWORKDAYS(H47,I47,Holidays!$A$5:$A$12)</f>
        <v>3</v>
      </c>
      <c r="K47" s="1" t="s">
        <v>304</v>
      </c>
      <c r="L47" s="1" t="s">
        <v>389</v>
      </c>
      <c r="M47" s="1" t="s">
        <v>390</v>
      </c>
      <c r="N47" s="1" t="s">
        <v>391</v>
      </c>
      <c r="O47" s="1" t="s">
        <v>89</v>
      </c>
      <c r="P47" s="10">
        <v>0</v>
      </c>
      <c r="Q47" s="8" t="str">
        <f ca="1">IF(AND(O47&lt;&gt;"Complete",I47&lt;TODAY()),"OVERDUE","")</f>
        <v/>
      </c>
      <c r="R47" s="1"/>
    </row>
    <row r="48" spans="1:18" ht="23.85">
      <c r="A48" s="12" t="s">
        <v>392</v>
      </c>
      <c r="B48" s="13" t="s">
        <v>60</v>
      </c>
      <c r="C48" s="13" t="s">
        <v>386</v>
      </c>
      <c r="D48" s="13" t="s">
        <v>393</v>
      </c>
      <c r="E48" s="13" t="s">
        <v>394</v>
      </c>
      <c r="F48" s="13" t="s">
        <v>44</v>
      </c>
      <c r="G48" s="13" t="s">
        <v>36</v>
      </c>
      <c r="H48" s="14">
        <v>46316</v>
      </c>
      <c r="I48" s="14">
        <v>46318</v>
      </c>
      <c r="J48" s="13">
        <f>NETWORKDAYS(H48,I48,Holidays!$A$5:$A$12)</f>
        <v>3</v>
      </c>
      <c r="K48" s="13" t="s">
        <v>385</v>
      </c>
      <c r="L48" s="13" t="s">
        <v>395</v>
      </c>
      <c r="M48" s="13" t="s">
        <v>396</v>
      </c>
      <c r="N48" s="13" t="s">
        <v>397</v>
      </c>
      <c r="O48" s="13" t="s">
        <v>89</v>
      </c>
      <c r="P48" s="15">
        <v>0</v>
      </c>
      <c r="Q48" s="16" t="str">
        <f ca="1">IF(AND(O48&lt;&gt;"Complete",I48&lt;TODAY()),"OVERDUE","")</f>
        <v/>
      </c>
      <c r="R48" s="13"/>
    </row>
    <row r="49" spans="1:18" ht="23.85">
      <c r="A49" s="5" t="s">
        <v>398</v>
      </c>
      <c r="B49" s="1" t="s">
        <v>60</v>
      </c>
      <c r="C49" s="1" t="s">
        <v>399</v>
      </c>
      <c r="D49" s="1" t="s">
        <v>400</v>
      </c>
      <c r="E49" s="1" t="s">
        <v>401</v>
      </c>
      <c r="F49" s="1" t="s">
        <v>30</v>
      </c>
      <c r="G49" s="1"/>
      <c r="H49" s="11">
        <v>46314</v>
      </c>
      <c r="I49" s="11">
        <v>46318</v>
      </c>
      <c r="J49" s="1">
        <f>NETWORKDAYS(H49,I49,Holidays!$A$5:$A$12)</f>
        <v>4</v>
      </c>
      <c r="K49" s="1" t="s">
        <v>304</v>
      </c>
      <c r="L49" s="1" t="s">
        <v>402</v>
      </c>
      <c r="M49" s="1" t="s">
        <v>403</v>
      </c>
      <c r="N49" s="1" t="s">
        <v>404</v>
      </c>
      <c r="O49" s="1" t="s">
        <v>89</v>
      </c>
      <c r="P49" s="10">
        <v>0</v>
      </c>
      <c r="Q49" s="8" t="str">
        <f ca="1">IF(AND(O49&lt;&gt;"Complete",I49&lt;TODAY()),"OVERDUE","")</f>
        <v/>
      </c>
      <c r="R49" s="1"/>
    </row>
    <row r="50" spans="1:18" ht="23.85">
      <c r="A50" s="12" t="s">
        <v>405</v>
      </c>
      <c r="B50" s="13" t="s">
        <v>60</v>
      </c>
      <c r="C50" s="13" t="s">
        <v>219</v>
      </c>
      <c r="D50" s="13" t="s">
        <v>406</v>
      </c>
      <c r="E50" s="13" t="s">
        <v>407</v>
      </c>
      <c r="F50" s="13" t="s">
        <v>30</v>
      </c>
      <c r="G50" s="13"/>
      <c r="H50" s="14">
        <v>46316</v>
      </c>
      <c r="I50" s="14">
        <v>46318</v>
      </c>
      <c r="J50" s="13">
        <f>NETWORKDAYS(H50,I50,Holidays!$A$5:$A$12)</f>
        <v>3</v>
      </c>
      <c r="K50" s="13" t="s">
        <v>225</v>
      </c>
      <c r="L50" s="13" t="s">
        <v>408</v>
      </c>
      <c r="M50" s="13" t="s">
        <v>409</v>
      </c>
      <c r="N50" s="13" t="s">
        <v>230</v>
      </c>
      <c r="O50" s="13" t="s">
        <v>89</v>
      </c>
      <c r="P50" s="15">
        <v>0</v>
      </c>
      <c r="Q50" s="16" t="str">
        <f ca="1">IF(AND(O50&lt;&gt;"Complete",I50&lt;TODAY()),"OVERDUE","")</f>
        <v/>
      </c>
      <c r="R50" s="13"/>
    </row>
    <row r="51" spans="1:18" ht="23.85">
      <c r="A51" s="5" t="s">
        <v>410</v>
      </c>
      <c r="B51" s="1" t="s">
        <v>60</v>
      </c>
      <c r="C51" s="1" t="s">
        <v>285</v>
      </c>
      <c r="D51" s="1" t="s">
        <v>411</v>
      </c>
      <c r="E51" s="1" t="s">
        <v>412</v>
      </c>
      <c r="F51" s="1" t="s">
        <v>47</v>
      </c>
      <c r="G51" s="1" t="s">
        <v>36</v>
      </c>
      <c r="H51" s="11">
        <v>46314</v>
      </c>
      <c r="I51" s="11">
        <v>46318</v>
      </c>
      <c r="J51" s="1">
        <f>NETWORKDAYS(H51,I51,Holidays!$A$5:$A$12)</f>
        <v>4</v>
      </c>
      <c r="K51" s="1" t="s">
        <v>413</v>
      </c>
      <c r="L51" s="1" t="s">
        <v>414</v>
      </c>
      <c r="M51" s="1" t="s">
        <v>415</v>
      </c>
      <c r="N51" s="1" t="s">
        <v>416</v>
      </c>
      <c r="O51" s="1" t="s">
        <v>89</v>
      </c>
      <c r="P51" s="10">
        <v>0</v>
      </c>
      <c r="Q51" s="8" t="str">
        <f ca="1">IF(AND(O51&lt;&gt;"Complete",I51&lt;TODAY()),"OVERDUE","")</f>
        <v/>
      </c>
      <c r="R51" s="1"/>
    </row>
    <row r="52" spans="1:18">
      <c r="A52" s="12" t="s">
        <v>417</v>
      </c>
      <c r="B52" s="13" t="s">
        <v>60</v>
      </c>
      <c r="C52" s="13" t="s">
        <v>292</v>
      </c>
      <c r="D52" s="13" t="s">
        <v>418</v>
      </c>
      <c r="E52" s="13" t="s">
        <v>419</v>
      </c>
      <c r="F52" s="13" t="s">
        <v>27</v>
      </c>
      <c r="G52" s="13" t="s">
        <v>120</v>
      </c>
      <c r="H52" s="14">
        <v>46318</v>
      </c>
      <c r="I52" s="14">
        <v>46318</v>
      </c>
      <c r="J52" s="13">
        <f>NETWORKDAYS(H52,I52,Holidays!$A$5:$A$12)</f>
        <v>1</v>
      </c>
      <c r="K52" s="13"/>
      <c r="L52" s="13" t="s">
        <v>420</v>
      </c>
      <c r="M52" s="13" t="s">
        <v>421</v>
      </c>
      <c r="N52" s="13" t="s">
        <v>297</v>
      </c>
      <c r="O52" s="13" t="s">
        <v>89</v>
      </c>
      <c r="P52" s="15">
        <v>0</v>
      </c>
      <c r="Q52" s="16" t="str">
        <f ca="1">IF(AND(O52&lt;&gt;"Complete",I52&lt;TODAY()),"OVERDUE","")</f>
        <v/>
      </c>
      <c r="R52" s="13"/>
    </row>
    <row r="53" spans="1:18">
      <c r="A53" s="5" t="s">
        <v>422</v>
      </c>
      <c r="B53" s="1" t="s">
        <v>63</v>
      </c>
      <c r="C53" s="1" t="s">
        <v>292</v>
      </c>
      <c r="D53" s="1" t="s">
        <v>423</v>
      </c>
      <c r="E53" s="1" t="s">
        <v>424</v>
      </c>
      <c r="F53" s="1" t="s">
        <v>27</v>
      </c>
      <c r="G53" s="1" t="s">
        <v>120</v>
      </c>
      <c r="H53" s="11">
        <v>46321</v>
      </c>
      <c r="I53" s="11">
        <v>46321</v>
      </c>
      <c r="J53" s="1">
        <f>NETWORKDAYS(H53,I53,Holidays!$A$5:$A$12)</f>
        <v>1</v>
      </c>
      <c r="K53" s="1" t="s">
        <v>417</v>
      </c>
      <c r="L53" s="1" t="s">
        <v>425</v>
      </c>
      <c r="M53" s="1" t="s">
        <v>426</v>
      </c>
      <c r="N53" s="1" t="s">
        <v>297</v>
      </c>
      <c r="O53" s="1" t="s">
        <v>89</v>
      </c>
      <c r="P53" s="10">
        <v>0</v>
      </c>
      <c r="Q53" s="8" t="str">
        <f ca="1">IF(AND(O53&lt;&gt;"Complete",I53&lt;TODAY()),"OVERDUE","")</f>
        <v/>
      </c>
      <c r="R53" s="1"/>
    </row>
    <row r="54" spans="1:18" ht="23.85">
      <c r="A54" s="12" t="s">
        <v>427</v>
      </c>
      <c r="B54" s="13" t="s">
        <v>63</v>
      </c>
      <c r="C54" s="13" t="s">
        <v>310</v>
      </c>
      <c r="D54" s="13" t="s">
        <v>428</v>
      </c>
      <c r="E54" s="13" t="s">
        <v>429</v>
      </c>
      <c r="F54" s="13" t="s">
        <v>33</v>
      </c>
      <c r="G54" s="13"/>
      <c r="H54" s="14">
        <v>46321</v>
      </c>
      <c r="I54" s="14">
        <v>46322</v>
      </c>
      <c r="J54" s="13">
        <f>NETWORKDAYS(H54,I54,Holidays!$A$5:$A$12)</f>
        <v>2</v>
      </c>
      <c r="K54" s="13" t="s">
        <v>323</v>
      </c>
      <c r="L54" s="13" t="s">
        <v>430</v>
      </c>
      <c r="M54" s="13" t="s">
        <v>431</v>
      </c>
      <c r="N54" s="13" t="s">
        <v>316</v>
      </c>
      <c r="O54" s="13" t="s">
        <v>89</v>
      </c>
      <c r="P54" s="15">
        <v>0</v>
      </c>
      <c r="Q54" s="16" t="str">
        <f ca="1">IF(AND(O54&lt;&gt;"Complete",I54&lt;TODAY()),"OVERDUE","")</f>
        <v/>
      </c>
      <c r="R54" s="13"/>
    </row>
    <row r="55" spans="1:18" ht="23.85">
      <c r="A55" s="5" t="s">
        <v>432</v>
      </c>
      <c r="B55" s="1" t="s">
        <v>63</v>
      </c>
      <c r="C55" s="1" t="s">
        <v>433</v>
      </c>
      <c r="D55" s="1" t="s">
        <v>434</v>
      </c>
      <c r="E55" s="1" t="s">
        <v>435</v>
      </c>
      <c r="F55" s="1" t="s">
        <v>33</v>
      </c>
      <c r="G55" s="1" t="s">
        <v>30</v>
      </c>
      <c r="H55" s="11">
        <v>46321</v>
      </c>
      <c r="I55" s="11">
        <v>46323</v>
      </c>
      <c r="J55" s="1">
        <f>NETWORKDAYS(H55,I55,Holidays!$A$5:$A$12)</f>
        <v>3</v>
      </c>
      <c r="K55" s="1" t="s">
        <v>329</v>
      </c>
      <c r="L55" s="1" t="s">
        <v>436</v>
      </c>
      <c r="M55" s="1" t="s">
        <v>437</v>
      </c>
      <c r="N55" s="1" t="s">
        <v>438</v>
      </c>
      <c r="O55" s="1" t="s">
        <v>89</v>
      </c>
      <c r="P55" s="10">
        <v>0</v>
      </c>
      <c r="Q55" s="8" t="str">
        <f ca="1">IF(AND(O55&lt;&gt;"Complete",I55&lt;TODAY()),"OVERDUE","")</f>
        <v/>
      </c>
      <c r="R55" s="1"/>
    </row>
    <row r="56" spans="1:18" ht="35.1">
      <c r="A56" s="12" t="s">
        <v>439</v>
      </c>
      <c r="B56" s="13" t="s">
        <v>63</v>
      </c>
      <c r="C56" s="13" t="s">
        <v>433</v>
      </c>
      <c r="D56" s="13" t="s">
        <v>440</v>
      </c>
      <c r="E56" s="13" t="s">
        <v>441</v>
      </c>
      <c r="F56" s="13" t="s">
        <v>33</v>
      </c>
      <c r="G56" s="13"/>
      <c r="H56" s="14">
        <v>46322</v>
      </c>
      <c r="I56" s="14">
        <v>46324</v>
      </c>
      <c r="J56" s="13">
        <f>NETWORKDAYS(H56,I56,Holidays!$A$5:$A$12)</f>
        <v>3</v>
      </c>
      <c r="K56" s="13" t="s">
        <v>432</v>
      </c>
      <c r="L56" s="13" t="s">
        <v>442</v>
      </c>
      <c r="M56" s="13" t="s">
        <v>443</v>
      </c>
      <c r="N56" s="13" t="s">
        <v>444</v>
      </c>
      <c r="O56" s="13" t="s">
        <v>89</v>
      </c>
      <c r="P56" s="15">
        <v>0</v>
      </c>
      <c r="Q56" s="16" t="str">
        <f ca="1">IF(AND(O56&lt;&gt;"Complete",I56&lt;TODAY()),"OVERDUE","")</f>
        <v/>
      </c>
      <c r="R56" s="13"/>
    </row>
    <row r="57" spans="1:18" ht="35.1">
      <c r="A57" s="5" t="s">
        <v>445</v>
      </c>
      <c r="B57" s="1" t="s">
        <v>63</v>
      </c>
      <c r="C57" s="1" t="s">
        <v>433</v>
      </c>
      <c r="D57" s="1" t="s">
        <v>446</v>
      </c>
      <c r="E57" s="1" t="s">
        <v>447</v>
      </c>
      <c r="F57" s="1" t="s">
        <v>33</v>
      </c>
      <c r="G57" s="1" t="s">
        <v>36</v>
      </c>
      <c r="H57" s="11">
        <v>46324</v>
      </c>
      <c r="I57" s="11">
        <v>46329</v>
      </c>
      <c r="J57" s="1">
        <f>NETWORKDAYS(H57,I57,Holidays!$A$5:$A$12)</f>
        <v>4</v>
      </c>
      <c r="K57" s="1" t="s">
        <v>439</v>
      </c>
      <c r="L57" s="1" t="s">
        <v>448</v>
      </c>
      <c r="M57" s="1" t="s">
        <v>449</v>
      </c>
      <c r="N57" s="1" t="s">
        <v>450</v>
      </c>
      <c r="O57" s="1" t="s">
        <v>89</v>
      </c>
      <c r="P57" s="10">
        <v>0</v>
      </c>
      <c r="Q57" s="8" t="str">
        <f ca="1">IF(AND(O57&lt;&gt;"Complete",I57&lt;TODAY()),"OVERDUE","")</f>
        <v/>
      </c>
      <c r="R57" s="1"/>
    </row>
    <row r="58" spans="1:18">
      <c r="A58" s="12" t="s">
        <v>451</v>
      </c>
      <c r="B58" s="13" t="s">
        <v>63</v>
      </c>
      <c r="C58" s="13" t="s">
        <v>433</v>
      </c>
      <c r="D58" s="13" t="s">
        <v>452</v>
      </c>
      <c r="E58" s="13" t="s">
        <v>453</v>
      </c>
      <c r="F58" s="13" t="s">
        <v>33</v>
      </c>
      <c r="G58" s="13"/>
      <c r="H58" s="14">
        <v>46328</v>
      </c>
      <c r="I58" s="14">
        <v>46330</v>
      </c>
      <c r="J58" s="13">
        <f>NETWORKDAYS(H58,I58,Holidays!$A$5:$A$12)</f>
        <v>3</v>
      </c>
      <c r="K58" s="13" t="s">
        <v>445</v>
      </c>
      <c r="L58" s="13" t="s">
        <v>454</v>
      </c>
      <c r="M58" s="13" t="s">
        <v>455</v>
      </c>
      <c r="N58" s="13" t="s">
        <v>456</v>
      </c>
      <c r="O58" s="13" t="s">
        <v>89</v>
      </c>
      <c r="P58" s="15">
        <v>0</v>
      </c>
      <c r="Q58" s="16" t="str">
        <f ca="1">IF(AND(O58&lt;&gt;"Complete",I58&lt;TODAY()),"OVERDUE","")</f>
        <v/>
      </c>
      <c r="R58" s="13"/>
    </row>
    <row r="59" spans="1:18" ht="23.85">
      <c r="A59" s="5" t="s">
        <v>457</v>
      </c>
      <c r="B59" s="1" t="s">
        <v>63</v>
      </c>
      <c r="C59" s="1" t="s">
        <v>458</v>
      </c>
      <c r="D59" s="1" t="s">
        <v>459</v>
      </c>
      <c r="E59" s="1" t="s">
        <v>460</v>
      </c>
      <c r="F59" s="1" t="s">
        <v>33</v>
      </c>
      <c r="G59" s="1" t="s">
        <v>44</v>
      </c>
      <c r="H59" s="11">
        <v>46323</v>
      </c>
      <c r="I59" s="11">
        <v>46330</v>
      </c>
      <c r="J59" s="1">
        <f>NETWORKDAYS(H59,I59,Holidays!$A$5:$A$12)</f>
        <v>6</v>
      </c>
      <c r="K59" s="1" t="s">
        <v>427</v>
      </c>
      <c r="L59" s="1" t="s">
        <v>461</v>
      </c>
      <c r="M59" s="1" t="s">
        <v>462</v>
      </c>
      <c r="N59" s="1" t="s">
        <v>463</v>
      </c>
      <c r="O59" s="1" t="s">
        <v>89</v>
      </c>
      <c r="P59" s="10">
        <v>0</v>
      </c>
      <c r="Q59" s="8" t="str">
        <f ca="1">IF(AND(O59&lt;&gt;"Complete",I59&lt;TODAY()),"OVERDUE","")</f>
        <v/>
      </c>
      <c r="R59" s="1"/>
    </row>
    <row r="60" spans="1:18" ht="23.85">
      <c r="A60" s="12" t="s">
        <v>464</v>
      </c>
      <c r="B60" s="13" t="s">
        <v>63</v>
      </c>
      <c r="C60" s="13" t="s">
        <v>465</v>
      </c>
      <c r="D60" s="13" t="s">
        <v>466</v>
      </c>
      <c r="E60" s="13" t="s">
        <v>467</v>
      </c>
      <c r="F60" s="13" t="s">
        <v>33</v>
      </c>
      <c r="G60" s="13"/>
      <c r="H60" s="14">
        <v>46329</v>
      </c>
      <c r="I60" s="14">
        <v>46331</v>
      </c>
      <c r="J60" s="13">
        <f>NETWORKDAYS(H60,I60,Holidays!$A$5:$A$12)</f>
        <v>3</v>
      </c>
      <c r="K60" s="13" t="s">
        <v>445</v>
      </c>
      <c r="L60" s="13" t="s">
        <v>468</v>
      </c>
      <c r="M60" s="13" t="s">
        <v>469</v>
      </c>
      <c r="N60" s="13" t="s">
        <v>316</v>
      </c>
      <c r="O60" s="13" t="s">
        <v>89</v>
      </c>
      <c r="P60" s="15">
        <v>0</v>
      </c>
      <c r="Q60" s="16" t="str">
        <f ca="1">IF(AND(O60&lt;&gt;"Complete",I60&lt;TODAY()),"OVERDUE","")</f>
        <v/>
      </c>
      <c r="R60" s="13"/>
    </row>
    <row r="61" spans="1:18" ht="23.85">
      <c r="A61" s="5" t="s">
        <v>470</v>
      </c>
      <c r="B61" s="1" t="s">
        <v>63</v>
      </c>
      <c r="C61" s="1" t="s">
        <v>471</v>
      </c>
      <c r="D61" s="1" t="s">
        <v>472</v>
      </c>
      <c r="E61" s="1" t="s">
        <v>473</v>
      </c>
      <c r="F61" s="1" t="s">
        <v>36</v>
      </c>
      <c r="G61" s="1"/>
      <c r="H61" s="11">
        <v>46321</v>
      </c>
      <c r="I61" s="11">
        <v>46323</v>
      </c>
      <c r="J61" s="1">
        <f>NETWORKDAYS(H61,I61,Holidays!$A$5:$A$12)</f>
        <v>3</v>
      </c>
      <c r="K61" s="1" t="s">
        <v>304</v>
      </c>
      <c r="L61" s="1" t="s">
        <v>474</v>
      </c>
      <c r="M61" s="1" t="s">
        <v>475</v>
      </c>
      <c r="N61" s="1" t="s">
        <v>476</v>
      </c>
      <c r="O61" s="1" t="s">
        <v>89</v>
      </c>
      <c r="P61" s="10">
        <v>0</v>
      </c>
      <c r="Q61" s="8" t="str">
        <f ca="1">IF(AND(O61&lt;&gt;"Complete",I61&lt;TODAY()),"OVERDUE","")</f>
        <v/>
      </c>
      <c r="R61" s="1"/>
    </row>
    <row r="62" spans="1:18" ht="23.85">
      <c r="A62" s="12" t="s">
        <v>477</v>
      </c>
      <c r="B62" s="13" t="s">
        <v>63</v>
      </c>
      <c r="C62" s="13" t="s">
        <v>471</v>
      </c>
      <c r="D62" s="13" t="s">
        <v>478</v>
      </c>
      <c r="E62" s="13" t="s">
        <v>479</v>
      </c>
      <c r="F62" s="13" t="s">
        <v>36</v>
      </c>
      <c r="G62" s="13"/>
      <c r="H62" s="14">
        <v>46323</v>
      </c>
      <c r="I62" s="14">
        <v>46324</v>
      </c>
      <c r="J62" s="13">
        <f>NETWORKDAYS(H62,I62,Holidays!$A$5:$A$12)</f>
        <v>2</v>
      </c>
      <c r="K62" s="13" t="s">
        <v>470</v>
      </c>
      <c r="L62" s="13" t="s">
        <v>480</v>
      </c>
      <c r="M62" s="13" t="s">
        <v>481</v>
      </c>
      <c r="N62" s="13" t="s">
        <v>482</v>
      </c>
      <c r="O62" s="13" t="s">
        <v>89</v>
      </c>
      <c r="P62" s="15">
        <v>0</v>
      </c>
      <c r="Q62" s="16" t="str">
        <f ca="1">IF(AND(O62&lt;&gt;"Complete",I62&lt;TODAY()),"OVERDUE","")</f>
        <v/>
      </c>
      <c r="R62" s="13"/>
    </row>
    <row r="63" spans="1:18" ht="23.85">
      <c r="A63" s="5" t="s">
        <v>483</v>
      </c>
      <c r="B63" s="1" t="s">
        <v>63</v>
      </c>
      <c r="C63" s="1" t="s">
        <v>471</v>
      </c>
      <c r="D63" s="1" t="s">
        <v>484</v>
      </c>
      <c r="E63" s="1" t="s">
        <v>485</v>
      </c>
      <c r="F63" s="1" t="s">
        <v>36</v>
      </c>
      <c r="G63" s="1"/>
      <c r="H63" s="11">
        <v>46324</v>
      </c>
      <c r="I63" s="11">
        <v>46330</v>
      </c>
      <c r="J63" s="1">
        <f>NETWORKDAYS(H63,I63,Holidays!$A$5:$A$12)</f>
        <v>5</v>
      </c>
      <c r="K63" s="1" t="s">
        <v>477</v>
      </c>
      <c r="L63" s="1" t="s">
        <v>486</v>
      </c>
      <c r="M63" s="1" t="s">
        <v>487</v>
      </c>
      <c r="N63" s="1" t="s">
        <v>488</v>
      </c>
      <c r="O63" s="1" t="s">
        <v>89</v>
      </c>
      <c r="P63" s="10">
        <v>0</v>
      </c>
      <c r="Q63" s="8" t="str">
        <f ca="1">IF(AND(O63&lt;&gt;"Complete",I63&lt;TODAY()),"OVERDUE","")</f>
        <v/>
      </c>
      <c r="R63" s="1"/>
    </row>
    <row r="64" spans="1:18" ht="23.85">
      <c r="A64" s="12" t="s">
        <v>489</v>
      </c>
      <c r="B64" s="13" t="s">
        <v>63</v>
      </c>
      <c r="C64" s="13" t="s">
        <v>471</v>
      </c>
      <c r="D64" s="13" t="s">
        <v>490</v>
      </c>
      <c r="E64" s="13" t="s">
        <v>491</v>
      </c>
      <c r="F64" s="13" t="s">
        <v>36</v>
      </c>
      <c r="G64" s="13" t="s">
        <v>44</v>
      </c>
      <c r="H64" s="14">
        <v>46330</v>
      </c>
      <c r="I64" s="14">
        <v>46331</v>
      </c>
      <c r="J64" s="13">
        <f>NETWORKDAYS(H64,I64,Holidays!$A$5:$A$12)</f>
        <v>2</v>
      </c>
      <c r="K64" s="13" t="s">
        <v>483</v>
      </c>
      <c r="L64" s="13" t="s">
        <v>492</v>
      </c>
      <c r="M64" s="13" t="s">
        <v>493</v>
      </c>
      <c r="N64" s="13" t="s">
        <v>488</v>
      </c>
      <c r="O64" s="13" t="s">
        <v>89</v>
      </c>
      <c r="P64" s="15">
        <v>0</v>
      </c>
      <c r="Q64" s="16" t="str">
        <f ca="1">IF(AND(O64&lt;&gt;"Complete",I64&lt;TODAY()),"OVERDUE","")</f>
        <v/>
      </c>
      <c r="R64" s="13"/>
    </row>
    <row r="65" spans="1:18" ht="23.85">
      <c r="A65" s="5" t="s">
        <v>494</v>
      </c>
      <c r="B65" s="1" t="s">
        <v>63</v>
      </c>
      <c r="C65" s="1" t="s">
        <v>495</v>
      </c>
      <c r="D65" s="1" t="s">
        <v>496</v>
      </c>
      <c r="E65" s="1" t="s">
        <v>497</v>
      </c>
      <c r="F65" s="1" t="s">
        <v>36</v>
      </c>
      <c r="G65" s="1" t="s">
        <v>44</v>
      </c>
      <c r="H65" s="11">
        <v>46329</v>
      </c>
      <c r="I65" s="11">
        <v>46332</v>
      </c>
      <c r="J65" s="1">
        <f>NETWORKDAYS(H65,I65,Holidays!$A$5:$A$12)</f>
        <v>4</v>
      </c>
      <c r="K65" s="1" t="s">
        <v>483</v>
      </c>
      <c r="L65" s="1" t="s">
        <v>498</v>
      </c>
      <c r="M65" s="1" t="s">
        <v>499</v>
      </c>
      <c r="N65" s="1" t="s">
        <v>316</v>
      </c>
      <c r="O65" s="1" t="s">
        <v>89</v>
      </c>
      <c r="P65" s="10">
        <v>0</v>
      </c>
      <c r="Q65" s="8" t="str">
        <f ca="1">IF(AND(O65&lt;&gt;"Complete",I65&lt;TODAY()),"OVERDUE","")</f>
        <v/>
      </c>
      <c r="R65" s="1"/>
    </row>
    <row r="66" spans="1:18" ht="23.85">
      <c r="A66" s="12" t="s">
        <v>500</v>
      </c>
      <c r="B66" s="13" t="s">
        <v>63</v>
      </c>
      <c r="C66" s="13" t="s">
        <v>259</v>
      </c>
      <c r="D66" s="13" t="s">
        <v>501</v>
      </c>
      <c r="E66" s="13" t="s">
        <v>502</v>
      </c>
      <c r="F66" s="13" t="s">
        <v>39</v>
      </c>
      <c r="G66" s="13"/>
      <c r="H66" s="14">
        <v>46321</v>
      </c>
      <c r="I66" s="14">
        <v>46322</v>
      </c>
      <c r="J66" s="13">
        <f>NETWORKDAYS(H66,I66,Holidays!$A$5:$A$12)</f>
        <v>2</v>
      </c>
      <c r="K66" s="13" t="s">
        <v>360</v>
      </c>
      <c r="L66" s="13" t="s">
        <v>503</v>
      </c>
      <c r="M66" s="13" t="s">
        <v>504</v>
      </c>
      <c r="N66" s="13" t="s">
        <v>505</v>
      </c>
      <c r="O66" s="13" t="s">
        <v>89</v>
      </c>
      <c r="P66" s="15">
        <v>0</v>
      </c>
      <c r="Q66" s="16" t="str">
        <f ca="1">IF(AND(O66&lt;&gt;"Complete",I66&lt;TODAY()),"OVERDUE","")</f>
        <v/>
      </c>
      <c r="R66" s="13"/>
    </row>
    <row r="67" spans="1:18" ht="23.85">
      <c r="A67" s="5" t="s">
        <v>506</v>
      </c>
      <c r="B67" s="1" t="s">
        <v>63</v>
      </c>
      <c r="C67" s="1" t="s">
        <v>259</v>
      </c>
      <c r="D67" s="1" t="s">
        <v>507</v>
      </c>
      <c r="E67" s="1" t="s">
        <v>508</v>
      </c>
      <c r="F67" s="1" t="s">
        <v>39</v>
      </c>
      <c r="G67" s="1" t="s">
        <v>30</v>
      </c>
      <c r="H67" s="11">
        <v>46322</v>
      </c>
      <c r="I67" s="11">
        <v>46324</v>
      </c>
      <c r="J67" s="1">
        <f>NETWORKDAYS(H67,I67,Holidays!$A$5:$A$12)</f>
        <v>3</v>
      </c>
      <c r="K67" s="1" t="s">
        <v>500</v>
      </c>
      <c r="L67" s="1" t="s">
        <v>509</v>
      </c>
      <c r="M67" s="1" t="s">
        <v>510</v>
      </c>
      <c r="N67" s="1" t="s">
        <v>511</v>
      </c>
      <c r="O67" s="1" t="s">
        <v>89</v>
      </c>
      <c r="P67" s="10">
        <v>0</v>
      </c>
      <c r="Q67" s="8" t="str">
        <f ca="1">IF(AND(O67&lt;&gt;"Complete",I67&lt;TODAY()),"OVERDUE","")</f>
        <v/>
      </c>
      <c r="R67" s="1"/>
    </row>
    <row r="68" spans="1:18" ht="23.85">
      <c r="A68" s="12" t="s">
        <v>512</v>
      </c>
      <c r="B68" s="13" t="s">
        <v>63</v>
      </c>
      <c r="C68" s="13" t="s">
        <v>259</v>
      </c>
      <c r="D68" s="13" t="s">
        <v>513</v>
      </c>
      <c r="E68" s="13" t="s">
        <v>514</v>
      </c>
      <c r="F68" s="13" t="s">
        <v>39</v>
      </c>
      <c r="G68" s="13"/>
      <c r="H68" s="14">
        <v>46323</v>
      </c>
      <c r="I68" s="14">
        <v>46325</v>
      </c>
      <c r="J68" s="13">
        <f>NETWORKDAYS(H68,I68,Holidays!$A$5:$A$12)</f>
        <v>3</v>
      </c>
      <c r="K68" s="13" t="s">
        <v>360</v>
      </c>
      <c r="L68" s="13" t="s">
        <v>515</v>
      </c>
      <c r="M68" s="13" t="s">
        <v>516</v>
      </c>
      <c r="N68" s="13" t="s">
        <v>517</v>
      </c>
      <c r="O68" s="13" t="s">
        <v>89</v>
      </c>
      <c r="P68" s="15">
        <v>0</v>
      </c>
      <c r="Q68" s="16" t="str">
        <f ca="1">IF(AND(O68&lt;&gt;"Complete",I68&lt;TODAY()),"OVERDUE","")</f>
        <v/>
      </c>
      <c r="R68" s="13"/>
    </row>
    <row r="69" spans="1:18" ht="23.85">
      <c r="A69" s="5" t="s">
        <v>518</v>
      </c>
      <c r="B69" s="1" t="s">
        <v>63</v>
      </c>
      <c r="C69" s="1" t="s">
        <v>259</v>
      </c>
      <c r="D69" s="1" t="s">
        <v>519</v>
      </c>
      <c r="E69" s="1" t="s">
        <v>520</v>
      </c>
      <c r="F69" s="1" t="s">
        <v>39</v>
      </c>
      <c r="G69" s="1"/>
      <c r="H69" s="11">
        <v>46324</v>
      </c>
      <c r="I69" s="11">
        <v>46328</v>
      </c>
      <c r="J69" s="1">
        <f>NETWORKDAYS(H69,I69,Holidays!$A$5:$A$12)</f>
        <v>3</v>
      </c>
      <c r="K69" s="1" t="s">
        <v>512</v>
      </c>
      <c r="L69" s="1" t="s">
        <v>521</v>
      </c>
      <c r="M69" s="1" t="s">
        <v>522</v>
      </c>
      <c r="N69" s="1" t="s">
        <v>353</v>
      </c>
      <c r="O69" s="1" t="s">
        <v>89</v>
      </c>
      <c r="P69" s="10">
        <v>0</v>
      </c>
      <c r="Q69" s="8" t="str">
        <f ca="1">IF(AND(O69&lt;&gt;"Complete",I69&lt;TODAY()),"OVERDUE","")</f>
        <v/>
      </c>
      <c r="R69" s="1"/>
    </row>
    <row r="70" spans="1:18" ht="23.85">
      <c r="A70" s="12" t="s">
        <v>523</v>
      </c>
      <c r="B70" s="13" t="s">
        <v>63</v>
      </c>
      <c r="C70" s="13" t="s">
        <v>259</v>
      </c>
      <c r="D70" s="13" t="s">
        <v>524</v>
      </c>
      <c r="E70" s="17" t="s">
        <v>525</v>
      </c>
      <c r="F70" s="13" t="s">
        <v>39</v>
      </c>
      <c r="G70" s="13" t="s">
        <v>47</v>
      </c>
      <c r="H70" s="14">
        <v>46329</v>
      </c>
      <c r="I70" s="14">
        <v>46331</v>
      </c>
      <c r="J70" s="13">
        <f>NETWORKDAYS(H70,I70,Holidays!$A$5:$A$12)</f>
        <v>3</v>
      </c>
      <c r="K70" s="13" t="s">
        <v>506</v>
      </c>
      <c r="L70" s="13" t="s">
        <v>526</v>
      </c>
      <c r="M70" s="13" t="s">
        <v>527</v>
      </c>
      <c r="N70" s="13" t="s">
        <v>283</v>
      </c>
      <c r="O70" s="13" t="s">
        <v>89</v>
      </c>
      <c r="P70" s="15">
        <v>0</v>
      </c>
      <c r="Q70" s="16" t="str">
        <f ca="1">IF(AND(O70&lt;&gt;"Complete",I70&lt;TODAY()),"OVERDUE","")</f>
        <v/>
      </c>
      <c r="R70" s="13"/>
    </row>
    <row r="71" spans="1:18">
      <c r="A71" s="5" t="s">
        <v>528</v>
      </c>
      <c r="B71" s="1" t="s">
        <v>63</v>
      </c>
      <c r="C71" s="1" t="s">
        <v>266</v>
      </c>
      <c r="D71" s="1" t="s">
        <v>529</v>
      </c>
      <c r="E71" s="1" t="s">
        <v>530</v>
      </c>
      <c r="F71" s="1" t="s">
        <v>42</v>
      </c>
      <c r="G71" s="1"/>
      <c r="H71" s="11">
        <v>46321</v>
      </c>
      <c r="I71" s="11">
        <v>46322</v>
      </c>
      <c r="J71" s="1">
        <f>NETWORKDAYS(H71,I71,Holidays!$A$5:$A$12)</f>
        <v>2</v>
      </c>
      <c r="K71" s="1" t="s">
        <v>378</v>
      </c>
      <c r="L71" s="1" t="s">
        <v>531</v>
      </c>
      <c r="M71" s="1" t="s">
        <v>532</v>
      </c>
      <c r="N71" s="1" t="s">
        <v>384</v>
      </c>
      <c r="O71" s="1" t="s">
        <v>89</v>
      </c>
      <c r="P71" s="10">
        <v>0</v>
      </c>
      <c r="Q71" s="8" t="str">
        <f ca="1">IF(AND(O71&lt;&gt;"Complete",I71&lt;TODAY()),"OVERDUE","")</f>
        <v/>
      </c>
      <c r="R71" s="1"/>
    </row>
    <row r="72" spans="1:18" ht="23.85">
      <c r="A72" s="12" t="s">
        <v>533</v>
      </c>
      <c r="B72" s="13" t="s">
        <v>63</v>
      </c>
      <c r="C72" s="13" t="s">
        <v>266</v>
      </c>
      <c r="D72" s="13" t="s">
        <v>534</v>
      </c>
      <c r="E72" s="13" t="s">
        <v>535</v>
      </c>
      <c r="F72" s="13" t="s">
        <v>42</v>
      </c>
      <c r="G72" s="13"/>
      <c r="H72" s="14">
        <v>46322</v>
      </c>
      <c r="I72" s="14">
        <v>46324</v>
      </c>
      <c r="J72" s="13">
        <f>NETWORKDAYS(H72,I72,Holidays!$A$5:$A$12)</f>
        <v>3</v>
      </c>
      <c r="K72" s="13" t="s">
        <v>536</v>
      </c>
      <c r="L72" s="13" t="s">
        <v>534</v>
      </c>
      <c r="M72" s="13" t="s">
        <v>537</v>
      </c>
      <c r="N72" s="13" t="s">
        <v>538</v>
      </c>
      <c r="O72" s="13" t="s">
        <v>89</v>
      </c>
      <c r="P72" s="15">
        <v>0</v>
      </c>
      <c r="Q72" s="16" t="str">
        <f ca="1">IF(AND(O72&lt;&gt;"Complete",I72&lt;TODAY()),"OVERDUE","")</f>
        <v/>
      </c>
      <c r="R72" s="13"/>
    </row>
    <row r="73" spans="1:18" ht="23.85">
      <c r="A73" s="5" t="s">
        <v>539</v>
      </c>
      <c r="B73" s="1" t="s">
        <v>63</v>
      </c>
      <c r="C73" s="1" t="s">
        <v>266</v>
      </c>
      <c r="D73" s="1" t="s">
        <v>540</v>
      </c>
      <c r="E73" s="1" t="s">
        <v>541</v>
      </c>
      <c r="F73" s="1" t="s">
        <v>42</v>
      </c>
      <c r="G73" s="1" t="s">
        <v>33</v>
      </c>
      <c r="H73" s="11">
        <v>46324</v>
      </c>
      <c r="I73" s="11">
        <v>46325</v>
      </c>
      <c r="J73" s="1">
        <f>NETWORKDAYS(H73,I73,Holidays!$A$5:$A$12)</f>
        <v>2</v>
      </c>
      <c r="K73" s="1" t="s">
        <v>533</v>
      </c>
      <c r="L73" s="1" t="s">
        <v>542</v>
      </c>
      <c r="M73" s="1" t="s">
        <v>543</v>
      </c>
      <c r="N73" s="1" t="s">
        <v>544</v>
      </c>
      <c r="O73" s="1" t="s">
        <v>89</v>
      </c>
      <c r="P73" s="10">
        <v>0</v>
      </c>
      <c r="Q73" s="8" t="str">
        <f ca="1">IF(AND(O73&lt;&gt;"Complete",I73&lt;TODAY()),"OVERDUE","")</f>
        <v/>
      </c>
      <c r="R73" s="1"/>
    </row>
    <row r="74" spans="1:18" ht="23.85">
      <c r="A74" s="12" t="s">
        <v>545</v>
      </c>
      <c r="B74" s="13" t="s">
        <v>63</v>
      </c>
      <c r="C74" s="13" t="s">
        <v>266</v>
      </c>
      <c r="D74" s="13" t="s">
        <v>546</v>
      </c>
      <c r="E74" s="13" t="s">
        <v>547</v>
      </c>
      <c r="F74" s="13" t="s">
        <v>42</v>
      </c>
      <c r="G74" s="13" t="s">
        <v>33</v>
      </c>
      <c r="H74" s="14">
        <v>46328</v>
      </c>
      <c r="I74" s="14">
        <v>46329</v>
      </c>
      <c r="J74" s="13">
        <f>NETWORKDAYS(H74,I74,Holidays!$A$5:$A$12)</f>
        <v>2</v>
      </c>
      <c r="K74" s="13" t="s">
        <v>548</v>
      </c>
      <c r="L74" s="13" t="s">
        <v>549</v>
      </c>
      <c r="M74" s="13" t="s">
        <v>550</v>
      </c>
      <c r="N74" s="13" t="s">
        <v>551</v>
      </c>
      <c r="O74" s="13" t="s">
        <v>89</v>
      </c>
      <c r="P74" s="15">
        <v>0</v>
      </c>
      <c r="Q74" s="16" t="str">
        <f ca="1">IF(AND(O74&lt;&gt;"Complete",I74&lt;TODAY()),"OVERDUE","")</f>
        <v/>
      </c>
      <c r="R74" s="13"/>
    </row>
    <row r="75" spans="1:18" ht="23.85">
      <c r="A75" s="5" t="s">
        <v>552</v>
      </c>
      <c r="B75" s="1" t="s">
        <v>63</v>
      </c>
      <c r="C75" s="1" t="s">
        <v>266</v>
      </c>
      <c r="D75" s="1" t="s">
        <v>553</v>
      </c>
      <c r="E75" s="1" t="s">
        <v>554</v>
      </c>
      <c r="F75" s="1" t="s">
        <v>42</v>
      </c>
      <c r="G75" s="1"/>
      <c r="H75" s="11">
        <v>46330</v>
      </c>
      <c r="I75" s="11">
        <v>46331</v>
      </c>
      <c r="J75" s="1">
        <f>NETWORKDAYS(H75,I75,Holidays!$A$5:$A$12)</f>
        <v>2</v>
      </c>
      <c r="K75" s="1" t="s">
        <v>457</v>
      </c>
      <c r="L75" s="1" t="s">
        <v>555</v>
      </c>
      <c r="M75" s="1" t="s">
        <v>556</v>
      </c>
      <c r="N75" s="1" t="s">
        <v>557</v>
      </c>
      <c r="O75" s="1" t="s">
        <v>89</v>
      </c>
      <c r="P75" s="10">
        <v>0</v>
      </c>
      <c r="Q75" s="8" t="str">
        <f ca="1">IF(AND(O75&lt;&gt;"Complete",I75&lt;TODAY()),"OVERDUE","")</f>
        <v/>
      </c>
      <c r="R75" s="1"/>
    </row>
    <row r="76" spans="1:18" ht="23.85">
      <c r="A76" s="12" t="s">
        <v>558</v>
      </c>
      <c r="B76" s="13" t="s">
        <v>63</v>
      </c>
      <c r="C76" s="13" t="s">
        <v>266</v>
      </c>
      <c r="D76" s="13" t="s">
        <v>559</v>
      </c>
      <c r="E76" s="13" t="s">
        <v>560</v>
      </c>
      <c r="F76" s="13" t="s">
        <v>42</v>
      </c>
      <c r="G76" s="13"/>
      <c r="H76" s="14">
        <v>46331</v>
      </c>
      <c r="I76" s="14">
        <v>46332</v>
      </c>
      <c r="J76" s="13">
        <f>NETWORKDAYS(H76,I76,Holidays!$A$5:$A$12)</f>
        <v>2</v>
      </c>
      <c r="K76" s="13" t="s">
        <v>552</v>
      </c>
      <c r="L76" s="13" t="s">
        <v>561</v>
      </c>
      <c r="M76" s="13" t="s">
        <v>562</v>
      </c>
      <c r="N76" s="13" t="s">
        <v>563</v>
      </c>
      <c r="O76" s="13" t="s">
        <v>89</v>
      </c>
      <c r="P76" s="15">
        <v>0</v>
      </c>
      <c r="Q76" s="16" t="str">
        <f ca="1">IF(AND(O76&lt;&gt;"Complete",I76&lt;TODAY()),"OVERDUE","")</f>
        <v/>
      </c>
      <c r="R76" s="13"/>
    </row>
    <row r="77" spans="1:18" ht="23.85">
      <c r="A77" s="5" t="s">
        <v>564</v>
      </c>
      <c r="B77" s="1" t="s">
        <v>63</v>
      </c>
      <c r="C77" s="1" t="s">
        <v>386</v>
      </c>
      <c r="D77" s="1" t="s">
        <v>565</v>
      </c>
      <c r="E77" s="1" t="s">
        <v>566</v>
      </c>
      <c r="F77" s="1" t="s">
        <v>44</v>
      </c>
      <c r="G77" s="1"/>
      <c r="H77" s="11">
        <v>46321</v>
      </c>
      <c r="I77" s="11">
        <v>46322</v>
      </c>
      <c r="J77" s="1">
        <f>NETWORKDAYS(H77,I77,Holidays!$A$5:$A$12)</f>
        <v>2</v>
      </c>
      <c r="K77" s="1" t="s">
        <v>385</v>
      </c>
      <c r="L77" s="1" t="s">
        <v>567</v>
      </c>
      <c r="M77" s="1" t="s">
        <v>568</v>
      </c>
      <c r="N77" s="1" t="s">
        <v>569</v>
      </c>
      <c r="O77" s="1" t="s">
        <v>89</v>
      </c>
      <c r="P77" s="10">
        <v>0</v>
      </c>
      <c r="Q77" s="8" t="str">
        <f ca="1">IF(AND(O77&lt;&gt;"Complete",I77&lt;TODAY()),"OVERDUE","")</f>
        <v/>
      </c>
      <c r="R77" s="1"/>
    </row>
    <row r="78" spans="1:18" ht="23.85">
      <c r="A78" s="12" t="s">
        <v>570</v>
      </c>
      <c r="B78" s="13" t="s">
        <v>63</v>
      </c>
      <c r="C78" s="13" t="s">
        <v>386</v>
      </c>
      <c r="D78" s="13" t="s">
        <v>571</v>
      </c>
      <c r="E78" s="13" t="s">
        <v>572</v>
      </c>
      <c r="F78" s="13" t="s">
        <v>44</v>
      </c>
      <c r="G78" s="13"/>
      <c r="H78" s="14">
        <v>46322</v>
      </c>
      <c r="I78" s="14">
        <v>46324</v>
      </c>
      <c r="J78" s="13">
        <f>NETWORKDAYS(H78,I78,Holidays!$A$5:$A$12)</f>
        <v>3</v>
      </c>
      <c r="K78" s="13" t="s">
        <v>457</v>
      </c>
      <c r="L78" s="13" t="s">
        <v>573</v>
      </c>
      <c r="M78" s="13" t="s">
        <v>574</v>
      </c>
      <c r="N78" s="13" t="s">
        <v>575</v>
      </c>
      <c r="O78" s="13" t="s">
        <v>89</v>
      </c>
      <c r="P78" s="15">
        <v>0</v>
      </c>
      <c r="Q78" s="16" t="str">
        <f ca="1">IF(AND(O78&lt;&gt;"Complete",I78&lt;TODAY()),"OVERDUE","")</f>
        <v/>
      </c>
      <c r="R78" s="13"/>
    </row>
    <row r="79" spans="1:18" ht="23.85">
      <c r="A79" s="5" t="s">
        <v>576</v>
      </c>
      <c r="B79" s="1" t="s">
        <v>63</v>
      </c>
      <c r="C79" s="1" t="s">
        <v>386</v>
      </c>
      <c r="D79" s="1" t="s">
        <v>577</v>
      </c>
      <c r="E79" s="1" t="s">
        <v>578</v>
      </c>
      <c r="F79" s="1" t="s">
        <v>44</v>
      </c>
      <c r="G79" s="1" t="s">
        <v>33</v>
      </c>
      <c r="H79" s="11">
        <v>46323</v>
      </c>
      <c r="I79" s="11">
        <v>46329</v>
      </c>
      <c r="J79" s="1">
        <f>NETWORKDAYS(H79,I79,Holidays!$A$5:$A$12)</f>
        <v>5</v>
      </c>
      <c r="K79" s="1" t="s">
        <v>439</v>
      </c>
      <c r="L79" s="1" t="s">
        <v>579</v>
      </c>
      <c r="M79" s="1" t="s">
        <v>580</v>
      </c>
      <c r="N79" s="1" t="s">
        <v>581</v>
      </c>
      <c r="O79" s="1" t="s">
        <v>89</v>
      </c>
      <c r="P79" s="10">
        <v>0</v>
      </c>
      <c r="Q79" s="8" t="str">
        <f ca="1">IF(AND(O79&lt;&gt;"Complete",I79&lt;TODAY()),"OVERDUE","")</f>
        <v/>
      </c>
      <c r="R79" s="1"/>
    </row>
    <row r="80" spans="1:18" ht="23.85">
      <c r="A80" s="12" t="s">
        <v>582</v>
      </c>
      <c r="B80" s="13" t="s">
        <v>63</v>
      </c>
      <c r="C80" s="13" t="s">
        <v>386</v>
      </c>
      <c r="D80" s="13" t="s">
        <v>583</v>
      </c>
      <c r="E80" s="13" t="s">
        <v>584</v>
      </c>
      <c r="F80" s="13" t="s">
        <v>44</v>
      </c>
      <c r="G80" s="13"/>
      <c r="H80" s="14">
        <v>46328</v>
      </c>
      <c r="I80" s="14">
        <v>46329</v>
      </c>
      <c r="J80" s="13">
        <f>NETWORKDAYS(H80,I80,Holidays!$A$5:$A$12)</f>
        <v>2</v>
      </c>
      <c r="K80" s="13" t="s">
        <v>570</v>
      </c>
      <c r="L80" s="13" t="s">
        <v>585</v>
      </c>
      <c r="M80" s="13" t="s">
        <v>586</v>
      </c>
      <c r="N80" s="13" t="s">
        <v>587</v>
      </c>
      <c r="O80" s="13" t="s">
        <v>89</v>
      </c>
      <c r="P80" s="15">
        <v>0</v>
      </c>
      <c r="Q80" s="16" t="str">
        <f ca="1">IF(AND(O80&lt;&gt;"Complete",I80&lt;TODAY()),"OVERDUE","")</f>
        <v/>
      </c>
      <c r="R80" s="13"/>
    </row>
    <row r="81" spans="1:18" ht="23.85">
      <c r="A81" s="5" t="s">
        <v>588</v>
      </c>
      <c r="B81" s="1" t="s">
        <v>63</v>
      </c>
      <c r="C81" s="1" t="s">
        <v>386</v>
      </c>
      <c r="D81" s="1" t="s">
        <v>589</v>
      </c>
      <c r="E81" s="1" t="s">
        <v>590</v>
      </c>
      <c r="F81" s="1" t="s">
        <v>44</v>
      </c>
      <c r="G81" s="1" t="s">
        <v>36</v>
      </c>
      <c r="H81" s="11">
        <v>46329</v>
      </c>
      <c r="I81" s="11">
        <v>46330</v>
      </c>
      <c r="J81" s="1">
        <f>NETWORKDAYS(H81,I81,Holidays!$A$5:$A$12)</f>
        <v>2</v>
      </c>
      <c r="K81" s="1" t="s">
        <v>392</v>
      </c>
      <c r="L81" s="1" t="s">
        <v>591</v>
      </c>
      <c r="M81" s="1" t="s">
        <v>592</v>
      </c>
      <c r="N81" s="1" t="s">
        <v>593</v>
      </c>
      <c r="O81" s="1" t="s">
        <v>89</v>
      </c>
      <c r="P81" s="10">
        <v>0</v>
      </c>
      <c r="Q81" s="8" t="str">
        <f ca="1">IF(AND(O81&lt;&gt;"Complete",I81&lt;TODAY()),"OVERDUE","")</f>
        <v/>
      </c>
      <c r="R81" s="1"/>
    </row>
    <row r="82" spans="1:18" ht="23.85">
      <c r="A82" s="12" t="s">
        <v>594</v>
      </c>
      <c r="B82" s="13" t="s">
        <v>63</v>
      </c>
      <c r="C82" s="13" t="s">
        <v>386</v>
      </c>
      <c r="D82" s="13" t="s">
        <v>595</v>
      </c>
      <c r="E82" s="13" t="s">
        <v>596</v>
      </c>
      <c r="F82" s="13" t="s">
        <v>44</v>
      </c>
      <c r="G82" s="13" t="s">
        <v>36</v>
      </c>
      <c r="H82" s="14">
        <v>46330</v>
      </c>
      <c r="I82" s="14">
        <v>46332</v>
      </c>
      <c r="J82" s="13">
        <f>NETWORKDAYS(H82,I82,Holidays!$A$5:$A$12)</f>
        <v>3</v>
      </c>
      <c r="K82" s="13" t="s">
        <v>597</v>
      </c>
      <c r="L82" s="13" t="s">
        <v>598</v>
      </c>
      <c r="M82" s="13" t="s">
        <v>599</v>
      </c>
      <c r="N82" s="13" t="s">
        <v>600</v>
      </c>
      <c r="O82" s="13" t="s">
        <v>89</v>
      </c>
      <c r="P82" s="15">
        <v>0</v>
      </c>
      <c r="Q82" s="16" t="str">
        <f ca="1">IF(AND(O82&lt;&gt;"Complete",I82&lt;TODAY()),"OVERDUE","")</f>
        <v/>
      </c>
      <c r="R82" s="13"/>
    </row>
    <row r="83" spans="1:18" ht="35.1">
      <c r="A83" s="5" t="s">
        <v>601</v>
      </c>
      <c r="B83" s="1" t="s">
        <v>63</v>
      </c>
      <c r="C83" s="1" t="s">
        <v>602</v>
      </c>
      <c r="D83" s="1" t="s">
        <v>603</v>
      </c>
      <c r="E83" s="1" t="s">
        <v>604</v>
      </c>
      <c r="F83" s="1" t="s">
        <v>44</v>
      </c>
      <c r="G83" s="1" t="s">
        <v>36</v>
      </c>
      <c r="H83" s="11">
        <v>46328</v>
      </c>
      <c r="I83" s="11">
        <v>46332</v>
      </c>
      <c r="J83" s="1">
        <f>NETWORKDAYS(H83,I83,Holidays!$A$5:$A$12)</f>
        <v>5</v>
      </c>
      <c r="K83" s="1" t="s">
        <v>605</v>
      </c>
      <c r="L83" s="1" t="s">
        <v>606</v>
      </c>
      <c r="M83" s="1" t="s">
        <v>607</v>
      </c>
      <c r="N83" s="1" t="s">
        <v>608</v>
      </c>
      <c r="O83" s="1" t="s">
        <v>89</v>
      </c>
      <c r="P83" s="10">
        <v>0</v>
      </c>
      <c r="Q83" s="8" t="str">
        <f ca="1">IF(AND(O83&lt;&gt;"Complete",I83&lt;TODAY()),"OVERDUE","")</f>
        <v/>
      </c>
      <c r="R83" s="1"/>
    </row>
    <row r="84" spans="1:18" ht="23.85">
      <c r="A84" s="12" t="s">
        <v>609</v>
      </c>
      <c r="B84" s="13" t="s">
        <v>63</v>
      </c>
      <c r="C84" s="13" t="s">
        <v>199</v>
      </c>
      <c r="D84" s="13" t="s">
        <v>610</v>
      </c>
      <c r="E84" s="13" t="s">
        <v>611</v>
      </c>
      <c r="F84" s="13" t="s">
        <v>30</v>
      </c>
      <c r="G84" s="13" t="s">
        <v>33</v>
      </c>
      <c r="H84" s="14">
        <v>46323</v>
      </c>
      <c r="I84" s="14">
        <v>46324</v>
      </c>
      <c r="J84" s="13">
        <f>NETWORKDAYS(H84,I84,Holidays!$A$5:$A$12)</f>
        <v>2</v>
      </c>
      <c r="K84" s="13" t="s">
        <v>439</v>
      </c>
      <c r="L84" s="13" t="s">
        <v>262</v>
      </c>
      <c r="M84" s="13" t="s">
        <v>612</v>
      </c>
      <c r="N84" s="13" t="s">
        <v>613</v>
      </c>
      <c r="O84" s="13" t="s">
        <v>89</v>
      </c>
      <c r="P84" s="15">
        <v>0</v>
      </c>
      <c r="Q84" s="16" t="str">
        <f ca="1">IF(AND(O84&lt;&gt;"Complete",I84&lt;TODAY()),"OVERDUE","")</f>
        <v/>
      </c>
      <c r="R84" s="13"/>
    </row>
    <row r="85" spans="1:18" ht="23.85">
      <c r="A85" s="5" t="s">
        <v>614</v>
      </c>
      <c r="B85" s="1" t="s">
        <v>63</v>
      </c>
      <c r="C85" s="1" t="s">
        <v>615</v>
      </c>
      <c r="D85" s="1" t="s">
        <v>616</v>
      </c>
      <c r="E85" s="1" t="s">
        <v>617</v>
      </c>
      <c r="F85" s="1" t="s">
        <v>30</v>
      </c>
      <c r="G85" s="1"/>
      <c r="H85" s="11">
        <v>46328</v>
      </c>
      <c r="I85" s="11">
        <v>46330</v>
      </c>
      <c r="J85" s="1">
        <f>NETWORKDAYS(H85,I85,Holidays!$A$5:$A$12)</f>
        <v>3</v>
      </c>
      <c r="K85" s="1" t="s">
        <v>405</v>
      </c>
      <c r="L85" s="1" t="s">
        <v>618</v>
      </c>
      <c r="M85" s="1" t="s">
        <v>619</v>
      </c>
      <c r="N85" s="1" t="s">
        <v>316</v>
      </c>
      <c r="O85" s="1" t="s">
        <v>89</v>
      </c>
      <c r="P85" s="10">
        <v>0</v>
      </c>
      <c r="Q85" s="8" t="str">
        <f ca="1">IF(AND(O85&lt;&gt;"Complete",I85&lt;TODAY()),"OVERDUE","")</f>
        <v/>
      </c>
      <c r="R85" s="1"/>
    </row>
    <row r="86" spans="1:18" ht="23.85">
      <c r="A86" s="12" t="s">
        <v>620</v>
      </c>
      <c r="B86" s="13" t="s">
        <v>63</v>
      </c>
      <c r="C86" s="13" t="s">
        <v>621</v>
      </c>
      <c r="D86" s="13" t="s">
        <v>622</v>
      </c>
      <c r="E86" s="13" t="s">
        <v>623</v>
      </c>
      <c r="F86" s="13" t="s">
        <v>30</v>
      </c>
      <c r="G86" s="13"/>
      <c r="H86" s="14">
        <v>46307</v>
      </c>
      <c r="I86" s="14">
        <v>46332</v>
      </c>
      <c r="J86" s="13">
        <f>NETWORKDAYS(H86,I86,Holidays!$A$5:$A$12)</f>
        <v>19</v>
      </c>
      <c r="K86" s="13" t="s">
        <v>225</v>
      </c>
      <c r="L86" s="13" t="s">
        <v>624</v>
      </c>
      <c r="M86" s="13" t="s">
        <v>625</v>
      </c>
      <c r="N86" s="13" t="s">
        <v>626</v>
      </c>
      <c r="O86" s="13" t="s">
        <v>89</v>
      </c>
      <c r="P86" s="15">
        <v>0</v>
      </c>
      <c r="Q86" s="16" t="str">
        <f ca="1">IF(AND(O86&lt;&gt;"Complete",I86&lt;TODAY()),"OVERDUE","")</f>
        <v/>
      </c>
      <c r="R86" s="13"/>
    </row>
    <row r="87" spans="1:18" ht="23.85">
      <c r="A87" s="5" t="s">
        <v>627</v>
      </c>
      <c r="B87" s="1" t="s">
        <v>628</v>
      </c>
      <c r="C87" s="1" t="s">
        <v>285</v>
      </c>
      <c r="D87" s="1" t="s">
        <v>629</v>
      </c>
      <c r="E87" s="1" t="s">
        <v>630</v>
      </c>
      <c r="F87" s="1" t="s">
        <v>47</v>
      </c>
      <c r="G87" s="1" t="s">
        <v>36</v>
      </c>
      <c r="H87" s="11">
        <v>46321</v>
      </c>
      <c r="I87" s="11">
        <v>46332</v>
      </c>
      <c r="J87" s="1">
        <f>NETWORKDAYS(H87,I87,Holidays!$A$5:$A$12)</f>
        <v>10</v>
      </c>
      <c r="K87" s="1" t="s">
        <v>410</v>
      </c>
      <c r="L87" s="1" t="s">
        <v>631</v>
      </c>
      <c r="M87" s="1" t="s">
        <v>632</v>
      </c>
      <c r="N87" s="1" t="s">
        <v>290</v>
      </c>
      <c r="O87" s="1" t="s">
        <v>89</v>
      </c>
      <c r="P87" s="10">
        <v>0</v>
      </c>
      <c r="Q87" s="8" t="str">
        <f ca="1">IF(AND(O87&lt;&gt;"Complete",I87&lt;TODAY()),"OVERDUE","")</f>
        <v/>
      </c>
      <c r="R87" s="1"/>
    </row>
    <row r="88" spans="1:18" ht="23.85">
      <c r="A88" s="12" t="s">
        <v>633</v>
      </c>
      <c r="B88" s="13" t="s">
        <v>628</v>
      </c>
      <c r="C88" s="13" t="s">
        <v>634</v>
      </c>
      <c r="D88" s="13" t="s">
        <v>635</v>
      </c>
      <c r="E88" s="13" t="s">
        <v>636</v>
      </c>
      <c r="F88" s="13" t="s">
        <v>27</v>
      </c>
      <c r="G88" s="13" t="s">
        <v>637</v>
      </c>
      <c r="H88" s="14">
        <v>46321</v>
      </c>
      <c r="I88" s="14">
        <v>46325</v>
      </c>
      <c r="J88" s="13">
        <f>NETWORKDAYS(H88,I88,Holidays!$A$5:$A$12)</f>
        <v>5</v>
      </c>
      <c r="K88" s="13" t="s">
        <v>422</v>
      </c>
      <c r="L88" s="13" t="s">
        <v>638</v>
      </c>
      <c r="M88" s="13" t="s">
        <v>639</v>
      </c>
      <c r="N88" s="13" t="s">
        <v>640</v>
      </c>
      <c r="O88" s="13" t="s">
        <v>89</v>
      </c>
      <c r="P88" s="15">
        <v>0</v>
      </c>
      <c r="Q88" s="16" t="str">
        <f ca="1">IF(AND(O88&lt;&gt;"Complete",I88&lt;TODAY()),"OVERDUE","")</f>
        <v/>
      </c>
      <c r="R88" s="13"/>
    </row>
    <row r="89" spans="1:18" ht="23.85">
      <c r="A89" s="5" t="s">
        <v>641</v>
      </c>
      <c r="B89" s="1" t="s">
        <v>628</v>
      </c>
      <c r="C89" s="1" t="s">
        <v>634</v>
      </c>
      <c r="D89" s="1" t="s">
        <v>642</v>
      </c>
      <c r="E89" s="1" t="s">
        <v>643</v>
      </c>
      <c r="F89" s="1" t="s">
        <v>42</v>
      </c>
      <c r="G89" s="1" t="s">
        <v>39</v>
      </c>
      <c r="H89" s="11">
        <v>46324</v>
      </c>
      <c r="I89" s="11">
        <v>46325</v>
      </c>
      <c r="J89" s="1">
        <f>NETWORKDAYS(H89,I89,Holidays!$A$5:$A$12)</f>
        <v>2</v>
      </c>
      <c r="K89" s="1" t="s">
        <v>373</v>
      </c>
      <c r="L89" s="1" t="s">
        <v>644</v>
      </c>
      <c r="M89" s="1" t="s">
        <v>645</v>
      </c>
      <c r="N89" s="1" t="s">
        <v>372</v>
      </c>
      <c r="O89" s="1" t="s">
        <v>89</v>
      </c>
      <c r="P89" s="10">
        <v>0</v>
      </c>
      <c r="Q89" s="8" t="str">
        <f ca="1">IF(AND(O89&lt;&gt;"Complete",I89&lt;TODAY()),"OVERDUE","")</f>
        <v/>
      </c>
      <c r="R89" s="1"/>
    </row>
    <row r="90" spans="1:18" ht="23.85">
      <c r="A90" s="12" t="s">
        <v>646</v>
      </c>
      <c r="B90" s="13" t="s">
        <v>628</v>
      </c>
      <c r="C90" s="13" t="s">
        <v>634</v>
      </c>
      <c r="D90" s="13" t="s">
        <v>647</v>
      </c>
      <c r="E90" s="13" t="s">
        <v>648</v>
      </c>
      <c r="F90" s="13" t="s">
        <v>33</v>
      </c>
      <c r="G90" s="13" t="s">
        <v>42</v>
      </c>
      <c r="H90" s="14">
        <v>46328</v>
      </c>
      <c r="I90" s="14">
        <v>46328</v>
      </c>
      <c r="J90" s="13">
        <f>NETWORKDAYS(H90,I90,Holidays!$A$5:$A$12)</f>
        <v>1</v>
      </c>
      <c r="K90" s="13" t="s">
        <v>649</v>
      </c>
      <c r="L90" s="13" t="s">
        <v>650</v>
      </c>
      <c r="M90" s="13" t="s">
        <v>651</v>
      </c>
      <c r="N90" s="13" t="s">
        <v>652</v>
      </c>
      <c r="O90" s="13" t="s">
        <v>89</v>
      </c>
      <c r="P90" s="15">
        <v>0</v>
      </c>
      <c r="Q90" s="16" t="str">
        <f ca="1">IF(AND(O90&lt;&gt;"Complete",I90&lt;TODAY()),"OVERDUE","")</f>
        <v/>
      </c>
      <c r="R90" s="13"/>
    </row>
    <row r="91" spans="1:18">
      <c r="A91" s="5" t="s">
        <v>653</v>
      </c>
      <c r="B91" s="1" t="s">
        <v>628</v>
      </c>
      <c r="C91" s="1" t="s">
        <v>634</v>
      </c>
      <c r="D91" s="1" t="s">
        <v>654</v>
      </c>
      <c r="E91" s="1" t="s">
        <v>655</v>
      </c>
      <c r="F91" s="1" t="s">
        <v>39</v>
      </c>
      <c r="G91" s="1" t="s">
        <v>42</v>
      </c>
      <c r="H91" s="11">
        <v>46328</v>
      </c>
      <c r="I91" s="11">
        <v>46330</v>
      </c>
      <c r="J91" s="1">
        <f>NETWORKDAYS(H91,I91,Holidays!$A$5:$A$12)</f>
        <v>3</v>
      </c>
      <c r="K91" s="1" t="s">
        <v>646</v>
      </c>
      <c r="L91" s="1" t="s">
        <v>656</v>
      </c>
      <c r="M91" s="1" t="s">
        <v>657</v>
      </c>
      <c r="N91" s="1" t="s">
        <v>123</v>
      </c>
      <c r="O91" s="1" t="s">
        <v>89</v>
      </c>
      <c r="P91" s="10">
        <v>0</v>
      </c>
      <c r="Q91" s="8" t="str">
        <f ca="1">IF(AND(O91&lt;&gt;"Complete",I91&lt;TODAY()),"OVERDUE","")</f>
        <v/>
      </c>
      <c r="R91" s="1"/>
    </row>
    <row r="92" spans="1:18" ht="23.85">
      <c r="A92" s="12" t="s">
        <v>658</v>
      </c>
      <c r="B92" s="13" t="s">
        <v>628</v>
      </c>
      <c r="C92" s="13" t="s">
        <v>634</v>
      </c>
      <c r="D92" s="13" t="s">
        <v>659</v>
      </c>
      <c r="E92" s="13" t="s">
        <v>660</v>
      </c>
      <c r="F92" s="13" t="s">
        <v>33</v>
      </c>
      <c r="G92" s="13" t="s">
        <v>36</v>
      </c>
      <c r="H92" s="14">
        <v>46330</v>
      </c>
      <c r="I92" s="14">
        <v>46332</v>
      </c>
      <c r="J92" s="13">
        <f>NETWORKDAYS(H92,I92,Holidays!$A$5:$A$12)</f>
        <v>3</v>
      </c>
      <c r="K92" s="13" t="s">
        <v>653</v>
      </c>
      <c r="L92" s="13" t="s">
        <v>661</v>
      </c>
      <c r="M92" s="13" t="s">
        <v>662</v>
      </c>
      <c r="N92" s="13" t="s">
        <v>663</v>
      </c>
      <c r="O92" s="13" t="s">
        <v>89</v>
      </c>
      <c r="P92" s="15">
        <v>0</v>
      </c>
      <c r="Q92" s="16" t="str">
        <f ca="1">IF(AND(O92&lt;&gt;"Complete",I92&lt;TODAY()),"OVERDUE","")</f>
        <v/>
      </c>
      <c r="R92" s="13"/>
    </row>
    <row r="93" spans="1:18" ht="23.85">
      <c r="A93" s="5" t="s">
        <v>664</v>
      </c>
      <c r="B93" s="1" t="s">
        <v>628</v>
      </c>
      <c r="C93" s="1" t="s">
        <v>634</v>
      </c>
      <c r="D93" s="1" t="s">
        <v>665</v>
      </c>
      <c r="E93" s="1" t="s">
        <v>666</v>
      </c>
      <c r="F93" s="1" t="s">
        <v>36</v>
      </c>
      <c r="G93" s="1" t="s">
        <v>27</v>
      </c>
      <c r="H93" s="11">
        <v>46330</v>
      </c>
      <c r="I93" s="11">
        <v>46332</v>
      </c>
      <c r="J93" s="1">
        <f>NETWORKDAYS(H93,I93,Holidays!$A$5:$A$12)</f>
        <v>3</v>
      </c>
      <c r="K93" s="1" t="s">
        <v>658</v>
      </c>
      <c r="L93" s="1" t="s">
        <v>667</v>
      </c>
      <c r="M93" s="1" t="s">
        <v>668</v>
      </c>
      <c r="N93" s="1" t="s">
        <v>669</v>
      </c>
      <c r="O93" s="1" t="s">
        <v>89</v>
      </c>
      <c r="P93" s="10">
        <v>0</v>
      </c>
      <c r="Q93" s="8" t="str">
        <f ca="1">IF(AND(O93&lt;&gt;"Complete",I93&lt;TODAY()),"OVERDUE","")</f>
        <v/>
      </c>
      <c r="R93" s="1"/>
    </row>
    <row r="94" spans="1:18" ht="23.85">
      <c r="A94" s="12" t="s">
        <v>670</v>
      </c>
      <c r="B94" s="13" t="s">
        <v>628</v>
      </c>
      <c r="C94" s="13" t="s">
        <v>285</v>
      </c>
      <c r="D94" s="13" t="s">
        <v>671</v>
      </c>
      <c r="E94" s="13" t="s">
        <v>672</v>
      </c>
      <c r="F94" s="13" t="s">
        <v>33</v>
      </c>
      <c r="G94" s="13" t="s">
        <v>36</v>
      </c>
      <c r="H94" s="14">
        <v>46328</v>
      </c>
      <c r="I94" s="14">
        <v>46332</v>
      </c>
      <c r="J94" s="13">
        <f>NETWORKDAYS(H94,I94,Holidays!$A$5:$A$12)</f>
        <v>5</v>
      </c>
      <c r="K94" s="13" t="s">
        <v>451</v>
      </c>
      <c r="L94" s="13" t="s">
        <v>673</v>
      </c>
      <c r="M94" s="13" t="s">
        <v>674</v>
      </c>
      <c r="N94" s="13" t="s">
        <v>675</v>
      </c>
      <c r="O94" s="13" t="s">
        <v>89</v>
      </c>
      <c r="P94" s="15">
        <v>0</v>
      </c>
      <c r="Q94" s="16" t="str">
        <f ca="1">IF(AND(O94&lt;&gt;"Complete",I94&lt;TODAY()),"OVERDUE","")</f>
        <v/>
      </c>
      <c r="R94" s="13"/>
    </row>
    <row r="95" spans="1:18">
      <c r="A95" s="5" t="s">
        <v>676</v>
      </c>
      <c r="B95" s="1" t="s">
        <v>628</v>
      </c>
      <c r="C95" s="1" t="s">
        <v>285</v>
      </c>
      <c r="D95" s="1" t="s">
        <v>677</v>
      </c>
      <c r="E95" s="1" t="s">
        <v>678</v>
      </c>
      <c r="F95" s="1" t="s">
        <v>36</v>
      </c>
      <c r="G95" s="1"/>
      <c r="H95" s="11">
        <v>46331</v>
      </c>
      <c r="I95" s="11">
        <v>46332</v>
      </c>
      <c r="J95" s="1">
        <f>NETWORKDAYS(H95,I95,Holidays!$A$5:$A$12)</f>
        <v>2</v>
      </c>
      <c r="K95" s="1" t="s">
        <v>483</v>
      </c>
      <c r="L95" s="1" t="s">
        <v>679</v>
      </c>
      <c r="M95" s="1" t="s">
        <v>680</v>
      </c>
      <c r="N95" s="1" t="s">
        <v>675</v>
      </c>
      <c r="O95" s="1" t="s">
        <v>89</v>
      </c>
      <c r="P95" s="10">
        <v>0</v>
      </c>
      <c r="Q95" s="8" t="str">
        <f ca="1">IF(AND(O95&lt;&gt;"Complete",I95&lt;TODAY()),"OVERDUE","")</f>
        <v/>
      </c>
      <c r="R95" s="1"/>
    </row>
    <row r="96" spans="1:18">
      <c r="A96" s="12" t="s">
        <v>681</v>
      </c>
      <c r="B96" s="13" t="s">
        <v>628</v>
      </c>
      <c r="C96" s="13" t="s">
        <v>285</v>
      </c>
      <c r="D96" s="13" t="s">
        <v>682</v>
      </c>
      <c r="E96" s="13" t="s">
        <v>683</v>
      </c>
      <c r="F96" s="13" t="s">
        <v>30</v>
      </c>
      <c r="G96" s="13" t="s">
        <v>47</v>
      </c>
      <c r="H96" s="14">
        <v>46329</v>
      </c>
      <c r="I96" s="14">
        <v>46332</v>
      </c>
      <c r="J96" s="13">
        <f>NETWORKDAYS(H96,I96,Holidays!$A$5:$A$12)</f>
        <v>4</v>
      </c>
      <c r="K96" s="13" t="s">
        <v>398</v>
      </c>
      <c r="L96" s="13" t="s">
        <v>684</v>
      </c>
      <c r="M96" s="13" t="s">
        <v>685</v>
      </c>
      <c r="N96" s="13" t="s">
        <v>686</v>
      </c>
      <c r="O96" s="13" t="s">
        <v>89</v>
      </c>
      <c r="P96" s="15">
        <v>0</v>
      </c>
      <c r="Q96" s="16" t="str">
        <f ca="1">IF(AND(O96&lt;&gt;"Complete",I96&lt;TODAY()),"OVERDUE","")</f>
        <v/>
      </c>
      <c r="R96" s="13"/>
    </row>
    <row r="97" spans="1:18">
      <c r="A97" s="5" t="s">
        <v>687</v>
      </c>
      <c r="B97" s="1" t="s">
        <v>628</v>
      </c>
      <c r="C97" s="1" t="s">
        <v>292</v>
      </c>
      <c r="D97" s="1" t="s">
        <v>688</v>
      </c>
      <c r="E97" s="1" t="s">
        <v>689</v>
      </c>
      <c r="F97" s="1" t="s">
        <v>27</v>
      </c>
      <c r="G97" s="1" t="s">
        <v>120</v>
      </c>
      <c r="H97" s="11">
        <v>46332</v>
      </c>
      <c r="I97" s="11">
        <v>46332</v>
      </c>
      <c r="J97" s="1">
        <f>NETWORKDAYS(H97,I97,Holidays!$A$5:$A$12)</f>
        <v>1</v>
      </c>
      <c r="K97" s="1" t="s">
        <v>627</v>
      </c>
      <c r="L97" s="1" t="s">
        <v>690</v>
      </c>
      <c r="M97" s="1" t="s">
        <v>691</v>
      </c>
      <c r="N97" s="1" t="s">
        <v>692</v>
      </c>
      <c r="O97" s="1" t="s">
        <v>89</v>
      </c>
      <c r="P97" s="10">
        <v>0</v>
      </c>
      <c r="Q97" s="8" t="str">
        <f ca="1">IF(AND(O97&lt;&gt;"Complete",I97&lt;TODAY()),"OVERDUE","")</f>
        <v/>
      </c>
      <c r="R97" s="1"/>
    </row>
    <row r="98" spans="1:18" ht="23.85">
      <c r="A98" s="12" t="s">
        <v>693</v>
      </c>
      <c r="B98" s="13" t="s">
        <v>68</v>
      </c>
      <c r="C98" s="13" t="s">
        <v>694</v>
      </c>
      <c r="D98" s="13" t="s">
        <v>695</v>
      </c>
      <c r="E98" s="13" t="s">
        <v>696</v>
      </c>
      <c r="F98" s="13" t="s">
        <v>27</v>
      </c>
      <c r="G98" s="13" t="s">
        <v>47</v>
      </c>
      <c r="H98" s="14">
        <v>46324</v>
      </c>
      <c r="I98" s="14">
        <v>46332</v>
      </c>
      <c r="J98" s="13">
        <f>NETWORKDAYS(H98,I98,Holidays!$A$5:$A$12)</f>
        <v>7</v>
      </c>
      <c r="K98" s="13"/>
      <c r="L98" s="13" t="s">
        <v>697</v>
      </c>
      <c r="M98" s="13" t="s">
        <v>698</v>
      </c>
      <c r="N98" s="13" t="s">
        <v>699</v>
      </c>
      <c r="O98" s="13" t="s">
        <v>89</v>
      </c>
      <c r="P98" s="15">
        <v>0</v>
      </c>
      <c r="Q98" s="16" t="str">
        <f ca="1">IF(AND(O98&lt;&gt;"Complete",I98&lt;TODAY()),"OVERDUE","")</f>
        <v/>
      </c>
      <c r="R98" s="13"/>
    </row>
    <row r="99" spans="1:18" ht="23.85">
      <c r="A99" s="5" t="s">
        <v>700</v>
      </c>
      <c r="B99" s="1" t="s">
        <v>68</v>
      </c>
      <c r="C99" s="1" t="s">
        <v>701</v>
      </c>
      <c r="D99" s="1" t="s">
        <v>702</v>
      </c>
      <c r="E99" s="1" t="s">
        <v>703</v>
      </c>
      <c r="F99" s="1" t="s">
        <v>47</v>
      </c>
      <c r="G99" s="1" t="s">
        <v>704</v>
      </c>
      <c r="H99" s="11">
        <v>46328</v>
      </c>
      <c r="I99" s="11">
        <v>46336</v>
      </c>
      <c r="J99" s="1">
        <f>NETWORKDAYS(H99,I99,Holidays!$A$5:$A$12)</f>
        <v>7</v>
      </c>
      <c r="K99" s="1" t="s">
        <v>687</v>
      </c>
      <c r="L99" s="1" t="s">
        <v>705</v>
      </c>
      <c r="M99" s="1" t="s">
        <v>706</v>
      </c>
      <c r="N99" s="1" t="s">
        <v>699</v>
      </c>
      <c r="O99" s="1" t="s">
        <v>89</v>
      </c>
      <c r="P99" s="10">
        <v>0</v>
      </c>
      <c r="Q99" s="8" t="str">
        <f ca="1">IF(AND(O99&lt;&gt;"Complete",I99&lt;TODAY()),"OVERDUE","")</f>
        <v/>
      </c>
      <c r="R99" s="1"/>
    </row>
    <row r="100" spans="1:18" ht="23.85">
      <c r="A100" s="12" t="s">
        <v>707</v>
      </c>
      <c r="B100" s="13" t="s">
        <v>68</v>
      </c>
      <c r="C100" s="13" t="s">
        <v>602</v>
      </c>
      <c r="D100" s="13" t="s">
        <v>708</v>
      </c>
      <c r="E100" s="13" t="s">
        <v>709</v>
      </c>
      <c r="F100" s="13" t="s">
        <v>44</v>
      </c>
      <c r="G100" s="13" t="s">
        <v>36</v>
      </c>
      <c r="H100" s="14">
        <v>46335</v>
      </c>
      <c r="I100" s="14">
        <v>46337</v>
      </c>
      <c r="J100" s="13">
        <f>NETWORKDAYS(H100,I100,Holidays!$A$5:$A$12)</f>
        <v>3</v>
      </c>
      <c r="K100" s="13" t="s">
        <v>710</v>
      </c>
      <c r="L100" s="13" t="s">
        <v>711</v>
      </c>
      <c r="M100" s="13" t="s">
        <v>712</v>
      </c>
      <c r="N100" s="13" t="s">
        <v>713</v>
      </c>
      <c r="O100" s="13" t="s">
        <v>89</v>
      </c>
      <c r="P100" s="15">
        <v>0</v>
      </c>
      <c r="Q100" s="16" t="str">
        <f ca="1">IF(AND(O100&lt;&gt;"Complete",I100&lt;TODAY()),"OVERDUE","")</f>
        <v/>
      </c>
      <c r="R100" s="13"/>
    </row>
    <row r="101" spans="1:18">
      <c r="A101" s="5" t="s">
        <v>714</v>
      </c>
      <c r="B101" s="1" t="s">
        <v>68</v>
      </c>
      <c r="C101" s="1" t="s">
        <v>602</v>
      </c>
      <c r="D101" s="1" t="s">
        <v>715</v>
      </c>
      <c r="E101" s="1" t="s">
        <v>716</v>
      </c>
      <c r="F101" s="1" t="s">
        <v>44</v>
      </c>
      <c r="G101" s="1" t="s">
        <v>30</v>
      </c>
      <c r="H101" s="11">
        <v>46338</v>
      </c>
      <c r="I101" s="11">
        <v>46339</v>
      </c>
      <c r="J101" s="1">
        <f>NETWORKDAYS(H101,I101,Holidays!$A$5:$A$12)</f>
        <v>2</v>
      </c>
      <c r="K101" s="1" t="s">
        <v>707</v>
      </c>
      <c r="L101" s="1" t="s">
        <v>717</v>
      </c>
      <c r="M101" s="1" t="s">
        <v>718</v>
      </c>
      <c r="N101" s="1" t="s">
        <v>608</v>
      </c>
      <c r="O101" s="1" t="s">
        <v>89</v>
      </c>
      <c r="P101" s="10">
        <v>0</v>
      </c>
      <c r="Q101" s="8" t="str">
        <f ca="1">IF(AND(O101&lt;&gt;"Complete",I101&lt;TODAY()),"OVERDUE","")</f>
        <v/>
      </c>
      <c r="R101" s="1"/>
    </row>
    <row r="102" spans="1:18" ht="23.85">
      <c r="A102" s="12" t="s">
        <v>719</v>
      </c>
      <c r="B102" s="13" t="s">
        <v>68</v>
      </c>
      <c r="C102" s="13" t="s">
        <v>694</v>
      </c>
      <c r="D102" s="13" t="s">
        <v>720</v>
      </c>
      <c r="E102" s="13" t="s">
        <v>721</v>
      </c>
      <c r="F102" s="13" t="s">
        <v>39</v>
      </c>
      <c r="G102" s="13" t="s">
        <v>42</v>
      </c>
      <c r="H102" s="14">
        <v>46335</v>
      </c>
      <c r="I102" s="14">
        <v>46337</v>
      </c>
      <c r="J102" s="13">
        <f>NETWORKDAYS(H102,I102,Holidays!$A$5:$A$12)</f>
        <v>3</v>
      </c>
      <c r="K102" s="13" t="s">
        <v>700</v>
      </c>
      <c r="L102" s="13" t="s">
        <v>722</v>
      </c>
      <c r="M102" s="13" t="s">
        <v>723</v>
      </c>
      <c r="N102" s="13" t="s">
        <v>699</v>
      </c>
      <c r="O102" s="13" t="s">
        <v>89</v>
      </c>
      <c r="P102" s="15">
        <v>0</v>
      </c>
      <c r="Q102" s="16" t="str">
        <f ca="1">IF(AND(O102&lt;&gt;"Complete",I102&lt;TODAY()),"OVERDUE","")</f>
        <v/>
      </c>
      <c r="R102" s="13"/>
    </row>
    <row r="103" spans="1:18" ht="23.85">
      <c r="A103" s="5" t="s">
        <v>724</v>
      </c>
      <c r="B103" s="1" t="s">
        <v>68</v>
      </c>
      <c r="C103" s="1" t="s">
        <v>694</v>
      </c>
      <c r="D103" s="1" t="s">
        <v>725</v>
      </c>
      <c r="E103" s="1" t="s">
        <v>726</v>
      </c>
      <c r="F103" s="1" t="s">
        <v>42</v>
      </c>
      <c r="G103" s="1"/>
      <c r="H103" s="11">
        <v>46336</v>
      </c>
      <c r="I103" s="11">
        <v>46337</v>
      </c>
      <c r="J103" s="1">
        <f>NETWORKDAYS(H103,I103,Holidays!$A$5:$A$12)</f>
        <v>2</v>
      </c>
      <c r="K103" s="1" t="s">
        <v>700</v>
      </c>
      <c r="L103" s="1" t="s">
        <v>722</v>
      </c>
      <c r="M103" s="1" t="s">
        <v>727</v>
      </c>
      <c r="N103" s="1" t="s">
        <v>699</v>
      </c>
      <c r="O103" s="1" t="s">
        <v>89</v>
      </c>
      <c r="P103" s="10">
        <v>0</v>
      </c>
      <c r="Q103" s="8" t="str">
        <f ca="1">IF(AND(O103&lt;&gt;"Complete",I103&lt;TODAY()),"OVERDUE","")</f>
        <v/>
      </c>
      <c r="R103" s="1"/>
    </row>
    <row r="104" spans="1:18" ht="23.85">
      <c r="A104" s="12" t="s">
        <v>728</v>
      </c>
      <c r="B104" s="13" t="s">
        <v>68</v>
      </c>
      <c r="C104" s="13" t="s">
        <v>694</v>
      </c>
      <c r="D104" s="13" t="s">
        <v>729</v>
      </c>
      <c r="E104" s="13" t="s">
        <v>730</v>
      </c>
      <c r="F104" s="13" t="s">
        <v>44</v>
      </c>
      <c r="G104" s="13" t="s">
        <v>731</v>
      </c>
      <c r="H104" s="14">
        <v>46337</v>
      </c>
      <c r="I104" s="14">
        <v>46339</v>
      </c>
      <c r="J104" s="13">
        <f>NETWORKDAYS(H104,I104,Holidays!$A$5:$A$12)</f>
        <v>3</v>
      </c>
      <c r="K104" s="13" t="s">
        <v>700</v>
      </c>
      <c r="L104" s="13" t="s">
        <v>722</v>
      </c>
      <c r="M104" s="13" t="s">
        <v>732</v>
      </c>
      <c r="N104" s="13" t="s">
        <v>699</v>
      </c>
      <c r="O104" s="13" t="s">
        <v>89</v>
      </c>
      <c r="P104" s="15">
        <v>0</v>
      </c>
      <c r="Q104" s="16" t="str">
        <f ca="1">IF(AND(O104&lt;&gt;"Complete",I104&lt;TODAY()),"OVERDUE","")</f>
        <v/>
      </c>
      <c r="R104" s="13"/>
    </row>
    <row r="105" spans="1:18">
      <c r="A105" s="5" t="s">
        <v>733</v>
      </c>
      <c r="B105" s="1" t="s">
        <v>68</v>
      </c>
      <c r="C105" s="1" t="s">
        <v>701</v>
      </c>
      <c r="D105" s="1" t="s">
        <v>734</v>
      </c>
      <c r="E105" s="1" t="s">
        <v>735</v>
      </c>
      <c r="F105" s="1" t="s">
        <v>36</v>
      </c>
      <c r="G105" s="1"/>
      <c r="H105" s="11">
        <v>46335</v>
      </c>
      <c r="I105" s="11">
        <v>46338</v>
      </c>
      <c r="J105" s="1">
        <f>NETWORKDAYS(H105,I105,Holidays!$A$5:$A$12)</f>
        <v>4</v>
      </c>
      <c r="K105" s="1" t="s">
        <v>304</v>
      </c>
      <c r="L105" s="1" t="s">
        <v>734</v>
      </c>
      <c r="M105" s="1" t="s">
        <v>736</v>
      </c>
      <c r="N105" s="1" t="s">
        <v>699</v>
      </c>
      <c r="O105" s="1" t="s">
        <v>89</v>
      </c>
      <c r="P105" s="10">
        <v>0</v>
      </c>
      <c r="Q105" s="8" t="str">
        <f ca="1">IF(AND(O105&lt;&gt;"Complete",I105&lt;TODAY()),"OVERDUE","")</f>
        <v/>
      </c>
      <c r="R105" s="1"/>
    </row>
    <row r="106" spans="1:18" ht="23.85">
      <c r="A106" s="12" t="s">
        <v>737</v>
      </c>
      <c r="B106" s="13" t="s">
        <v>68</v>
      </c>
      <c r="C106" s="13" t="s">
        <v>212</v>
      </c>
      <c r="D106" s="13" t="s">
        <v>738</v>
      </c>
      <c r="E106" s="13" t="s">
        <v>739</v>
      </c>
      <c r="F106" s="13" t="s">
        <v>30</v>
      </c>
      <c r="G106" s="13"/>
      <c r="H106" s="14">
        <v>46338</v>
      </c>
      <c r="I106" s="14">
        <v>46339</v>
      </c>
      <c r="J106" s="13">
        <f>NETWORKDAYS(H106,I106,Holidays!$A$5:$A$12)</f>
        <v>2</v>
      </c>
      <c r="K106" s="13" t="s">
        <v>687</v>
      </c>
      <c r="L106" s="13" t="s">
        <v>740</v>
      </c>
      <c r="M106" s="13" t="s">
        <v>741</v>
      </c>
      <c r="N106" s="13" t="s">
        <v>147</v>
      </c>
      <c r="O106" s="13" t="s">
        <v>89</v>
      </c>
      <c r="P106" s="15">
        <v>0</v>
      </c>
      <c r="Q106" s="16" t="str">
        <f ca="1">IF(AND(O106&lt;&gt;"Complete",I106&lt;TODAY()),"OVERDUE","")</f>
        <v/>
      </c>
      <c r="R106" s="13"/>
    </row>
    <row r="107" spans="1:18">
      <c r="A107" s="5" t="s">
        <v>742</v>
      </c>
      <c r="B107" s="1" t="s">
        <v>68</v>
      </c>
      <c r="C107" s="1" t="s">
        <v>285</v>
      </c>
      <c r="D107" s="1" t="s">
        <v>743</v>
      </c>
      <c r="E107" s="1" t="s">
        <v>744</v>
      </c>
      <c r="F107" s="1" t="s">
        <v>47</v>
      </c>
      <c r="G107" s="1" t="s">
        <v>27</v>
      </c>
      <c r="H107" s="11">
        <v>46335</v>
      </c>
      <c r="I107" s="11">
        <v>46339</v>
      </c>
      <c r="J107" s="1">
        <f>NETWORKDAYS(H107,I107,Holidays!$A$5:$A$12)</f>
        <v>5</v>
      </c>
      <c r="K107" s="1" t="s">
        <v>687</v>
      </c>
      <c r="L107" s="1" t="s">
        <v>745</v>
      </c>
      <c r="M107" s="1" t="s">
        <v>746</v>
      </c>
      <c r="N107" s="1" t="s">
        <v>747</v>
      </c>
      <c r="O107" s="1" t="s">
        <v>89</v>
      </c>
      <c r="P107" s="10">
        <v>0</v>
      </c>
      <c r="Q107" s="8" t="str">
        <f ca="1">IF(AND(O107&lt;&gt;"Complete",I107&lt;TODAY()),"OVERDUE","")</f>
        <v/>
      </c>
      <c r="R107" s="1"/>
    </row>
    <row r="108" spans="1:18" ht="23.85">
      <c r="A108" s="12" t="s">
        <v>748</v>
      </c>
      <c r="B108" s="13" t="s">
        <v>71</v>
      </c>
      <c r="C108" s="13" t="s">
        <v>749</v>
      </c>
      <c r="D108" s="13" t="s">
        <v>750</v>
      </c>
      <c r="E108" s="13" t="s">
        <v>751</v>
      </c>
      <c r="F108" s="13" t="s">
        <v>27</v>
      </c>
      <c r="G108" s="13" t="s">
        <v>752</v>
      </c>
      <c r="H108" s="14">
        <v>46342</v>
      </c>
      <c r="I108" s="14">
        <v>46353</v>
      </c>
      <c r="J108" s="13">
        <f>NETWORKDAYS(H108,I108,Holidays!$A$5:$A$12)</f>
        <v>10</v>
      </c>
      <c r="K108" s="13" t="s">
        <v>753</v>
      </c>
      <c r="L108" s="13" t="s">
        <v>754</v>
      </c>
      <c r="M108" s="13" t="s">
        <v>755</v>
      </c>
      <c r="N108" s="13" t="s">
        <v>747</v>
      </c>
      <c r="O108" s="13" t="s">
        <v>89</v>
      </c>
      <c r="P108" s="15">
        <v>0</v>
      </c>
      <c r="Q108" s="16" t="str">
        <f ca="1">IF(AND(O108&lt;&gt;"Complete",I108&lt;TODAY()),"OVERDUE","")</f>
        <v/>
      </c>
      <c r="R108" s="13"/>
    </row>
    <row r="109" spans="1:18">
      <c r="A109" s="5" t="s">
        <v>756</v>
      </c>
      <c r="B109" s="1" t="s">
        <v>71</v>
      </c>
      <c r="C109" s="1" t="s">
        <v>749</v>
      </c>
      <c r="D109" s="1" t="s">
        <v>757</v>
      </c>
      <c r="E109" s="1" t="s">
        <v>758</v>
      </c>
      <c r="F109" s="1" t="s">
        <v>39</v>
      </c>
      <c r="G109" s="1"/>
      <c r="H109" s="11">
        <v>46342</v>
      </c>
      <c r="I109" s="11">
        <v>46352</v>
      </c>
      <c r="J109" s="1">
        <f>NETWORKDAYS(H109,I109,Holidays!$A$5:$A$12)</f>
        <v>9</v>
      </c>
      <c r="K109" s="1" t="s">
        <v>748</v>
      </c>
      <c r="L109" s="1" t="s">
        <v>759</v>
      </c>
      <c r="M109" s="1" t="s">
        <v>760</v>
      </c>
      <c r="N109" s="1" t="s">
        <v>123</v>
      </c>
      <c r="O109" s="1" t="s">
        <v>89</v>
      </c>
      <c r="P109" s="10">
        <v>0</v>
      </c>
      <c r="Q109" s="8" t="str">
        <f ca="1">IF(AND(O109&lt;&gt;"Complete",I109&lt;TODAY()),"OVERDUE","")</f>
        <v/>
      </c>
      <c r="R109" s="1"/>
    </row>
    <row r="110" spans="1:18">
      <c r="A110" s="12" t="s">
        <v>761</v>
      </c>
      <c r="B110" s="13" t="s">
        <v>71</v>
      </c>
      <c r="C110" s="13" t="s">
        <v>749</v>
      </c>
      <c r="D110" s="13" t="s">
        <v>762</v>
      </c>
      <c r="E110" s="13" t="s">
        <v>758</v>
      </c>
      <c r="F110" s="13" t="s">
        <v>42</v>
      </c>
      <c r="G110" s="13"/>
      <c r="H110" s="14">
        <v>46342</v>
      </c>
      <c r="I110" s="14">
        <v>46352</v>
      </c>
      <c r="J110" s="13">
        <f>NETWORKDAYS(H110,I110,Holidays!$A$5:$A$12)</f>
        <v>9</v>
      </c>
      <c r="K110" s="13" t="s">
        <v>748</v>
      </c>
      <c r="L110" s="13" t="s">
        <v>759</v>
      </c>
      <c r="M110" s="13" t="s">
        <v>760</v>
      </c>
      <c r="N110" s="13" t="s">
        <v>123</v>
      </c>
      <c r="O110" s="13" t="s">
        <v>89</v>
      </c>
      <c r="P110" s="15">
        <v>0</v>
      </c>
      <c r="Q110" s="16" t="str">
        <f ca="1">IF(AND(O110&lt;&gt;"Complete",I110&lt;TODAY()),"OVERDUE","")</f>
        <v/>
      </c>
      <c r="R110" s="13"/>
    </row>
    <row r="111" spans="1:18" ht="23.85">
      <c r="A111" s="5" t="s">
        <v>763</v>
      </c>
      <c r="B111" s="1" t="s">
        <v>71</v>
      </c>
      <c r="C111" s="1" t="s">
        <v>749</v>
      </c>
      <c r="D111" s="1" t="s">
        <v>764</v>
      </c>
      <c r="E111" s="1" t="s">
        <v>758</v>
      </c>
      <c r="F111" s="1" t="s">
        <v>44</v>
      </c>
      <c r="G111" s="1"/>
      <c r="H111" s="11">
        <v>46342</v>
      </c>
      <c r="I111" s="11">
        <v>46352</v>
      </c>
      <c r="J111" s="1">
        <f>NETWORKDAYS(H111,I111,Holidays!$A$5:$A$12)</f>
        <v>9</v>
      </c>
      <c r="K111" s="1" t="s">
        <v>748</v>
      </c>
      <c r="L111" s="1" t="s">
        <v>759</v>
      </c>
      <c r="M111" s="1" t="s">
        <v>760</v>
      </c>
      <c r="N111" s="1" t="s">
        <v>123</v>
      </c>
      <c r="O111" s="1" t="s">
        <v>89</v>
      </c>
      <c r="P111" s="10">
        <v>0</v>
      </c>
      <c r="Q111" s="8" t="str">
        <f ca="1">IF(AND(O111&lt;&gt;"Complete",I111&lt;TODAY()),"OVERDUE","")</f>
        <v/>
      </c>
      <c r="R111" s="1"/>
    </row>
    <row r="112" spans="1:18">
      <c r="A112" s="12" t="s">
        <v>765</v>
      </c>
      <c r="B112" s="13" t="s">
        <v>71</v>
      </c>
      <c r="C112" s="13" t="s">
        <v>749</v>
      </c>
      <c r="D112" s="13" t="s">
        <v>766</v>
      </c>
      <c r="E112" s="13" t="s">
        <v>758</v>
      </c>
      <c r="F112" s="13" t="s">
        <v>33</v>
      </c>
      <c r="G112" s="13"/>
      <c r="H112" s="14">
        <v>46342</v>
      </c>
      <c r="I112" s="14">
        <v>46352</v>
      </c>
      <c r="J112" s="13">
        <f>NETWORKDAYS(H112,I112,Holidays!$A$5:$A$12)</f>
        <v>9</v>
      </c>
      <c r="K112" s="13" t="s">
        <v>748</v>
      </c>
      <c r="L112" s="13" t="s">
        <v>759</v>
      </c>
      <c r="M112" s="13" t="s">
        <v>760</v>
      </c>
      <c r="N112" s="13" t="s">
        <v>123</v>
      </c>
      <c r="O112" s="13" t="s">
        <v>89</v>
      </c>
      <c r="P112" s="15">
        <v>0</v>
      </c>
      <c r="Q112" s="16" t="str">
        <f ca="1">IF(AND(O112&lt;&gt;"Complete",I112&lt;TODAY()),"OVERDUE","")</f>
        <v/>
      </c>
      <c r="R112" s="13"/>
    </row>
    <row r="113" spans="1:18">
      <c r="A113" s="5" t="s">
        <v>767</v>
      </c>
      <c r="B113" s="1" t="s">
        <v>71</v>
      </c>
      <c r="C113" s="1" t="s">
        <v>749</v>
      </c>
      <c r="D113" s="1" t="s">
        <v>768</v>
      </c>
      <c r="E113" s="1" t="s">
        <v>769</v>
      </c>
      <c r="F113" s="1" t="s">
        <v>36</v>
      </c>
      <c r="G113" s="1"/>
      <c r="H113" s="11">
        <v>46342</v>
      </c>
      <c r="I113" s="11">
        <v>46352</v>
      </c>
      <c r="J113" s="1">
        <f>NETWORKDAYS(H113,I113,Holidays!$A$5:$A$12)</f>
        <v>9</v>
      </c>
      <c r="K113" s="1" t="s">
        <v>748</v>
      </c>
      <c r="L113" s="1" t="s">
        <v>759</v>
      </c>
      <c r="M113" s="1" t="s">
        <v>760</v>
      </c>
      <c r="N113" s="1" t="s">
        <v>123</v>
      </c>
      <c r="O113" s="1" t="s">
        <v>89</v>
      </c>
      <c r="P113" s="10">
        <v>0</v>
      </c>
      <c r="Q113" s="8" t="str">
        <f ca="1">IF(AND(O113&lt;&gt;"Complete",I113&lt;TODAY()),"OVERDUE","")</f>
        <v/>
      </c>
      <c r="R113" s="1"/>
    </row>
    <row r="114" spans="1:18">
      <c r="A114" s="12" t="s">
        <v>770</v>
      </c>
      <c r="B114" s="13" t="s">
        <v>71</v>
      </c>
      <c r="C114" s="13" t="s">
        <v>749</v>
      </c>
      <c r="D114" s="13" t="s">
        <v>771</v>
      </c>
      <c r="E114" s="13" t="s">
        <v>772</v>
      </c>
      <c r="F114" s="13" t="s">
        <v>27</v>
      </c>
      <c r="G114" s="13"/>
      <c r="H114" s="14">
        <v>46353</v>
      </c>
      <c r="I114" s="14">
        <v>46353</v>
      </c>
      <c r="J114" s="13">
        <f>NETWORKDAYS(H114,I114,Holidays!$A$5:$A$12)</f>
        <v>1</v>
      </c>
      <c r="K114" s="13" t="s">
        <v>748</v>
      </c>
      <c r="L114" s="13" t="s">
        <v>773</v>
      </c>
      <c r="M114" s="13" t="s">
        <v>774</v>
      </c>
      <c r="N114" s="13" t="s">
        <v>692</v>
      </c>
      <c r="O114" s="13" t="s">
        <v>89</v>
      </c>
      <c r="P114" s="15">
        <v>0</v>
      </c>
      <c r="Q114" s="16" t="str">
        <f ca="1">IF(AND(O114&lt;&gt;"Complete",I114&lt;TODAY()),"OVERDUE","")</f>
        <v/>
      </c>
      <c r="R114" s="13"/>
    </row>
    <row r="115" spans="1:18" ht="23.85">
      <c r="A115" s="5" t="s">
        <v>775</v>
      </c>
      <c r="B115" s="1" t="s">
        <v>74</v>
      </c>
      <c r="C115" s="1" t="s">
        <v>776</v>
      </c>
      <c r="D115" s="1" t="s">
        <v>777</v>
      </c>
      <c r="E115" s="1" t="s">
        <v>778</v>
      </c>
      <c r="F115" s="1" t="s">
        <v>30</v>
      </c>
      <c r="G115" s="1" t="s">
        <v>27</v>
      </c>
      <c r="H115" s="11">
        <v>46342</v>
      </c>
      <c r="I115" s="11">
        <v>46346</v>
      </c>
      <c r="J115" s="1">
        <f>NETWORKDAYS(H115,I115,Holidays!$A$5:$A$12)</f>
        <v>5</v>
      </c>
      <c r="K115" s="1" t="s">
        <v>211</v>
      </c>
      <c r="L115" s="1" t="s">
        <v>779</v>
      </c>
      <c r="M115" s="1" t="s">
        <v>780</v>
      </c>
      <c r="N115" s="1" t="s">
        <v>781</v>
      </c>
      <c r="O115" s="1" t="s">
        <v>89</v>
      </c>
      <c r="P115" s="10">
        <v>0</v>
      </c>
      <c r="Q115" s="8" t="str">
        <f ca="1">IF(AND(O115&lt;&gt;"Complete",I115&lt;TODAY()),"OVERDUE","")</f>
        <v/>
      </c>
      <c r="R115" s="1"/>
    </row>
    <row r="116" spans="1:18">
      <c r="A116" s="12" t="s">
        <v>782</v>
      </c>
      <c r="B116" s="13" t="s">
        <v>74</v>
      </c>
      <c r="C116" s="13" t="s">
        <v>776</v>
      </c>
      <c r="D116" s="13" t="s">
        <v>783</v>
      </c>
      <c r="E116" s="13" t="s">
        <v>784</v>
      </c>
      <c r="F116" s="13" t="s">
        <v>30</v>
      </c>
      <c r="G116" s="13"/>
      <c r="H116" s="14">
        <v>46350</v>
      </c>
      <c r="I116" s="14">
        <v>46350</v>
      </c>
      <c r="J116" s="13">
        <f>NETWORKDAYS(H116,I116,Holidays!$A$5:$A$12)</f>
        <v>1</v>
      </c>
      <c r="K116" s="13" t="s">
        <v>775</v>
      </c>
      <c r="L116" s="13" t="s">
        <v>785</v>
      </c>
      <c r="M116" s="13" t="s">
        <v>741</v>
      </c>
      <c r="N116" s="13" t="s">
        <v>781</v>
      </c>
      <c r="O116" s="13" t="s">
        <v>89</v>
      </c>
      <c r="P116" s="15">
        <v>0</v>
      </c>
      <c r="Q116" s="16" t="str">
        <f ca="1">IF(AND(O116&lt;&gt;"Complete",I116&lt;TODAY()),"OVERDUE","")</f>
        <v/>
      </c>
      <c r="R116" s="13"/>
    </row>
    <row r="117" spans="1:18">
      <c r="A117" s="5" t="s">
        <v>786</v>
      </c>
      <c r="B117" s="1" t="s">
        <v>74</v>
      </c>
      <c r="C117" s="1" t="s">
        <v>776</v>
      </c>
      <c r="D117" s="1" t="s">
        <v>787</v>
      </c>
      <c r="E117" s="1" t="s">
        <v>788</v>
      </c>
      <c r="F117" s="1" t="s">
        <v>33</v>
      </c>
      <c r="G117" s="1" t="s">
        <v>36</v>
      </c>
      <c r="H117" s="11">
        <v>46350</v>
      </c>
      <c r="I117" s="11">
        <v>46351</v>
      </c>
      <c r="J117" s="1">
        <f>NETWORKDAYS(H117,I117,Holidays!$A$5:$A$12)</f>
        <v>2</v>
      </c>
      <c r="K117" s="1" t="s">
        <v>782</v>
      </c>
      <c r="L117" s="1" t="s">
        <v>789</v>
      </c>
      <c r="M117" s="1" t="s">
        <v>790</v>
      </c>
      <c r="N117" s="1" t="s">
        <v>781</v>
      </c>
      <c r="O117" s="1" t="s">
        <v>89</v>
      </c>
      <c r="P117" s="10">
        <v>0</v>
      </c>
      <c r="Q117" s="8" t="str">
        <f ca="1">IF(AND(O117&lt;&gt;"Complete",I117&lt;TODAY()),"OVERDUE","")</f>
        <v/>
      </c>
      <c r="R117" s="1"/>
    </row>
    <row r="118" spans="1:18" ht="23.85">
      <c r="A118" s="12" t="s">
        <v>791</v>
      </c>
      <c r="B118" s="13" t="s">
        <v>74</v>
      </c>
      <c r="C118" s="13" t="s">
        <v>776</v>
      </c>
      <c r="D118" s="13" t="s">
        <v>792</v>
      </c>
      <c r="E118" s="13" t="s">
        <v>793</v>
      </c>
      <c r="F118" s="13" t="s">
        <v>33</v>
      </c>
      <c r="G118" s="13"/>
      <c r="H118" s="14">
        <v>46351</v>
      </c>
      <c r="I118" s="14">
        <v>46353</v>
      </c>
      <c r="J118" s="13">
        <f>NETWORKDAYS(H118,I118,Holidays!$A$5:$A$12)</f>
        <v>3</v>
      </c>
      <c r="K118" s="13" t="s">
        <v>786</v>
      </c>
      <c r="L118" s="13" t="s">
        <v>794</v>
      </c>
      <c r="M118" s="13" t="s">
        <v>795</v>
      </c>
      <c r="N118" s="13" t="s">
        <v>781</v>
      </c>
      <c r="O118" s="13" t="s">
        <v>89</v>
      </c>
      <c r="P118" s="15">
        <v>0</v>
      </c>
      <c r="Q118" s="16" t="str">
        <f ca="1">IF(AND(O118&lt;&gt;"Complete",I118&lt;TODAY()),"OVERDUE","")</f>
        <v/>
      </c>
      <c r="R118" s="13"/>
    </row>
    <row r="119" spans="1:18" ht="23.85">
      <c r="A119" s="5" t="s">
        <v>796</v>
      </c>
      <c r="B119" s="1" t="s">
        <v>74</v>
      </c>
      <c r="C119" s="1" t="s">
        <v>797</v>
      </c>
      <c r="D119" s="1" t="s">
        <v>798</v>
      </c>
      <c r="E119" s="1" t="s">
        <v>799</v>
      </c>
      <c r="F119" s="1" t="s">
        <v>33</v>
      </c>
      <c r="G119" s="1" t="s">
        <v>36</v>
      </c>
      <c r="H119" s="11">
        <v>46352</v>
      </c>
      <c r="I119" s="11">
        <v>46358</v>
      </c>
      <c r="J119" s="1">
        <f>NETWORKDAYS(H119,I119,Holidays!$A$5:$A$12)</f>
        <v>5</v>
      </c>
      <c r="K119" s="1" t="s">
        <v>658</v>
      </c>
      <c r="L119" s="1" t="s">
        <v>800</v>
      </c>
      <c r="M119" s="1" t="s">
        <v>801</v>
      </c>
      <c r="N119" s="1" t="s">
        <v>802</v>
      </c>
      <c r="O119" s="1" t="s">
        <v>89</v>
      </c>
      <c r="P119" s="10">
        <v>0</v>
      </c>
      <c r="Q119" s="8" t="str">
        <f ca="1">IF(AND(O119&lt;&gt;"Complete",I119&lt;TODAY()),"OVERDUE","")</f>
        <v/>
      </c>
      <c r="R119" s="1"/>
    </row>
    <row r="120" spans="1:18" ht="23.85">
      <c r="A120" s="12" t="s">
        <v>803</v>
      </c>
      <c r="B120" s="13" t="s">
        <v>74</v>
      </c>
      <c r="C120" s="13" t="s">
        <v>804</v>
      </c>
      <c r="D120" s="13" t="s">
        <v>805</v>
      </c>
      <c r="E120" s="13" t="s">
        <v>806</v>
      </c>
      <c r="F120" s="13" t="s">
        <v>27</v>
      </c>
      <c r="G120" s="13" t="s">
        <v>30</v>
      </c>
      <c r="H120" s="14">
        <v>46353</v>
      </c>
      <c r="I120" s="14">
        <v>46353</v>
      </c>
      <c r="J120" s="13">
        <f>NETWORKDAYS(H120,I120,Holidays!$A$5:$A$12)</f>
        <v>1</v>
      </c>
      <c r="K120" s="13" t="s">
        <v>807</v>
      </c>
      <c r="L120" s="13" t="s">
        <v>808</v>
      </c>
      <c r="M120" s="13" t="s">
        <v>809</v>
      </c>
      <c r="N120" s="13" t="s">
        <v>810</v>
      </c>
      <c r="O120" s="13" t="s">
        <v>89</v>
      </c>
      <c r="P120" s="15">
        <v>0</v>
      </c>
      <c r="Q120" s="16" t="str">
        <f ca="1">IF(AND(O120&lt;&gt;"Complete",I120&lt;TODAY()),"OVERDUE","")</f>
        <v/>
      </c>
      <c r="R120" s="13"/>
    </row>
    <row r="121" spans="1:18" ht="23.85">
      <c r="A121" s="5" t="s">
        <v>811</v>
      </c>
      <c r="B121" s="1" t="s">
        <v>74</v>
      </c>
      <c r="C121" s="1" t="s">
        <v>776</v>
      </c>
      <c r="D121" s="1" t="s">
        <v>812</v>
      </c>
      <c r="E121" s="1" t="s">
        <v>813</v>
      </c>
      <c r="F121" s="1" t="s">
        <v>30</v>
      </c>
      <c r="G121" s="1"/>
      <c r="H121" s="11">
        <v>46356</v>
      </c>
      <c r="I121" s="11">
        <v>46356</v>
      </c>
      <c r="J121" s="1">
        <f>NETWORKDAYS(H121,I121,Holidays!$A$5:$A$12)</f>
        <v>1</v>
      </c>
      <c r="K121" s="1" t="s">
        <v>803</v>
      </c>
      <c r="L121" s="1" t="s">
        <v>814</v>
      </c>
      <c r="M121" s="1" t="s">
        <v>741</v>
      </c>
      <c r="N121" s="1" t="s">
        <v>781</v>
      </c>
      <c r="O121" s="1" t="s">
        <v>89</v>
      </c>
      <c r="P121" s="10">
        <v>0</v>
      </c>
      <c r="Q121" s="8" t="str">
        <f ca="1">IF(AND(O121&lt;&gt;"Complete",I121&lt;TODAY()),"OVERDUE","")</f>
        <v/>
      </c>
      <c r="R121" s="1"/>
    </row>
    <row r="122" spans="1:18" ht="23.85">
      <c r="A122" s="12" t="s">
        <v>815</v>
      </c>
      <c r="B122" s="13" t="s">
        <v>74</v>
      </c>
      <c r="C122" s="13" t="s">
        <v>816</v>
      </c>
      <c r="D122" s="13" t="s">
        <v>817</v>
      </c>
      <c r="E122" s="13" t="s">
        <v>818</v>
      </c>
      <c r="F122" s="13" t="s">
        <v>27</v>
      </c>
      <c r="G122" s="13" t="s">
        <v>120</v>
      </c>
      <c r="H122" s="14">
        <v>46357</v>
      </c>
      <c r="I122" s="14">
        <v>46359</v>
      </c>
      <c r="J122" s="13">
        <f>NETWORKDAYS(H122,I122,Holidays!$A$5:$A$12)</f>
        <v>3</v>
      </c>
      <c r="K122" s="13" t="s">
        <v>811</v>
      </c>
      <c r="L122" s="13" t="s">
        <v>819</v>
      </c>
      <c r="M122" s="13" t="s">
        <v>820</v>
      </c>
      <c r="N122" s="13" t="s">
        <v>652</v>
      </c>
      <c r="O122" s="13" t="s">
        <v>89</v>
      </c>
      <c r="P122" s="15">
        <v>0</v>
      </c>
      <c r="Q122" s="16" t="str">
        <f ca="1">IF(AND(O122&lt;&gt;"Complete",I122&lt;TODAY()),"OVERDUE","")</f>
        <v/>
      </c>
      <c r="R122" s="13"/>
    </row>
    <row r="123" spans="1:18" ht="23.85">
      <c r="A123" s="5" t="s">
        <v>821</v>
      </c>
      <c r="B123" s="1" t="s">
        <v>77</v>
      </c>
      <c r="C123" s="1" t="s">
        <v>816</v>
      </c>
      <c r="D123" s="1" t="s">
        <v>822</v>
      </c>
      <c r="E123" s="1" t="s">
        <v>823</v>
      </c>
      <c r="F123" s="1" t="s">
        <v>33</v>
      </c>
      <c r="G123" s="1" t="s">
        <v>824</v>
      </c>
      <c r="H123" s="11">
        <v>46359</v>
      </c>
      <c r="I123" s="11">
        <v>46365</v>
      </c>
      <c r="J123" s="1">
        <f>NETWORKDAYS(H123,I123,Holidays!$A$5:$A$12)</f>
        <v>5</v>
      </c>
      <c r="K123" s="1" t="s">
        <v>815</v>
      </c>
      <c r="L123" s="1" t="s">
        <v>661</v>
      </c>
      <c r="M123" s="1" t="s">
        <v>825</v>
      </c>
      <c r="N123" s="1" t="s">
        <v>826</v>
      </c>
      <c r="O123" s="1" t="s">
        <v>89</v>
      </c>
      <c r="P123" s="10">
        <v>0</v>
      </c>
      <c r="Q123" s="8" t="str">
        <f ca="1">IF(AND(O123&lt;&gt;"Complete",I123&lt;TODAY()),"OVERDUE","")</f>
        <v/>
      </c>
      <c r="R123" s="1"/>
    </row>
    <row r="124" spans="1:18">
      <c r="A124" s="12" t="s">
        <v>827</v>
      </c>
      <c r="B124" s="13" t="s">
        <v>77</v>
      </c>
      <c r="C124" s="13" t="s">
        <v>816</v>
      </c>
      <c r="D124" s="13" t="s">
        <v>828</v>
      </c>
      <c r="E124" s="13" t="s">
        <v>829</v>
      </c>
      <c r="F124" s="13" t="s">
        <v>27</v>
      </c>
      <c r="G124" s="13" t="s">
        <v>44</v>
      </c>
      <c r="H124" s="14">
        <v>46365</v>
      </c>
      <c r="I124" s="14">
        <v>46365</v>
      </c>
      <c r="J124" s="13">
        <f>NETWORKDAYS(H124,I124,Holidays!$A$5:$A$12)</f>
        <v>1</v>
      </c>
      <c r="K124" s="13" t="s">
        <v>821</v>
      </c>
      <c r="L124" s="13" t="s">
        <v>830</v>
      </c>
      <c r="M124" s="13" t="s">
        <v>831</v>
      </c>
      <c r="N124" s="13" t="s">
        <v>600</v>
      </c>
      <c r="O124" s="13" t="s">
        <v>89</v>
      </c>
      <c r="P124" s="15">
        <v>0</v>
      </c>
      <c r="Q124" s="16" t="str">
        <f ca="1">IF(AND(O124&lt;&gt;"Complete",I124&lt;TODAY()),"OVERDUE","")</f>
        <v/>
      </c>
      <c r="R124" s="13"/>
    </row>
    <row r="125" spans="1:18" ht="23.85">
      <c r="A125" s="5" t="s">
        <v>832</v>
      </c>
      <c r="B125" s="1" t="s">
        <v>77</v>
      </c>
      <c r="C125" s="1" t="s">
        <v>833</v>
      </c>
      <c r="D125" s="1" t="s">
        <v>834</v>
      </c>
      <c r="E125" s="1" t="s">
        <v>835</v>
      </c>
      <c r="F125" s="1" t="s">
        <v>27</v>
      </c>
      <c r="G125" s="1" t="s">
        <v>120</v>
      </c>
      <c r="H125" s="11">
        <v>46357</v>
      </c>
      <c r="I125" s="11">
        <v>46367</v>
      </c>
      <c r="J125" s="1">
        <f>NETWORKDAYS(H125,I125,Holidays!$A$5:$A$12)</f>
        <v>9</v>
      </c>
      <c r="K125" s="1" t="s">
        <v>811</v>
      </c>
      <c r="L125" s="1" t="s">
        <v>836</v>
      </c>
      <c r="M125" s="1" t="s">
        <v>837</v>
      </c>
      <c r="N125" s="1" t="s">
        <v>838</v>
      </c>
      <c r="O125" s="1" t="s">
        <v>89</v>
      </c>
      <c r="P125" s="10">
        <v>0</v>
      </c>
      <c r="Q125" s="8" t="str">
        <f ca="1">IF(AND(O125&lt;&gt;"Complete",I125&lt;TODAY()),"OVERDUE","")</f>
        <v/>
      </c>
      <c r="R125" s="1"/>
    </row>
    <row r="126" spans="1:18">
      <c r="A126" s="12" t="s">
        <v>839</v>
      </c>
      <c r="B126" s="13" t="s">
        <v>77</v>
      </c>
      <c r="C126" s="13" t="s">
        <v>840</v>
      </c>
      <c r="D126" s="13" t="s">
        <v>841</v>
      </c>
      <c r="E126" s="13" t="s">
        <v>842</v>
      </c>
      <c r="F126" s="13" t="s">
        <v>30</v>
      </c>
      <c r="G126" s="13" t="s">
        <v>33</v>
      </c>
      <c r="H126" s="14">
        <v>46363</v>
      </c>
      <c r="I126" s="14">
        <v>46365</v>
      </c>
      <c r="J126" s="13">
        <f>NETWORKDAYS(H126,I126,Holidays!$A$5:$A$12)</f>
        <v>3</v>
      </c>
      <c r="K126" s="13"/>
      <c r="L126" s="13" t="s">
        <v>843</v>
      </c>
      <c r="M126" s="13" t="s">
        <v>844</v>
      </c>
      <c r="N126" s="13" t="s">
        <v>838</v>
      </c>
      <c r="O126" s="13" t="s">
        <v>89</v>
      </c>
      <c r="P126" s="15">
        <v>0</v>
      </c>
      <c r="Q126" s="16" t="str">
        <f ca="1">IF(AND(O126&lt;&gt;"Complete",I126&lt;TODAY()),"OVERDUE","")</f>
        <v/>
      </c>
      <c r="R126" s="13"/>
    </row>
    <row r="127" spans="1:18">
      <c r="A127" s="5" t="s">
        <v>845</v>
      </c>
      <c r="B127" s="1" t="s">
        <v>77</v>
      </c>
      <c r="C127" s="1" t="s">
        <v>840</v>
      </c>
      <c r="D127" s="1" t="s">
        <v>846</v>
      </c>
      <c r="E127" s="1" t="s">
        <v>847</v>
      </c>
      <c r="F127" s="1" t="s">
        <v>33</v>
      </c>
      <c r="G127" s="1"/>
      <c r="H127" s="11">
        <v>46363</v>
      </c>
      <c r="I127" s="11">
        <v>46365</v>
      </c>
      <c r="J127" s="1">
        <f>NETWORKDAYS(H127,I127,Holidays!$A$5:$A$12)</f>
        <v>3</v>
      </c>
      <c r="K127" s="1"/>
      <c r="L127" s="1" t="s">
        <v>848</v>
      </c>
      <c r="M127" s="1" t="s">
        <v>415</v>
      </c>
      <c r="N127" s="1" t="s">
        <v>849</v>
      </c>
      <c r="O127" s="1" t="s">
        <v>89</v>
      </c>
      <c r="P127" s="10">
        <v>0</v>
      </c>
      <c r="Q127" s="8" t="str">
        <f ca="1">IF(AND(O127&lt;&gt;"Complete",I127&lt;TODAY()),"OVERDUE","")</f>
        <v/>
      </c>
      <c r="R127" s="1"/>
    </row>
    <row r="128" spans="1:18" ht="23.85">
      <c r="A128" s="12" t="s">
        <v>850</v>
      </c>
      <c r="B128" s="13" t="s">
        <v>77</v>
      </c>
      <c r="C128" s="13" t="s">
        <v>840</v>
      </c>
      <c r="D128" s="13" t="s">
        <v>851</v>
      </c>
      <c r="E128" s="13" t="s">
        <v>852</v>
      </c>
      <c r="F128" s="13" t="s">
        <v>47</v>
      </c>
      <c r="G128" s="13" t="s">
        <v>30</v>
      </c>
      <c r="H128" s="14">
        <v>46363</v>
      </c>
      <c r="I128" s="14">
        <v>46367</v>
      </c>
      <c r="J128" s="13">
        <f>NETWORKDAYS(H128,I128,Holidays!$A$5:$A$12)</f>
        <v>5</v>
      </c>
      <c r="K128" s="13"/>
      <c r="L128" s="13" t="s">
        <v>853</v>
      </c>
      <c r="M128" s="13" t="s">
        <v>854</v>
      </c>
      <c r="N128" s="13" t="s">
        <v>838</v>
      </c>
      <c r="O128" s="13" t="s">
        <v>89</v>
      </c>
      <c r="P128" s="15">
        <v>0</v>
      </c>
      <c r="Q128" s="16" t="str">
        <f ca="1">IF(AND(O128&lt;&gt;"Complete",I128&lt;TODAY()),"OVERDUE","")</f>
        <v/>
      </c>
      <c r="R128" s="13"/>
    </row>
    <row r="129" spans="1:18">
      <c r="A129" s="5" t="s">
        <v>855</v>
      </c>
      <c r="B129" s="1" t="s">
        <v>77</v>
      </c>
      <c r="C129" s="1" t="s">
        <v>833</v>
      </c>
      <c r="D129" s="1" t="s">
        <v>856</v>
      </c>
      <c r="E129" s="1" t="s">
        <v>857</v>
      </c>
      <c r="F129" s="1" t="s">
        <v>27</v>
      </c>
      <c r="G129" s="1"/>
      <c r="H129" s="11">
        <v>46367</v>
      </c>
      <c r="I129" s="11">
        <v>46367</v>
      </c>
      <c r="J129" s="1">
        <f>NETWORKDAYS(H129,I129,Holidays!$A$5:$A$12)</f>
        <v>1</v>
      </c>
      <c r="K129" s="1" t="s">
        <v>832</v>
      </c>
      <c r="L129" s="1" t="s">
        <v>858</v>
      </c>
      <c r="M129" s="1" t="s">
        <v>859</v>
      </c>
      <c r="N129" s="1" t="s">
        <v>838</v>
      </c>
      <c r="O129" s="1" t="s">
        <v>89</v>
      </c>
      <c r="P129" s="10">
        <v>0</v>
      </c>
      <c r="Q129" s="8" t="str">
        <f ca="1">IF(AND(O129&lt;&gt;"Complete",I129&lt;TODAY()),"OVERDUE","")</f>
        <v/>
      </c>
      <c r="R129" s="1"/>
    </row>
    <row r="130" spans="1:18">
      <c r="A130" s="12" t="s">
        <v>860</v>
      </c>
      <c r="B130" s="13" t="s">
        <v>80</v>
      </c>
      <c r="C130" s="13" t="s">
        <v>861</v>
      </c>
      <c r="D130" s="13" t="s">
        <v>862</v>
      </c>
      <c r="E130" s="13" t="s">
        <v>863</v>
      </c>
      <c r="F130" s="13" t="s">
        <v>27</v>
      </c>
      <c r="G130" s="13" t="s">
        <v>30</v>
      </c>
      <c r="H130" s="14">
        <v>46370</v>
      </c>
      <c r="I130" s="14">
        <v>46373</v>
      </c>
      <c r="J130" s="13">
        <f>NETWORKDAYS(H130,I130,Holidays!$A$5:$A$12)</f>
        <v>4</v>
      </c>
      <c r="K130" s="13" t="s">
        <v>855</v>
      </c>
      <c r="L130" s="13" t="s">
        <v>864</v>
      </c>
      <c r="M130" s="13" t="s">
        <v>865</v>
      </c>
      <c r="N130" s="13" t="s">
        <v>866</v>
      </c>
      <c r="O130" s="13" t="s">
        <v>89</v>
      </c>
      <c r="P130" s="15">
        <v>0</v>
      </c>
      <c r="Q130" s="16" t="str">
        <f ca="1">IF(AND(O130&lt;&gt;"Complete",I130&lt;TODAY()),"OVERDUE","")</f>
        <v/>
      </c>
      <c r="R130" s="13"/>
    </row>
  </sheetData>
  <autoFilter ref="A4:R130" xr:uid="{00000000-0009-0000-0000-000002000000}"/>
  <conditionalFormatting sqref="O5:O130">
    <cfRule type="cellIs" dxfId="39" priority="2" operator="equal">
      <formula>"Complete"</formula>
    </cfRule>
    <cfRule type="cellIs" dxfId="38" priority="3" operator="equal">
      <formula>"In progress"</formula>
    </cfRule>
    <cfRule type="cellIs" dxfId="37" priority="4" operator="equal">
      <formula>"Blocked"</formula>
    </cfRule>
    <cfRule type="cellIs" dxfId="36" priority="5" operator="equal">
      <formula>"At risk"</formula>
    </cfRule>
  </conditionalFormatting>
  <conditionalFormatting sqref="A5:R130">
    <cfRule type="expression" dxfId="35" priority="6">
      <formula>$O5="Complete"</formula>
    </cfRule>
  </conditionalFormatting>
  <dataValidations count="2">
    <dataValidation type="list" sqref="O5:O130" xr:uid="{00000000-0002-0000-0200-000000000000}">
      <formula1>"Not started,In progress,Complete,Blocked,At risk"</formula1>
      <formula2>0</formula2>
    </dataValidation>
    <dataValidation type="decimal" sqref="P5:P130" xr:uid="{00000000-0002-0000-0200-000001000000}">
      <formula1>0</formula1>
      <formula2>1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"/>
  <sheetViews>
    <sheetView showGridLines="0" zoomScaleNormal="100" workbookViewId="0">
      <pane xSplit="1" ySplit="4" topLeftCell="B5" activePane="bottomRight" state="frozen"/>
      <selection pane="bottomRight"/>
      <selection pane="bottomLeft" activeCell="A5" sqref="A5"/>
      <selection pane="topRight" activeCell="B1" sqref="B1"/>
    </sheetView>
  </sheetViews>
  <sheetFormatPr defaultColWidth="8.7109375" defaultRowHeight="15"/>
  <cols>
    <col min="1" max="1" width="18" customWidth="1"/>
    <col min="2" max="6" width="36" customWidth="1"/>
  </cols>
  <sheetData>
    <row r="1" spans="1:6" ht="19.7">
      <c r="A1" s="2" t="s">
        <v>867</v>
      </c>
    </row>
    <row r="2" spans="1:6">
      <c r="A2" s="3" t="s">
        <v>868</v>
      </c>
    </row>
    <row r="4" spans="1:6" ht="30" customHeight="1">
      <c r="A4" s="9" t="s">
        <v>869</v>
      </c>
      <c r="B4" s="9" t="s">
        <v>870</v>
      </c>
      <c r="C4" s="9" t="s">
        <v>871</v>
      </c>
      <c r="D4" s="9" t="s">
        <v>872</v>
      </c>
      <c r="E4" s="9" t="s">
        <v>873</v>
      </c>
      <c r="F4" s="9" t="s">
        <v>874</v>
      </c>
    </row>
    <row r="5" spans="1:6" ht="61.5" customHeight="1">
      <c r="A5" s="12" t="s">
        <v>27</v>
      </c>
      <c r="B5" s="1" t="s">
        <v>875</v>
      </c>
      <c r="C5" s="1" t="s">
        <v>876</v>
      </c>
      <c r="D5" s="1" t="s">
        <v>877</v>
      </c>
      <c r="E5" s="1" t="s">
        <v>878</v>
      </c>
      <c r="F5" s="1" t="s">
        <v>879</v>
      </c>
    </row>
    <row r="6" spans="1:6" ht="61.5" customHeight="1">
      <c r="A6" s="12" t="s">
        <v>30</v>
      </c>
      <c r="B6" s="1" t="s">
        <v>880</v>
      </c>
      <c r="C6" s="1" t="s">
        <v>881</v>
      </c>
      <c r="D6" s="1" t="s">
        <v>882</v>
      </c>
      <c r="E6" s="1" t="s">
        <v>883</v>
      </c>
      <c r="F6" s="1" t="s">
        <v>884</v>
      </c>
    </row>
    <row r="7" spans="1:6" ht="61.5" customHeight="1">
      <c r="A7" s="12" t="s">
        <v>33</v>
      </c>
      <c r="B7" s="1" t="s">
        <v>885</v>
      </c>
      <c r="C7" s="1" t="s">
        <v>886</v>
      </c>
      <c r="D7" s="1" t="s">
        <v>887</v>
      </c>
      <c r="E7" s="1" t="s">
        <v>888</v>
      </c>
      <c r="F7" s="1" t="s">
        <v>889</v>
      </c>
    </row>
    <row r="8" spans="1:6" ht="61.5" customHeight="1">
      <c r="A8" s="12" t="s">
        <v>36</v>
      </c>
      <c r="B8" s="1" t="s">
        <v>890</v>
      </c>
      <c r="C8" s="1" t="s">
        <v>891</v>
      </c>
      <c r="D8" s="1" t="s">
        <v>892</v>
      </c>
      <c r="E8" s="1" t="s">
        <v>893</v>
      </c>
      <c r="F8" s="1" t="s">
        <v>894</v>
      </c>
    </row>
    <row r="9" spans="1:6" ht="61.5" customHeight="1">
      <c r="A9" s="12" t="s">
        <v>39</v>
      </c>
      <c r="B9" s="1" t="s">
        <v>895</v>
      </c>
      <c r="C9" s="1" t="s">
        <v>896</v>
      </c>
      <c r="D9" s="1" t="s">
        <v>897</v>
      </c>
      <c r="E9" s="1" t="s">
        <v>898</v>
      </c>
      <c r="F9" s="1" t="s">
        <v>899</v>
      </c>
    </row>
    <row r="10" spans="1:6" ht="61.5" customHeight="1">
      <c r="A10" s="12" t="s">
        <v>42</v>
      </c>
      <c r="B10" s="1" t="s">
        <v>900</v>
      </c>
      <c r="C10" s="1" t="s">
        <v>901</v>
      </c>
      <c r="D10" s="1" t="s">
        <v>902</v>
      </c>
      <c r="E10" s="1" t="s">
        <v>903</v>
      </c>
      <c r="F10" s="1" t="s">
        <v>904</v>
      </c>
    </row>
    <row r="11" spans="1:6" ht="61.5" customHeight="1">
      <c r="A11" s="12" t="s">
        <v>44</v>
      </c>
      <c r="B11" s="1" t="s">
        <v>905</v>
      </c>
      <c r="C11" s="1" t="s">
        <v>906</v>
      </c>
      <c r="D11" s="1" t="s">
        <v>907</v>
      </c>
      <c r="E11" s="1" t="s">
        <v>908</v>
      </c>
      <c r="F11" s="1" t="s">
        <v>909</v>
      </c>
    </row>
    <row r="12" spans="1:6" ht="61.5" customHeight="1">
      <c r="A12" s="12" t="s">
        <v>47</v>
      </c>
      <c r="B12" s="1" t="s">
        <v>910</v>
      </c>
      <c r="C12" s="1" t="s">
        <v>911</v>
      </c>
      <c r="D12" s="1" t="s">
        <v>912</v>
      </c>
      <c r="E12" s="1" t="s">
        <v>913</v>
      </c>
      <c r="F12" s="1" t="s">
        <v>914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30"/>
  <sheetViews>
    <sheetView showGridLines="0" zoomScaleNormal="100" workbookViewId="0">
      <pane xSplit="6" ySplit="4" topLeftCell="G5" activePane="bottomRight" state="frozen"/>
      <selection pane="bottomRight"/>
      <selection pane="bottomLeft" activeCell="A5" sqref="A5"/>
      <selection pane="topRight" activeCell="G1" sqref="G1"/>
    </sheetView>
  </sheetViews>
  <sheetFormatPr defaultColWidth="8.7109375" defaultRowHeight="15"/>
  <cols>
    <col min="1" max="1" width="8" customWidth="1"/>
    <col min="2" max="2" width="40" customWidth="1"/>
    <col min="3" max="3" width="16" customWidth="1"/>
    <col min="4" max="6" width="11" customWidth="1"/>
    <col min="7" max="18" width="7" customWidth="1"/>
  </cols>
  <sheetData>
    <row r="1" spans="1:18" ht="19.7">
      <c r="A1" s="2" t="s">
        <v>915</v>
      </c>
    </row>
    <row r="2" spans="1:18">
      <c r="A2" s="3" t="s">
        <v>916</v>
      </c>
    </row>
    <row r="4" spans="1:18" ht="48" customHeight="1">
      <c r="A4" s="9" t="s">
        <v>99</v>
      </c>
      <c r="B4" s="9" t="s">
        <v>101</v>
      </c>
      <c r="C4" s="9" t="s">
        <v>103</v>
      </c>
      <c r="D4" s="9" t="s">
        <v>105</v>
      </c>
      <c r="E4" s="9" t="s">
        <v>106</v>
      </c>
      <c r="F4" s="9" t="s">
        <v>112</v>
      </c>
      <c r="G4" s="18">
        <v>46293</v>
      </c>
      <c r="H4" s="18">
        <v>46300</v>
      </c>
      <c r="I4" s="18">
        <v>46307</v>
      </c>
      <c r="J4" s="18">
        <v>46314</v>
      </c>
      <c r="K4" s="18">
        <v>46321</v>
      </c>
      <c r="L4" s="18">
        <v>46328</v>
      </c>
      <c r="M4" s="18">
        <v>46335</v>
      </c>
      <c r="N4" s="18">
        <v>46342</v>
      </c>
      <c r="O4" s="18">
        <v>46349</v>
      </c>
      <c r="P4" s="18">
        <v>46356</v>
      </c>
      <c r="Q4" s="18">
        <v>46363</v>
      </c>
      <c r="R4" s="18">
        <v>46370</v>
      </c>
    </row>
    <row r="5" spans="1:18">
      <c r="A5" s="19" t="str">
        <f>IF('Master Plan'!A5="","",'Master Plan'!A5)</f>
        <v>PM-01</v>
      </c>
      <c r="B5" s="19" t="str">
        <f>IF('Master Plan'!D5="","",'Master Plan'!D5)</f>
        <v>Project kick-off and warehouse walk-through</v>
      </c>
      <c r="C5" s="19" t="str">
        <f>IF('Master Plan'!F5="","",'Master Plan'!F5)</f>
        <v>Daphne Okwaro</v>
      </c>
      <c r="D5" s="20">
        <f>IF('Master Plan'!H5="","",'Master Plan'!H5)</f>
        <v>46296</v>
      </c>
      <c r="E5" s="20">
        <f>IF('Master Plan'!I5="","",'Master Plan'!I5)</f>
        <v>46296</v>
      </c>
      <c r="F5" s="19" t="str">
        <f>IF('Master Plan'!O5="","",'Master Plan'!O5)</f>
        <v>Complete</v>
      </c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>
      <c r="A6" s="19" t="str">
        <f>IF('Master Plan'!A6="","",'Master Plan'!A6)</f>
        <v>PM-02</v>
      </c>
      <c r="B6" s="19" t="str">
        <f>IF('Master Plan'!D6="","",'Master Plan'!D6)</f>
        <v>Discovery sessions: Finance, Warehouse &amp; Operations, Trade &amp; QC, Logistics</v>
      </c>
      <c r="C6" s="19" t="str">
        <f>IF('Master Plan'!F6="","",'Master Plan'!F6)</f>
        <v>Daphne Okwaro</v>
      </c>
      <c r="D6" s="20">
        <f>IF('Master Plan'!H6="","",'Master Plan'!H6)</f>
        <v>46297</v>
      </c>
      <c r="E6" s="20">
        <f>IF('Master Plan'!I6="","",'Master Plan'!I6)</f>
        <v>46303</v>
      </c>
      <c r="F6" s="19" t="str">
        <f>IF('Master Plan'!O6="","",'Master Plan'!O6)</f>
        <v>Complete</v>
      </c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</row>
    <row r="7" spans="1:18">
      <c r="A7" s="19" t="str">
        <f>IF('Master Plan'!A7="","",'Master Plan'!A7)</f>
        <v>PM-03</v>
      </c>
      <c r="B7" s="19" t="str">
        <f>IF('Master Plan'!D7="","",'Master Plan'!D7)</f>
        <v>BRD V1.1 (red = items to confirm)</v>
      </c>
      <c r="C7" s="19" t="str">
        <f>IF('Master Plan'!F7="","",'Master Plan'!F7)</f>
        <v>Daphne Okwaro</v>
      </c>
      <c r="D7" s="20">
        <f>IF('Master Plan'!H7="","",'Master Plan'!H7)</f>
        <v>46300</v>
      </c>
      <c r="E7" s="20">
        <f>IF('Master Plan'!I7="","",'Master Plan'!I7)</f>
        <v>46304</v>
      </c>
      <c r="F7" s="19" t="str">
        <f>IF('Master Plan'!O7="","",'Master Plan'!O7)</f>
        <v>Complete</v>
      </c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</row>
    <row r="8" spans="1:18">
      <c r="A8" s="19" t="str">
        <f>IF('Master Plan'!A8="","",'Master Plan'!A8)</f>
        <v>PM-04</v>
      </c>
      <c r="B8" s="19" t="str">
        <f>IF('Master Plan'!D8="","",'Master Plan'!D8)</f>
        <v>Developer Build Specification V1.0 + screen mockups</v>
      </c>
      <c r="C8" s="19" t="str">
        <f>IF('Master Plan'!F8="","",'Master Plan'!F8)</f>
        <v>Daphne Okwaro</v>
      </c>
      <c r="D8" s="20">
        <f>IF('Master Plan'!H8="","",'Master Plan'!H8)</f>
        <v>46302</v>
      </c>
      <c r="E8" s="20">
        <f>IF('Master Plan'!I8="","",'Master Plan'!I8)</f>
        <v>46304</v>
      </c>
      <c r="F8" s="19" t="str">
        <f>IF('Master Plan'!O8="","",'Master Plan'!O8)</f>
        <v>Complete</v>
      </c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</row>
    <row r="9" spans="1:18">
      <c r="A9" s="19" t="str">
        <f>IF('Master Plan'!A9="","",'Master Plan'!A9)</f>
        <v>PM-05</v>
      </c>
      <c r="B9" s="19" t="str">
        <f>IF('Master Plan'!D9="","",'Master Plan'!D9)</f>
        <v>System access request sent (NKG emails, Power Platform, Git, ITB environment)</v>
      </c>
      <c r="C9" s="19" t="str">
        <f>IF('Master Plan'!F9="","",'Master Plan'!F9)</f>
        <v>Daphne Okwaro</v>
      </c>
      <c r="D9" s="20">
        <f>IF('Master Plan'!H9="","",'Master Plan'!H9)</f>
        <v>46300</v>
      </c>
      <c r="E9" s="20">
        <f>IF('Master Plan'!I9="","",'Master Plan'!I9)</f>
        <v>46301</v>
      </c>
      <c r="F9" s="19" t="str">
        <f>IF('Master Plan'!O9="","",'Master Plan'!O9)</f>
        <v>Complete</v>
      </c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</row>
    <row r="10" spans="1:18">
      <c r="A10" s="19" t="str">
        <f>IF('Master Plan'!A10="","",'Master Plan'!A10)</f>
        <v>PM-06</v>
      </c>
      <c r="B10" s="19" t="str">
        <f>IF('Master Plan'!D10="","",'Master Plan'!D10)</f>
        <v>Weekly status report #1</v>
      </c>
      <c r="C10" s="19" t="str">
        <f>IF('Master Plan'!F10="","",'Master Plan'!F10)</f>
        <v>Daphne Okwaro</v>
      </c>
      <c r="D10" s="20">
        <f>IF('Master Plan'!H10="","",'Master Plan'!H10)</f>
        <v>46297</v>
      </c>
      <c r="E10" s="20">
        <f>IF('Master Plan'!I10="","",'Master Plan'!I10)</f>
        <v>46297</v>
      </c>
      <c r="F10" s="19" t="str">
        <f>IF('Master Plan'!O10="","",'Master Plan'!O10)</f>
        <v>Complete</v>
      </c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</row>
    <row r="11" spans="1:18">
      <c r="A11" s="19" t="str">
        <f>IF('Master Plan'!A11="","",'Master Plan'!A11)</f>
        <v>PM-10</v>
      </c>
      <c r="B11" s="19" t="str">
        <f>IF('Master Plan'!D11="","",'Master Plan'!D11)</f>
        <v>Weekly status report #2</v>
      </c>
      <c r="C11" s="19" t="str">
        <f>IF('Master Plan'!F11="","",'Master Plan'!F11)</f>
        <v>Daphne Okwaro</v>
      </c>
      <c r="D11" s="20">
        <f>IF('Master Plan'!H11="","",'Master Plan'!H11)</f>
        <v>46304</v>
      </c>
      <c r="E11" s="20">
        <f>IF('Master Plan'!I11="","",'Master Plan'!I11)</f>
        <v>46304</v>
      </c>
      <c r="F11" s="19" t="str">
        <f>IF('Master Plan'!O11="","",'Master Plan'!O11)</f>
        <v>In progress</v>
      </c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</row>
    <row r="12" spans="1:18">
      <c r="A12" s="19" t="str">
        <f>IF('Master Plan'!A12="","",'Master Plan'!A12)</f>
        <v>PM-11</v>
      </c>
      <c r="B12" s="19" t="str">
        <f>IF('Master Plan'!D12="","",'Master Plan'!D12)</f>
        <v>Circulate BRD V1.1, Build Spec and mockups to NKG for review</v>
      </c>
      <c r="C12" s="19" t="str">
        <f>IF('Master Plan'!F12="","",'Master Plan'!F12)</f>
        <v>Daphne Okwaro</v>
      </c>
      <c r="D12" s="20">
        <f>IF('Master Plan'!H12="","",'Master Plan'!H12)</f>
        <v>46307</v>
      </c>
      <c r="E12" s="20">
        <f>IF('Master Plan'!I12="","",'Master Plan'!I12)</f>
        <v>46307</v>
      </c>
      <c r="F12" s="19" t="str">
        <f>IF('Master Plan'!O12="","",'Master Plan'!O12)</f>
        <v>Not started</v>
      </c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</row>
    <row r="13" spans="1:18">
      <c r="A13" s="19" t="str">
        <f>IF('Master Plan'!A13="","",'Master Plan'!A13)</f>
        <v>PM-12</v>
      </c>
      <c r="B13" s="19" t="str">
        <f>IF('Master Plan'!D13="","",'Master Plan'!D13)</f>
        <v>Open-decision log OD1–OD9 (red items)</v>
      </c>
      <c r="C13" s="19" t="str">
        <f>IF('Master Plan'!F13="","",'Master Plan'!F13)</f>
        <v>Daphne Okwaro</v>
      </c>
      <c r="D13" s="20">
        <f>IF('Master Plan'!H13="","",'Master Plan'!H13)</f>
        <v>46307</v>
      </c>
      <c r="E13" s="20">
        <f>IF('Master Plan'!I13="","",'Master Plan'!I13)</f>
        <v>46311</v>
      </c>
      <c r="F13" s="19" t="str">
        <f>IF('Master Plan'!O13="","",'Master Plan'!O13)</f>
        <v>Not started</v>
      </c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</row>
    <row r="14" spans="1:18">
      <c r="A14" s="19" t="str">
        <f>IF('Master Plan'!A14="","",'Master Plan'!A14)</f>
        <v>PM-13</v>
      </c>
      <c r="B14" s="19" t="str">
        <f>IF('Master Plan'!D14="","",'Master Plan'!D14)</f>
        <v>Design walkthrough with NKG (mockups + zero-variance model)</v>
      </c>
      <c r="C14" s="19" t="str">
        <f>IF('Master Plan'!F14="","",'Master Plan'!F14)</f>
        <v>Daphne Okwaro</v>
      </c>
      <c r="D14" s="20">
        <f>IF('Master Plan'!H14="","",'Master Plan'!H14)</f>
        <v>46308</v>
      </c>
      <c r="E14" s="20">
        <f>IF('Master Plan'!I14="","",'Master Plan'!I14)</f>
        <v>46308</v>
      </c>
      <c r="F14" s="19" t="str">
        <f>IF('Master Plan'!O14="","",'Master Plan'!O14)</f>
        <v>Not started</v>
      </c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</row>
    <row r="15" spans="1:18">
      <c r="A15" s="19" t="str">
        <f>IF('Master Plan'!A15="","",'Master Plan'!A15)</f>
        <v>PM-14</v>
      </c>
      <c r="B15" s="19" t="str">
        <f>IF('Master Plan'!D15="","",'Master Plan'!D15)</f>
        <v>Obtain BRD and design sign-off</v>
      </c>
      <c r="C15" s="19" t="str">
        <f>IF('Master Plan'!F15="","",'Master Plan'!F15)</f>
        <v>Daphne Okwaro</v>
      </c>
      <c r="D15" s="20">
        <f>IF('Master Plan'!H15="","",'Master Plan'!H15)</f>
        <v>46309</v>
      </c>
      <c r="E15" s="20">
        <f>IF('Master Plan'!I15="","",'Master Plan'!I15)</f>
        <v>46311</v>
      </c>
      <c r="F15" s="19" t="str">
        <f>IF('Master Plan'!O15="","",'Master Plan'!O15)</f>
        <v>Not started</v>
      </c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</row>
    <row r="16" spans="1:18">
      <c r="A16" s="19" t="str">
        <f>IF('Master Plan'!A16="","",'Master Plan'!A16)</f>
        <v>PM-15</v>
      </c>
      <c r="B16" s="19" t="str">
        <f>IF('Master Plan'!D16="","",'Master Plan'!D16)</f>
        <v>Formal data-feed request to XBS and Comtras/BRIC owners</v>
      </c>
      <c r="C16" s="19" t="str">
        <f>IF('Master Plan'!F16="","",'Master Plan'!F16)</f>
        <v>Daphne Okwaro</v>
      </c>
      <c r="D16" s="20">
        <f>IF('Master Plan'!H16="","",'Master Plan'!H16)</f>
        <v>46307</v>
      </c>
      <c r="E16" s="20">
        <f>IF('Master Plan'!I16="","",'Master Plan'!I16)</f>
        <v>46309</v>
      </c>
      <c r="F16" s="19" t="str">
        <f>IF('Master Plan'!O16="","",'Master Plan'!O16)</f>
        <v>Not started</v>
      </c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</row>
    <row r="17" spans="1:18">
      <c r="A17" s="19" t="str">
        <f>IF('Master Plan'!A17="","",'Master Plan'!A17)</f>
        <v>PM-16</v>
      </c>
      <c r="B17" s="19" t="str">
        <f>IF('Master Plan'!D17="","",'Master Plan'!D17)</f>
        <v>Licensing and environment confirmation with NKG IT</v>
      </c>
      <c r="C17" s="19" t="str">
        <f>IF('Master Plan'!F17="","",'Master Plan'!F17)</f>
        <v>Daphne Okwaro</v>
      </c>
      <c r="D17" s="20">
        <f>IF('Master Plan'!H17="","",'Master Plan'!H17)</f>
        <v>46307</v>
      </c>
      <c r="E17" s="20">
        <f>IF('Master Plan'!I17="","",'Master Plan'!I17)</f>
        <v>46311</v>
      </c>
      <c r="F17" s="19" t="str">
        <f>IF('Master Plan'!O17="","",'Master Plan'!O17)</f>
        <v>Not started</v>
      </c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</row>
    <row r="18" spans="1:18">
      <c r="A18" s="19" t="str">
        <f>IF('Master Plan'!A18="","",'Master Plan'!A18)</f>
        <v>MO-01</v>
      </c>
      <c r="B18" s="19" t="str">
        <f>IF('Master Plan'!D18="","",'Master Plan'!D18)</f>
        <v>Inventory the ITB (John Nyongesa) solution</v>
      </c>
      <c r="C18" s="19" t="str">
        <f>IF('Master Plan'!F18="","",'Master Plan'!F18)</f>
        <v>Moses Masibo</v>
      </c>
      <c r="D18" s="20">
        <f>IF('Master Plan'!H18="","",'Master Plan'!H18)</f>
        <v>46307</v>
      </c>
      <c r="E18" s="20">
        <f>IF('Master Plan'!I18="","",'Master Plan'!I18)</f>
        <v>46308</v>
      </c>
      <c r="F18" s="19" t="str">
        <f>IF('Master Plan'!O18="","",'Master Plan'!O18)</f>
        <v>Not started</v>
      </c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</row>
    <row r="19" spans="1:18">
      <c r="A19" s="19" t="str">
        <f>IF('Master Plan'!A19="","",'Master Plan'!A19)</f>
        <v>MO-02</v>
      </c>
      <c r="B19" s="19" t="str">
        <f>IF('Master Plan'!D19="","",'Master Plan'!D19)</f>
        <v>Ownership-transfer plan for ITB apps and flows</v>
      </c>
      <c r="C19" s="19" t="str">
        <f>IF('Master Plan'!F19="","",'Master Plan'!F19)</f>
        <v>Moses Masibo</v>
      </c>
      <c r="D19" s="20">
        <f>IF('Master Plan'!H19="","",'Master Plan'!H19)</f>
        <v>46308</v>
      </c>
      <c r="E19" s="20">
        <f>IF('Master Plan'!I19="","",'Master Plan'!I19)</f>
        <v>46309</v>
      </c>
      <c r="F19" s="19" t="str">
        <f>IF('Master Plan'!O19="","",'Master Plan'!O19)</f>
        <v>Not started</v>
      </c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</row>
    <row r="20" spans="1:18">
      <c r="A20" s="19" t="str">
        <f>IF('Master Plan'!A20="","",'Master Plan'!A20)</f>
        <v>MO-03</v>
      </c>
      <c r="B20" s="19" t="str">
        <f>IF('Master Plan'!D20="","",'Master Plan'!D20)</f>
        <v>Request/confirm DEV, UAT, PROD environments and DLP policy</v>
      </c>
      <c r="C20" s="19" t="str">
        <f>IF('Master Plan'!F20="","",'Master Plan'!F20)</f>
        <v>Moses Masibo</v>
      </c>
      <c r="D20" s="20">
        <f>IF('Master Plan'!H20="","",'Master Plan'!H20)</f>
        <v>46307</v>
      </c>
      <c r="E20" s="20">
        <f>IF('Master Plan'!I20="","",'Master Plan'!I20)</f>
        <v>46311</v>
      </c>
      <c r="F20" s="19" t="str">
        <f>IF('Master Plan'!O20="","",'Master Plan'!O20)</f>
        <v>Not started</v>
      </c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</row>
    <row r="21" spans="1:18">
      <c r="A21" s="19" t="str">
        <f>IF('Master Plan'!A21="","",'Master Plan'!A21)</f>
        <v>MO-04</v>
      </c>
      <c r="B21" s="19" t="str">
        <f>IF('Master Plan'!D21="","",'Master Plan'!D21)</f>
        <v>Create publisher (prefix stk) and solutions in DEV</v>
      </c>
      <c r="C21" s="19" t="str">
        <f>IF('Master Plan'!F21="","",'Master Plan'!F21)</f>
        <v>Moses Masibo</v>
      </c>
      <c r="D21" s="20">
        <f>IF('Master Plan'!H21="","",'Master Plan'!H21)</f>
        <v>46309</v>
      </c>
      <c r="E21" s="20">
        <f>IF('Master Plan'!I21="","",'Master Plan'!I21)</f>
        <v>46310</v>
      </c>
      <c r="F21" s="19" t="str">
        <f>IF('Master Plan'!O21="","",'Master Plan'!O21)</f>
        <v>Not started</v>
      </c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</row>
    <row r="22" spans="1:18">
      <c r="A22" s="19" t="str">
        <f>IF('Master Plan'!A22="","",'Master Plan'!A22)</f>
        <v>MO-05</v>
      </c>
      <c r="B22" s="19" t="str">
        <f>IF('Master Plan'!D22="","",'Master Plan'!D22)</f>
        <v>Git repository and branching</v>
      </c>
      <c r="C22" s="19" t="str">
        <f>IF('Master Plan'!F22="","",'Master Plan'!F22)</f>
        <v>Moses Masibo</v>
      </c>
      <c r="D22" s="20">
        <f>IF('Master Plan'!H22="","",'Master Plan'!H22)</f>
        <v>46308</v>
      </c>
      <c r="E22" s="20">
        <f>IF('Master Plan'!I22="","",'Master Plan'!I22)</f>
        <v>46310</v>
      </c>
      <c r="F22" s="19" t="str">
        <f>IF('Master Plan'!O22="","",'Master Plan'!O22)</f>
        <v>Not started</v>
      </c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</row>
    <row r="23" spans="1:18">
      <c r="A23" s="19" t="str">
        <f>IF('Master Plan'!A23="","",'Master Plan'!A23)</f>
        <v>MO-06</v>
      </c>
      <c r="B23" s="19" t="str">
        <f>IF('Master Plan'!D23="","",'Master Plan'!D23)</f>
        <v>Data-model review (34 tables, keys, alternate keys)</v>
      </c>
      <c r="C23" s="19" t="str">
        <f>IF('Master Plan'!F23="","",'Master Plan'!F23)</f>
        <v>Moses Masibo</v>
      </c>
      <c r="D23" s="20">
        <f>IF('Master Plan'!H23="","",'Master Plan'!H23)</f>
        <v>46309</v>
      </c>
      <c r="E23" s="20">
        <f>IF('Master Plan'!I23="","",'Master Plan'!I23)</f>
        <v>46311</v>
      </c>
      <c r="F23" s="19" t="str">
        <f>IF('Master Plan'!O23="","",'Master Plan'!O23)</f>
        <v>Not started</v>
      </c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</row>
    <row r="24" spans="1:18">
      <c r="A24" s="19" t="str">
        <f>IF('Master Plan'!A24="","",'Master Plan'!A24)</f>
        <v>NI-01</v>
      </c>
      <c r="B24" s="19" t="str">
        <f>IF('Master Plan'!D24="","",'Master Plan'!D24)</f>
        <v>Profile sample files from every feed</v>
      </c>
      <c r="C24" s="19" t="str">
        <f>IF('Master Plan'!F24="","",'Master Plan'!F24)</f>
        <v>Nicole Akinyi</v>
      </c>
      <c r="D24" s="20">
        <f>IF('Master Plan'!H24="","",'Master Plan'!H24)</f>
        <v>46308</v>
      </c>
      <c r="E24" s="20">
        <f>IF('Master Plan'!I24="","",'Master Plan'!I24)</f>
        <v>46311</v>
      </c>
      <c r="F24" s="19" t="str">
        <f>IF('Master Plan'!O24="","",'Master Plan'!O24)</f>
        <v>Not started</v>
      </c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</row>
    <row r="25" spans="1:18">
      <c r="A25" s="19" t="str">
        <f>IF('Master Plan'!A25="","",'Master Plan'!A25)</f>
        <v>DO-01</v>
      </c>
      <c r="B25" s="19" t="str">
        <f>IF('Master Plan'!D25="","",'Master Plan'!D25)</f>
        <v>Review ITB dataflows and staging</v>
      </c>
      <c r="C25" s="19" t="str">
        <f>IF('Master Plan'!F25="","",'Master Plan'!F25)</f>
        <v>Denis Otieno</v>
      </c>
      <c r="D25" s="20">
        <f>IF('Master Plan'!H25="","",'Master Plan'!H25)</f>
        <v>46307</v>
      </c>
      <c r="E25" s="20">
        <f>IF('Master Plan'!I25="","",'Master Plan'!I25)</f>
        <v>46308</v>
      </c>
      <c r="F25" s="19" t="str">
        <f>IF('Master Plan'!O25="","",'Master Plan'!O25)</f>
        <v>Not started</v>
      </c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</row>
    <row r="26" spans="1:18">
      <c r="A26" s="19" t="str">
        <f>IF('Master Plan'!A26="","",'Master Plan'!A26)</f>
        <v>DO-02</v>
      </c>
      <c r="B26" s="19" t="str">
        <f>IF('Master Plan'!D26="","",'Master Plan'!D26)</f>
        <v>Finalise intake file templates and column mappings</v>
      </c>
      <c r="C26" s="19" t="str">
        <f>IF('Master Plan'!F26="","",'Master Plan'!F26)</f>
        <v>Denis Otieno</v>
      </c>
      <c r="D26" s="20">
        <f>IF('Master Plan'!H26="","",'Master Plan'!H26)</f>
        <v>46309</v>
      </c>
      <c r="E26" s="20">
        <f>IF('Master Plan'!I26="","",'Master Plan'!I26)</f>
        <v>46311</v>
      </c>
      <c r="F26" s="19" t="str">
        <f>IF('Master Plan'!O26="","",'Master Plan'!O26)</f>
        <v>Not started</v>
      </c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</row>
    <row r="27" spans="1:18">
      <c r="A27" s="19" t="str">
        <f>IF('Master Plan'!A27="","",'Master Plan'!A27)</f>
        <v>WI-01</v>
      </c>
      <c r="B27" s="19" t="str">
        <f>IF('Master Plan'!D27="","",'Master Plan'!D27)</f>
        <v>Review ITB Stock Take app</v>
      </c>
      <c r="C27" s="19" t="str">
        <f>IF('Master Plan'!F27="","",'Master Plan'!F27)</f>
        <v>William Imo</v>
      </c>
      <c r="D27" s="20">
        <f>IF('Master Plan'!H27="","",'Master Plan'!H27)</f>
        <v>46307</v>
      </c>
      <c r="E27" s="20">
        <f>IF('Master Plan'!I27="","",'Master Plan'!I27)</f>
        <v>46308</v>
      </c>
      <c r="F27" s="19" t="str">
        <f>IF('Master Plan'!O27="","",'Master Plan'!O27)</f>
        <v>Not started</v>
      </c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</row>
    <row r="28" spans="1:18">
      <c r="A28" s="19" t="str">
        <f>IF('Master Plan'!A28="","",'Master Plan'!A28)</f>
        <v>AN-01</v>
      </c>
      <c r="B28" s="19" t="str">
        <f>IF('Master Plan'!D28="","",'Master Plan'!D28)</f>
        <v>Review ITB Stock Management app</v>
      </c>
      <c r="C28" s="19" t="str">
        <f>IF('Master Plan'!F28="","",'Master Plan'!F28)</f>
        <v>Andrew Tanui</v>
      </c>
      <c r="D28" s="20">
        <f>IF('Master Plan'!H28="","",'Master Plan'!H28)</f>
        <v>46307</v>
      </c>
      <c r="E28" s="20">
        <f>IF('Master Plan'!I28="","",'Master Plan'!I28)</f>
        <v>46308</v>
      </c>
      <c r="F28" s="19" t="str">
        <f>IF('Master Plan'!O28="","",'Master Plan'!O28)</f>
        <v>Not started</v>
      </c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</row>
    <row r="29" spans="1:18">
      <c r="A29" s="19" t="str">
        <f>IF('Master Plan'!A29="","",'Master Plan'!A29)</f>
        <v>JO-01</v>
      </c>
      <c r="B29" s="19" t="str">
        <f>IF('Master Plan'!D29="","",'Master Plan'!D29)</f>
        <v>Copilot Studio and model-driven readiness check</v>
      </c>
      <c r="C29" s="19" t="str">
        <f>IF('Master Plan'!F29="","",'Master Plan'!F29)</f>
        <v>Jones Alukwe</v>
      </c>
      <c r="D29" s="20">
        <f>IF('Master Plan'!H29="","",'Master Plan'!H29)</f>
        <v>46307</v>
      </c>
      <c r="E29" s="20">
        <f>IF('Master Plan'!I29="","",'Master Plan'!I29)</f>
        <v>46308</v>
      </c>
      <c r="F29" s="19" t="str">
        <f>IF('Master Plan'!O29="","",'Master Plan'!O29)</f>
        <v>Not started</v>
      </c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</row>
    <row r="30" spans="1:18">
      <c r="A30" s="19" t="str">
        <f>IF('Master Plan'!A30="","",'Master Plan'!A30)</f>
        <v>WI-02</v>
      </c>
      <c r="B30" s="19" t="str">
        <f>IF('Master Plan'!D30="","",'Master Plan'!D30)</f>
        <v>Shared component library (NKG theme)</v>
      </c>
      <c r="C30" s="19" t="str">
        <f>IF('Master Plan'!F30="","",'Master Plan'!F30)</f>
        <v>William Imo</v>
      </c>
      <c r="D30" s="20">
        <f>IF('Master Plan'!H30="","",'Master Plan'!H30)</f>
        <v>46308</v>
      </c>
      <c r="E30" s="20">
        <f>IF('Master Plan'!I30="","",'Master Plan'!I30)</f>
        <v>46309</v>
      </c>
      <c r="F30" s="19" t="str">
        <f>IF('Master Plan'!O30="","",'Master Plan'!O30)</f>
        <v>Not started</v>
      </c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</row>
    <row r="31" spans="1:18">
      <c r="A31" s="19" t="str">
        <f>IF('Master Plan'!A31="","",'Master Plan'!A31)</f>
        <v>FR-01</v>
      </c>
      <c r="B31" s="19" t="str">
        <f>IF('Master Plan'!D31="","",'Master Plan'!D31)</f>
        <v>Test strategy and defect process</v>
      </c>
      <c r="C31" s="19" t="str">
        <f>IF('Master Plan'!F31="","",'Master Plan'!F31)</f>
        <v>Frankie Omasaja</v>
      </c>
      <c r="D31" s="20">
        <f>IF('Master Plan'!H31="","",'Master Plan'!H31)</f>
        <v>46308</v>
      </c>
      <c r="E31" s="20">
        <f>IF('Master Plan'!I31="","",'Master Plan'!I31)</f>
        <v>46311</v>
      </c>
      <c r="F31" s="19" t="str">
        <f>IF('Master Plan'!O31="","",'Master Plan'!O31)</f>
        <v>Not started</v>
      </c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</row>
    <row r="32" spans="1:18">
      <c r="A32" s="19" t="str">
        <f>IF('Master Plan'!A32="","",'Master Plan'!A32)</f>
        <v>PM-20</v>
      </c>
      <c r="B32" s="19" t="str">
        <f>IF('Master Plan'!D32="","",'Master Plan'!D32)</f>
        <v>Sprint 1 planning</v>
      </c>
      <c r="C32" s="19" t="str">
        <f>IF('Master Plan'!F32="","",'Master Plan'!F32)</f>
        <v>Daphne Okwaro</v>
      </c>
      <c r="D32" s="20">
        <f>IF('Master Plan'!H32="","",'Master Plan'!H32)</f>
        <v>46307</v>
      </c>
      <c r="E32" s="20">
        <f>IF('Master Plan'!I32="","",'Master Plan'!I32)</f>
        <v>46307</v>
      </c>
      <c r="F32" s="19" t="str">
        <f>IF('Master Plan'!O32="","",'Master Plan'!O32)</f>
        <v>Not started</v>
      </c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</row>
    <row r="33" spans="1:18">
      <c r="A33" s="19" t="str">
        <f>IF('Master Plan'!A33="","",'Master Plan'!A33)</f>
        <v>MO-07</v>
      </c>
      <c r="B33" s="19" t="str">
        <f>IF('Master Plan'!D33="","",'Master Plan'!D33)</f>
        <v>Shared mailbox and SharePoint STK-Intake site</v>
      </c>
      <c r="C33" s="19" t="str">
        <f>IF('Master Plan'!F33="","",'Master Plan'!F33)</f>
        <v>Moses Masibo</v>
      </c>
      <c r="D33" s="20">
        <f>IF('Master Plan'!H33="","",'Master Plan'!H33)</f>
        <v>46310</v>
      </c>
      <c r="E33" s="20">
        <f>IF('Master Plan'!I33="","",'Master Plan'!I33)</f>
        <v>46311</v>
      </c>
      <c r="F33" s="19" t="str">
        <f>IF('Master Plan'!O33="","",'Master Plan'!O33)</f>
        <v>Not started</v>
      </c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</row>
    <row r="34" spans="1:18">
      <c r="A34" s="19" t="str">
        <f>IF('Master Plan'!A34="","",'Master Plan'!A34)</f>
        <v>DO-03</v>
      </c>
      <c r="B34" s="19" t="str">
        <f>IF('Master Plan'!D34="","",'Master Plan'!D34)</f>
        <v>Create Dataverse tables in STK Core</v>
      </c>
      <c r="C34" s="19" t="str">
        <f>IF('Master Plan'!F34="","",'Master Plan'!F34)</f>
        <v>Denis Otieno</v>
      </c>
      <c r="D34" s="20">
        <f>IF('Master Plan'!H34="","",'Master Plan'!H34)</f>
        <v>46310</v>
      </c>
      <c r="E34" s="20">
        <f>IF('Master Plan'!I34="","",'Master Plan'!I34)</f>
        <v>46316</v>
      </c>
      <c r="F34" s="19" t="str">
        <f>IF('Master Plan'!O34="","",'Master Plan'!O34)</f>
        <v>Not started</v>
      </c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</row>
    <row r="35" spans="1:18">
      <c r="A35" s="19" t="str">
        <f>IF('Master Plan'!A35="","",'Master Plan'!A35)</f>
        <v>DO-04</v>
      </c>
      <c r="B35" s="19" t="str">
        <f>IF('Master Plan'!D35="","",'Master Plan'!D35)</f>
        <v>F01 Receive intake email</v>
      </c>
      <c r="C35" s="19" t="str">
        <f>IF('Master Plan'!F35="","",'Master Plan'!F35)</f>
        <v>Denis Otieno</v>
      </c>
      <c r="D35" s="20">
        <f>IF('Master Plan'!H35="","",'Master Plan'!H35)</f>
        <v>46314</v>
      </c>
      <c r="E35" s="20">
        <f>IF('Master Plan'!I35="","",'Master Plan'!I35)</f>
        <v>46316</v>
      </c>
      <c r="F35" s="19" t="str">
        <f>IF('Master Plan'!O35="","",'Master Plan'!O35)</f>
        <v>Not started</v>
      </c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</row>
    <row r="36" spans="1:18">
      <c r="A36" s="19" t="str">
        <f>IF('Master Plan'!A36="","",'Master Plan'!A36)</f>
        <v>DO-05</v>
      </c>
      <c r="B36" s="19" t="str">
        <f>IF('Master Plan'!D36="","",'Master Plan'!D36)</f>
        <v>F02 Validate file (V1–V7)</v>
      </c>
      <c r="C36" s="19" t="str">
        <f>IF('Master Plan'!F36="","",'Master Plan'!F36)</f>
        <v>Denis Otieno</v>
      </c>
      <c r="D36" s="20">
        <f>IF('Master Plan'!H36="","",'Master Plan'!H36)</f>
        <v>46316</v>
      </c>
      <c r="E36" s="20">
        <f>IF('Master Plan'!I36="","",'Master Plan'!I36)</f>
        <v>46318</v>
      </c>
      <c r="F36" s="19" t="str">
        <f>IF('Master Plan'!O36="","",'Master Plan'!O36)</f>
        <v>Not started</v>
      </c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</row>
    <row r="37" spans="1:18">
      <c r="A37" s="19" t="str">
        <f>IF('Master Plan'!A37="","",'Master Plan'!A37)</f>
        <v>DO-06</v>
      </c>
      <c r="B37" s="19" t="str">
        <f>IF('Master Plan'!D37="","",'Master Plan'!D37)</f>
        <v>Dataflows to staging + F03 load</v>
      </c>
      <c r="C37" s="19" t="str">
        <f>IF('Master Plan'!F37="","",'Master Plan'!F37)</f>
        <v>Denis Otieno</v>
      </c>
      <c r="D37" s="20">
        <f>IF('Master Plan'!H37="","",'Master Plan'!H37)</f>
        <v>46314</v>
      </c>
      <c r="E37" s="20">
        <f>IF('Master Plan'!I37="","",'Master Plan'!I37)</f>
        <v>46318</v>
      </c>
      <c r="F37" s="19" t="str">
        <f>IF('Master Plan'!O37="","",'Master Plan'!O37)</f>
        <v>Not started</v>
      </c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</row>
    <row r="38" spans="1:18">
      <c r="A38" s="19" t="str">
        <f>IF('Master Plan'!A38="","",'Master Plan'!A38)</f>
        <v>DO-07</v>
      </c>
      <c r="B38" s="19" t="str">
        <f>IF('Master Plan'!D38="","",'Master Plan'!D38)</f>
        <v>Master-data migration</v>
      </c>
      <c r="C38" s="19" t="str">
        <f>IF('Master Plan'!F38="","",'Master Plan'!F38)</f>
        <v>Denis Otieno</v>
      </c>
      <c r="D38" s="20">
        <f>IF('Master Plan'!H38="","",'Master Plan'!H38)</f>
        <v>46316</v>
      </c>
      <c r="E38" s="20">
        <f>IF('Master Plan'!I38="","",'Master Plan'!I38)</f>
        <v>46318</v>
      </c>
      <c r="F38" s="19" t="str">
        <f>IF('Master Plan'!O38="","",'Master Plan'!O38)</f>
        <v>Not started</v>
      </c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</row>
    <row r="39" spans="1:18">
      <c r="A39" s="19" t="str">
        <f>IF('Master Plan'!A39="","",'Master Plan'!A39)</f>
        <v>NI-02</v>
      </c>
      <c r="B39" s="19" t="str">
        <f>IF('Master Plan'!D39="","",'Master Plan'!D39)</f>
        <v>Mapping coverage analysis</v>
      </c>
      <c r="C39" s="19" t="str">
        <f>IF('Master Plan'!F39="","",'Master Plan'!F39)</f>
        <v>Nicole Akinyi</v>
      </c>
      <c r="D39" s="20">
        <f>IF('Master Plan'!H39="","",'Master Plan'!H39)</f>
        <v>46310</v>
      </c>
      <c r="E39" s="20">
        <f>IF('Master Plan'!I39="","",'Master Plan'!I39)</f>
        <v>46316</v>
      </c>
      <c r="F39" s="19" t="str">
        <f>IF('Master Plan'!O39="","",'Master Plan'!O39)</f>
        <v>Not started</v>
      </c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</row>
    <row r="40" spans="1:18">
      <c r="A40" s="19" t="str">
        <f>IF('Master Plan'!A40="","",'Master Plan'!A40)</f>
        <v>NI-03</v>
      </c>
      <c r="B40" s="19" t="str">
        <f>IF('Master Plan'!D40="","",'Master Plan'!D40)</f>
        <v>Build test data sets</v>
      </c>
      <c r="C40" s="19" t="str">
        <f>IF('Master Plan'!F40="","",'Master Plan'!F40)</f>
        <v>Nicole Akinyi</v>
      </c>
      <c r="D40" s="20">
        <f>IF('Master Plan'!H40="","",'Master Plan'!H40)</f>
        <v>46314</v>
      </c>
      <c r="E40" s="20">
        <f>IF('Master Plan'!I40="","",'Master Plan'!I40)</f>
        <v>46318</v>
      </c>
      <c r="F40" s="19" t="str">
        <f>IF('Master Plan'!O40="","",'Master Plan'!O40)</f>
        <v>Not started</v>
      </c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</row>
    <row r="41" spans="1:18">
      <c r="A41" s="19" t="str">
        <f>IF('Master Plan'!A41="","",'Master Plan'!A41)</f>
        <v>WI-03</v>
      </c>
      <c r="B41" s="19" t="str">
        <f>IF('Master Plan'!D41="","",'Master Plan'!D41)</f>
        <v>S1 Sign-in/version check and S2 Home</v>
      </c>
      <c r="C41" s="19" t="str">
        <f>IF('Master Plan'!F41="","",'Master Plan'!F41)</f>
        <v>William Imo</v>
      </c>
      <c r="D41" s="20">
        <f>IF('Master Plan'!H41="","",'Master Plan'!H41)</f>
        <v>46310</v>
      </c>
      <c r="E41" s="20">
        <f>IF('Master Plan'!I41="","",'Master Plan'!I41)</f>
        <v>46311</v>
      </c>
      <c r="F41" s="19" t="str">
        <f>IF('Master Plan'!O41="","",'Master Plan'!O41)</f>
        <v>Not started</v>
      </c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</row>
    <row r="42" spans="1:18">
      <c r="A42" s="19" t="str">
        <f>IF('Master Plan'!A42="","",'Master Plan'!A42)</f>
        <v>WI-04</v>
      </c>
      <c r="B42" s="19" t="str">
        <f>IF('Master Plan'!D42="","",'Master Plan'!D42)</f>
        <v>S3 My Assignments and S4 Location (QR)</v>
      </c>
      <c r="C42" s="19" t="str">
        <f>IF('Master Plan'!F42="","",'Master Plan'!F42)</f>
        <v>William Imo</v>
      </c>
      <c r="D42" s="20">
        <f>IF('Master Plan'!H42="","",'Master Plan'!H42)</f>
        <v>46314</v>
      </c>
      <c r="E42" s="20">
        <f>IF('Master Plan'!I42="","",'Master Plan'!I42)</f>
        <v>46317</v>
      </c>
      <c r="F42" s="19" t="str">
        <f>IF('Master Plan'!O42="","",'Master Plan'!O42)</f>
        <v>Not started</v>
      </c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</row>
    <row r="43" spans="1:18">
      <c r="A43" s="19" t="str">
        <f>IF('Master Plan'!A43="","",'Master Plan'!A43)</f>
        <v>WI-05</v>
      </c>
      <c r="B43" s="19" t="str">
        <f>IF('Master Plan'!D43="","",'Master Plan'!D43)</f>
        <v>S5 Capture screen</v>
      </c>
      <c r="C43" s="19" t="str">
        <f>IF('Master Plan'!F43="","",'Master Plan'!F43)</f>
        <v>William Imo</v>
      </c>
      <c r="D43" s="20">
        <f>IF('Master Plan'!H43="","",'Master Plan'!H43)</f>
        <v>46316</v>
      </c>
      <c r="E43" s="20">
        <f>IF('Master Plan'!I43="","",'Master Plan'!I43)</f>
        <v>46318</v>
      </c>
      <c r="F43" s="19" t="str">
        <f>IF('Master Plan'!O43="","",'Master Plan'!O43)</f>
        <v>Not started</v>
      </c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</row>
    <row r="44" spans="1:18">
      <c r="A44" s="19" t="str">
        <f>IF('Master Plan'!A44="","",'Master Plan'!A44)</f>
        <v>AN-02</v>
      </c>
      <c r="B44" s="19" t="str">
        <f>IF('Master Plan'!D44="","",'Master Plan'!D44)</f>
        <v>Admin screens</v>
      </c>
      <c r="C44" s="19" t="str">
        <f>IF('Master Plan'!F44="","",'Master Plan'!F44)</f>
        <v>Andrew Tanui</v>
      </c>
      <c r="D44" s="20">
        <f>IF('Master Plan'!H44="","",'Master Plan'!H44)</f>
        <v>46310</v>
      </c>
      <c r="E44" s="20">
        <f>IF('Master Plan'!I44="","",'Master Plan'!I44)</f>
        <v>46314</v>
      </c>
      <c r="F44" s="19" t="str">
        <f>IF('Master Plan'!O44="","",'Master Plan'!O44)</f>
        <v>Not started</v>
      </c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</row>
    <row r="45" spans="1:18">
      <c r="A45" s="19" t="str">
        <f>IF('Master Plan'!A45="","",'Master Plan'!A45)</f>
        <v>AN-03</v>
      </c>
      <c r="B45" s="19" t="str">
        <f>IF('Master Plan'!D45="","",'Master Plan'!D45)</f>
        <v>Location generator + QR labels</v>
      </c>
      <c r="C45" s="19" t="str">
        <f>IF('Master Plan'!F45="","",'Master Plan'!F45)</f>
        <v>Andrew Tanui</v>
      </c>
      <c r="D45" s="20">
        <f>IF('Master Plan'!H45="","",'Master Plan'!H45)</f>
        <v>46316</v>
      </c>
      <c r="E45" s="20">
        <f>IF('Master Plan'!I45="","",'Master Plan'!I45)</f>
        <v>46317</v>
      </c>
      <c r="F45" s="19" t="str">
        <f>IF('Master Plan'!O45="","",'Master Plan'!O45)</f>
        <v>Not started</v>
      </c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</row>
    <row r="46" spans="1:18">
      <c r="A46" s="19" t="str">
        <f>IF('Master Plan'!A46="","",'Master Plan'!A46)</f>
        <v>AN-04</v>
      </c>
      <c r="B46" s="19" t="str">
        <f>IF('Master Plan'!D46="","",'Master Plan'!D46)</f>
        <v>Stock take wizard (5 steps) + F10 notify</v>
      </c>
      <c r="C46" s="19" t="str">
        <f>IF('Master Plan'!F46="","",'Master Plan'!F46)</f>
        <v>Andrew Tanui</v>
      </c>
      <c r="D46" s="20">
        <f>IF('Master Plan'!H46="","",'Master Plan'!H46)</f>
        <v>46316</v>
      </c>
      <c r="E46" s="20">
        <f>IF('Master Plan'!I46="","",'Master Plan'!I46)</f>
        <v>46321</v>
      </c>
      <c r="F46" s="19" t="str">
        <f>IF('Master Plan'!O46="","",'Master Plan'!O46)</f>
        <v>Not started</v>
      </c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</row>
    <row r="47" spans="1:18">
      <c r="A47" s="19" t="str">
        <f>IF('Master Plan'!A47="","",'Master Plan'!A47)</f>
        <v>JO-02</v>
      </c>
      <c r="B47" s="19" t="str">
        <f>IF('Master Plan'!D47="","",'Master Plan'!D47)</f>
        <v>Model-driven app shell</v>
      </c>
      <c r="C47" s="19" t="str">
        <f>IF('Master Plan'!F47="","",'Master Plan'!F47)</f>
        <v>Jones Alukwe</v>
      </c>
      <c r="D47" s="20">
        <f>IF('Master Plan'!H47="","",'Master Plan'!H47)</f>
        <v>46310</v>
      </c>
      <c r="E47" s="20">
        <f>IF('Master Plan'!I47="","",'Master Plan'!I47)</f>
        <v>46314</v>
      </c>
      <c r="F47" s="19" t="str">
        <f>IF('Master Plan'!O47="","",'Master Plan'!O47)</f>
        <v>Not started</v>
      </c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</row>
    <row r="48" spans="1:18">
      <c r="A48" s="19" t="str">
        <f>IF('Master Plan'!A48="","",'Master Plan'!A48)</f>
        <v>JO-03</v>
      </c>
      <c r="B48" s="19" t="str">
        <f>IF('Master Plan'!D48="","",'Master Plan'!D48)</f>
        <v>Mapping BPF + F22 + versioning</v>
      </c>
      <c r="C48" s="19" t="str">
        <f>IF('Master Plan'!F48="","",'Master Plan'!F48)</f>
        <v>Jones Alukwe</v>
      </c>
      <c r="D48" s="20">
        <f>IF('Master Plan'!H48="","",'Master Plan'!H48)</f>
        <v>46316</v>
      </c>
      <c r="E48" s="20">
        <f>IF('Master Plan'!I48="","",'Master Plan'!I48)</f>
        <v>46318</v>
      </c>
      <c r="F48" s="19" t="str">
        <f>IF('Master Plan'!O48="","",'Master Plan'!O48)</f>
        <v>Not started</v>
      </c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</row>
    <row r="49" spans="1:18">
      <c r="A49" s="19" t="str">
        <f>IF('Master Plan'!A49="","",'Master Plan'!A49)</f>
        <v>MO-08</v>
      </c>
      <c r="B49" s="19" t="str">
        <f>IF('Master Plan'!D49="","",'Master Plan'!D49)</f>
        <v>Security model build</v>
      </c>
      <c r="C49" s="19" t="str">
        <f>IF('Master Plan'!F49="","",'Master Plan'!F49)</f>
        <v>Moses Masibo</v>
      </c>
      <c r="D49" s="20">
        <f>IF('Master Plan'!H49="","",'Master Plan'!H49)</f>
        <v>46314</v>
      </c>
      <c r="E49" s="20">
        <f>IF('Master Plan'!I49="","",'Master Plan'!I49)</f>
        <v>46318</v>
      </c>
      <c r="F49" s="19" t="str">
        <f>IF('Master Plan'!O49="","",'Master Plan'!O49)</f>
        <v>Not started</v>
      </c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</row>
    <row r="50" spans="1:18">
      <c r="A50" s="19" t="str">
        <f>IF('Master Plan'!A50="","",'Master Plan'!A50)</f>
        <v>MO-09</v>
      </c>
      <c r="B50" s="19" t="str">
        <f>IF('Master Plan'!D50="","",'Master Plan'!D50)</f>
        <v>Build and deploy pipeline DEV → UAT</v>
      </c>
      <c r="C50" s="19" t="str">
        <f>IF('Master Plan'!F50="","",'Master Plan'!F50)</f>
        <v>Moses Masibo</v>
      </c>
      <c r="D50" s="20">
        <f>IF('Master Plan'!H50="","",'Master Plan'!H50)</f>
        <v>46316</v>
      </c>
      <c r="E50" s="20">
        <f>IF('Master Plan'!I50="","",'Master Plan'!I50)</f>
        <v>46318</v>
      </c>
      <c r="F50" s="19" t="str">
        <f>IF('Master Plan'!O50="","",'Master Plan'!O50)</f>
        <v>Not started</v>
      </c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</row>
    <row r="51" spans="1:18">
      <c r="A51" s="19" t="str">
        <f>IF('Master Plan'!A51="","",'Master Plan'!A51)</f>
        <v>FR-02</v>
      </c>
      <c r="B51" s="19" t="str">
        <f>IF('Master Plan'!D51="","",'Master Plan'!D51)</f>
        <v>Write SIT scripts</v>
      </c>
      <c r="C51" s="19" t="str">
        <f>IF('Master Plan'!F51="","",'Master Plan'!F51)</f>
        <v>Frankie Omasaja</v>
      </c>
      <c r="D51" s="20">
        <f>IF('Master Plan'!H51="","",'Master Plan'!H51)</f>
        <v>46314</v>
      </c>
      <c r="E51" s="20">
        <f>IF('Master Plan'!I51="","",'Master Plan'!I51)</f>
        <v>46318</v>
      </c>
      <c r="F51" s="19" t="str">
        <f>IF('Master Plan'!O51="","",'Master Plan'!O51)</f>
        <v>Not started</v>
      </c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</row>
    <row r="52" spans="1:18">
      <c r="A52" s="19" t="str">
        <f>IF('Master Plan'!A52="","",'Master Plan'!A52)</f>
        <v>PM-21</v>
      </c>
      <c r="B52" s="19" t="str">
        <f>IF('Master Plan'!D52="","",'Master Plan'!D52)</f>
        <v>Sprint 1 review / demo to NKG</v>
      </c>
      <c r="C52" s="19" t="str">
        <f>IF('Master Plan'!F52="","",'Master Plan'!F52)</f>
        <v>Daphne Okwaro</v>
      </c>
      <c r="D52" s="20">
        <f>IF('Master Plan'!H52="","",'Master Plan'!H52)</f>
        <v>46318</v>
      </c>
      <c r="E52" s="20">
        <f>IF('Master Plan'!I52="","",'Master Plan'!I52)</f>
        <v>46318</v>
      </c>
      <c r="F52" s="19" t="str">
        <f>IF('Master Plan'!O52="","",'Master Plan'!O52)</f>
        <v>Not started</v>
      </c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</row>
    <row r="53" spans="1:18">
      <c r="A53" s="19" t="str">
        <f>IF('Master Plan'!A53="","",'Master Plan'!A53)</f>
        <v>PM-30</v>
      </c>
      <c r="B53" s="19" t="str">
        <f>IF('Master Plan'!D53="","",'Master Plan'!D53)</f>
        <v>Sprint 2 planning</v>
      </c>
      <c r="C53" s="19" t="str">
        <f>IF('Master Plan'!F53="","",'Master Plan'!F53)</f>
        <v>Daphne Okwaro</v>
      </c>
      <c r="D53" s="20">
        <f>IF('Master Plan'!H53="","",'Master Plan'!H53)</f>
        <v>46321</v>
      </c>
      <c r="E53" s="20">
        <f>IF('Master Plan'!I53="","",'Master Plan'!I53)</f>
        <v>46321</v>
      </c>
      <c r="F53" s="19" t="str">
        <f>IF('Master Plan'!O53="","",'Master Plan'!O53)</f>
        <v>Not started</v>
      </c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</row>
    <row r="54" spans="1:18">
      <c r="A54" s="19" t="str">
        <f>IF('Master Plan'!A54="","",'Master Plan'!A54)</f>
        <v>DO-08</v>
      </c>
      <c r="B54" s="19" t="str">
        <f>IF('Master Plan'!D54="","",'Master Plan'!D54)</f>
        <v>F04 missing-feed, F05 reprocess, F06 lock snapshot</v>
      </c>
      <c r="C54" s="19" t="str">
        <f>IF('Master Plan'!F54="","",'Master Plan'!F54)</f>
        <v>Denis Otieno</v>
      </c>
      <c r="D54" s="20">
        <f>IF('Master Plan'!H54="","",'Master Plan'!H54)</f>
        <v>46321</v>
      </c>
      <c r="E54" s="20">
        <f>IF('Master Plan'!I54="","",'Master Plan'!I54)</f>
        <v>46322</v>
      </c>
      <c r="F54" s="19" t="str">
        <f>IF('Master Plan'!O54="","",'Master Plan'!O54)</f>
        <v>Not started</v>
      </c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</row>
    <row r="55" spans="1:18">
      <c r="A55" s="19" t="str">
        <f>IF('Master Plan'!A55="","",'Master Plan'!A55)</f>
        <v>DO-09</v>
      </c>
      <c r="B55" s="19" t="str">
        <f>IF('Master Plan'!D55="","",'Master Plan'!D55)</f>
        <v>Normalisation and mass balance</v>
      </c>
      <c r="C55" s="19" t="str">
        <f>IF('Master Plan'!F55="","",'Master Plan'!F55)</f>
        <v>Denis Otieno</v>
      </c>
      <c r="D55" s="20">
        <f>IF('Master Plan'!H55="","",'Master Plan'!H55)</f>
        <v>46321</v>
      </c>
      <c r="E55" s="20">
        <f>IF('Master Plan'!I55="","",'Master Plan'!I55)</f>
        <v>46323</v>
      </c>
      <c r="F55" s="19" t="str">
        <f>IF('Master Plan'!O55="","",'Master Plan'!O55)</f>
        <v>Not started</v>
      </c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</row>
    <row r="56" spans="1:18">
      <c r="A56" s="19" t="str">
        <f>IF('Master Plan'!A56="","",'Master Plan'!A56)</f>
        <v>DO-10</v>
      </c>
      <c r="B56" s="19" t="str">
        <f>IF('Master Plan'!D56="","",'Master Plan'!D56)</f>
        <v>L1 Physical vs XBS (F30)</v>
      </c>
      <c r="C56" s="19" t="str">
        <f>IF('Master Plan'!F56="","",'Master Plan'!F56)</f>
        <v>Denis Otieno</v>
      </c>
      <c r="D56" s="20">
        <f>IF('Master Plan'!H56="","",'Master Plan'!H56)</f>
        <v>46322</v>
      </c>
      <c r="E56" s="20">
        <f>IF('Master Plan'!I56="","",'Master Plan'!I56)</f>
        <v>46324</v>
      </c>
      <c r="F56" s="19" t="str">
        <f>IF('Master Plan'!O56="","",'Master Plan'!O56)</f>
        <v>Not started</v>
      </c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</row>
    <row r="57" spans="1:18">
      <c r="A57" s="19" t="str">
        <f>IF('Master Plan'!A57="","",'Master Plan'!A57)</f>
        <v>DO-11</v>
      </c>
      <c r="B57" s="19" t="str">
        <f>IF('Master Plan'!D57="","",'Master Plan'!D57)</f>
        <v>L2 XBS vs Comtras</v>
      </c>
      <c r="C57" s="19" t="str">
        <f>IF('Master Plan'!F57="","",'Master Plan'!F57)</f>
        <v>Denis Otieno</v>
      </c>
      <c r="D57" s="20">
        <f>IF('Master Plan'!H57="","",'Master Plan'!H57)</f>
        <v>46324</v>
      </c>
      <c r="E57" s="20">
        <f>IF('Master Plan'!I57="","",'Master Plan'!I57)</f>
        <v>46329</v>
      </c>
      <c r="F57" s="19" t="str">
        <f>IF('Master Plan'!O57="","",'Master Plan'!O57)</f>
        <v>Not started</v>
      </c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</row>
    <row r="58" spans="1:18">
      <c r="A58" s="19" t="str">
        <f>IF('Master Plan'!A58="","",'Master Plan'!A58)</f>
        <v>DO-12</v>
      </c>
      <c r="B58" s="19" t="str">
        <f>IF('Master Plan'!D58="","",'Master Plan'!D58)</f>
        <v>L3 Baskets vs Contracts</v>
      </c>
      <c r="C58" s="19" t="str">
        <f>IF('Master Plan'!F58="","",'Master Plan'!F58)</f>
        <v>Denis Otieno</v>
      </c>
      <c r="D58" s="20">
        <f>IF('Master Plan'!H58="","",'Master Plan'!H58)</f>
        <v>46328</v>
      </c>
      <c r="E58" s="20">
        <f>IF('Master Plan'!I58="","",'Master Plan'!I58)</f>
        <v>46330</v>
      </c>
      <c r="F58" s="19" t="str">
        <f>IF('Master Plan'!O58="","",'Master Plan'!O58)</f>
        <v>Not started</v>
      </c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</row>
    <row r="59" spans="1:18">
      <c r="A59" s="19" t="str">
        <f>IF('Master Plan'!A59="","",'Master Plan'!A59)</f>
        <v>DO-13</v>
      </c>
      <c r="B59" s="19" t="str">
        <f>IF('Master Plan'!D59="","",'Master Plan'!D59)</f>
        <v>F20 daily rules EX05–EX20 + upsert child flow</v>
      </c>
      <c r="C59" s="19" t="str">
        <f>IF('Master Plan'!F59="","",'Master Plan'!F59)</f>
        <v>Denis Otieno</v>
      </c>
      <c r="D59" s="20">
        <f>IF('Master Plan'!H59="","",'Master Plan'!H59)</f>
        <v>46323</v>
      </c>
      <c r="E59" s="20">
        <f>IF('Master Plan'!I59="","",'Master Plan'!I59)</f>
        <v>46330</v>
      </c>
      <c r="F59" s="19" t="str">
        <f>IF('Master Plan'!O59="","",'Master Plan'!O59)</f>
        <v>Not started</v>
      </c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</row>
    <row r="60" spans="1:18">
      <c r="A60" s="19" t="str">
        <f>IF('Master Plan'!A60="","",'Master Plan'!A60)</f>
        <v>DO-14</v>
      </c>
      <c r="B60" s="19" t="str">
        <f>IF('Master Plan'!D60="","",'Master Plan'!D60)</f>
        <v>F23 provisional auto-match, F28 correction posting check</v>
      </c>
      <c r="C60" s="19" t="str">
        <f>IF('Master Plan'!F60="","",'Master Plan'!F60)</f>
        <v>Denis Otieno</v>
      </c>
      <c r="D60" s="20">
        <f>IF('Master Plan'!H60="","",'Master Plan'!H60)</f>
        <v>46329</v>
      </c>
      <c r="E60" s="20">
        <f>IF('Master Plan'!I60="","",'Master Plan'!I60)</f>
        <v>46331</v>
      </c>
      <c r="F60" s="19" t="str">
        <f>IF('Master Plan'!O60="","",'Master Plan'!O60)</f>
        <v>Not started</v>
      </c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</row>
    <row r="61" spans="1:18">
      <c r="A61" s="19" t="str">
        <f>IF('Master Plan'!A61="","",'Master Plan'!A61)</f>
        <v>NI-04</v>
      </c>
      <c r="B61" s="19" t="str">
        <f>IF('Master Plan'!D61="","",'Master Plan'!D61)</f>
        <v>Power BI model</v>
      </c>
      <c r="C61" s="19" t="str">
        <f>IF('Master Plan'!F61="","",'Master Plan'!F61)</f>
        <v>Nicole Akinyi</v>
      </c>
      <c r="D61" s="20">
        <f>IF('Master Plan'!H61="","",'Master Plan'!H61)</f>
        <v>46321</v>
      </c>
      <c r="E61" s="20">
        <f>IF('Master Plan'!I61="","",'Master Plan'!I61)</f>
        <v>46323</v>
      </c>
      <c r="F61" s="19" t="str">
        <f>IF('Master Plan'!O61="","",'Master Plan'!O61)</f>
        <v>Not started</v>
      </c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</row>
    <row r="62" spans="1:18">
      <c r="A62" s="19" t="str">
        <f>IF('Master Plan'!A62="","",'Master Plan'!A62)</f>
        <v>NI-05</v>
      </c>
      <c r="B62" s="19" t="str">
        <f>IF('Master Plan'!D62="","",'Master Plan'!D62)</f>
        <v>DAX measures</v>
      </c>
      <c r="C62" s="19" t="str">
        <f>IF('Master Plan'!F62="","",'Master Plan'!F62)</f>
        <v>Nicole Akinyi</v>
      </c>
      <c r="D62" s="20">
        <f>IF('Master Plan'!H62="","",'Master Plan'!H62)</f>
        <v>46323</v>
      </c>
      <c r="E62" s="20">
        <f>IF('Master Plan'!I62="","",'Master Plan'!I62)</f>
        <v>46324</v>
      </c>
      <c r="F62" s="19" t="str">
        <f>IF('Master Plan'!O62="","",'Master Plan'!O62)</f>
        <v>Not started</v>
      </c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</row>
    <row r="63" spans="1:18">
      <c r="A63" s="19" t="str">
        <f>IF('Master Plan'!A63="","",'Master Plan'!A63)</f>
        <v>NI-06</v>
      </c>
      <c r="B63" s="19" t="str">
        <f>IF('Master Plan'!D63="","",'Master Plan'!D63)</f>
        <v>Eight report pages</v>
      </c>
      <c r="C63" s="19" t="str">
        <f>IF('Master Plan'!F63="","",'Master Plan'!F63)</f>
        <v>Nicole Akinyi</v>
      </c>
      <c r="D63" s="20">
        <f>IF('Master Plan'!H63="","",'Master Plan'!H63)</f>
        <v>46324</v>
      </c>
      <c r="E63" s="20">
        <f>IF('Master Plan'!I63="","",'Master Plan'!I63)</f>
        <v>46330</v>
      </c>
      <c r="F63" s="19" t="str">
        <f>IF('Master Plan'!O63="","",'Master Plan'!O63)</f>
        <v>Not started</v>
      </c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</row>
    <row r="64" spans="1:18">
      <c r="A64" s="19" t="str">
        <f>IF('Master Plan'!A64="","",'Master Plan'!A64)</f>
        <v>NI-07</v>
      </c>
      <c r="B64" s="19" t="str">
        <f>IF('Master Plan'!D64="","",'Master Plan'!D64)</f>
        <v>RLS, workspace app, embed</v>
      </c>
      <c r="C64" s="19" t="str">
        <f>IF('Master Plan'!F64="","",'Master Plan'!F64)</f>
        <v>Nicole Akinyi</v>
      </c>
      <c r="D64" s="20">
        <f>IF('Master Plan'!H64="","",'Master Plan'!H64)</f>
        <v>46330</v>
      </c>
      <c r="E64" s="20">
        <f>IF('Master Plan'!I64="","",'Master Plan'!I64)</f>
        <v>46331</v>
      </c>
      <c r="F64" s="19" t="str">
        <f>IF('Master Plan'!O64="","",'Master Plan'!O64)</f>
        <v>Not started</v>
      </c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</row>
    <row r="65" spans="1:18">
      <c r="A65" s="19" t="str">
        <f>IF('Master Plan'!A65="","",'Master Plan'!A65)</f>
        <v>NI-08</v>
      </c>
      <c r="B65" s="19" t="str">
        <f>IF('Master Plan'!D65="","",'Master Plan'!D65)</f>
        <v>Month-end pack template (F32)</v>
      </c>
      <c r="C65" s="19" t="str">
        <f>IF('Master Plan'!F65="","",'Master Plan'!F65)</f>
        <v>Nicole Akinyi</v>
      </c>
      <c r="D65" s="20">
        <f>IF('Master Plan'!H65="","",'Master Plan'!H65)</f>
        <v>46329</v>
      </c>
      <c r="E65" s="20">
        <f>IF('Master Plan'!I65="","",'Master Plan'!I65)</f>
        <v>46332</v>
      </c>
      <c r="F65" s="19" t="str">
        <f>IF('Master Plan'!O65="","",'Master Plan'!O65)</f>
        <v>Not started</v>
      </c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</row>
    <row r="66" spans="1:18">
      <c r="A66" s="19" t="str">
        <f>IF('Master Plan'!A66="","",'Master Plan'!A66)</f>
        <v>WI-06</v>
      </c>
      <c r="B66" s="19" t="str">
        <f>IF('Master Plan'!D66="","",'Master Plan'!D66)</f>
        <v>S6 Location summary and close; F11 bulk submit</v>
      </c>
      <c r="C66" s="19" t="str">
        <f>IF('Master Plan'!F66="","",'Master Plan'!F66)</f>
        <v>William Imo</v>
      </c>
      <c r="D66" s="20">
        <f>IF('Master Plan'!H66="","",'Master Plan'!H66)</f>
        <v>46321</v>
      </c>
      <c r="E66" s="20">
        <f>IF('Master Plan'!I66="","",'Master Plan'!I66)</f>
        <v>46322</v>
      </c>
      <c r="F66" s="19" t="str">
        <f>IF('Master Plan'!O66="","",'Master Plan'!O66)</f>
        <v>Not started</v>
      </c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</row>
    <row r="67" spans="1:18">
      <c r="A67" s="19" t="str">
        <f>IF('Master Plan'!A67="","",'Master Plan'!A67)</f>
        <v>WI-07</v>
      </c>
      <c r="B67" s="19" t="str">
        <f>IF('Master Plan'!D67="","",'Master Plan'!D67)</f>
        <v>Offline queue and sync (S9)</v>
      </c>
      <c r="C67" s="19" t="str">
        <f>IF('Master Plan'!F67="","",'Master Plan'!F67)</f>
        <v>William Imo</v>
      </c>
      <c r="D67" s="20">
        <f>IF('Master Plan'!H67="","",'Master Plan'!H67)</f>
        <v>46322</v>
      </c>
      <c r="E67" s="20">
        <f>IF('Master Plan'!I67="","",'Master Plan'!I67)</f>
        <v>46324</v>
      </c>
      <c r="F67" s="19" t="str">
        <f>IF('Master Plan'!O67="","",'Master Plan'!O67)</f>
        <v>Not started</v>
      </c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</row>
    <row r="68" spans="1:18">
      <c r="A68" s="19" t="str">
        <f>IF('Master Plan'!A68="","",'Master Plan'!A68)</f>
        <v>WI-08</v>
      </c>
      <c r="B68" s="19" t="str">
        <f>IF('Master Plan'!D68="","",'Master Plan'!D68)</f>
        <v>Smart warnings + F12 not-in-list alert</v>
      </c>
      <c r="C68" s="19" t="str">
        <f>IF('Master Plan'!F68="","",'Master Plan'!F68)</f>
        <v>William Imo</v>
      </c>
      <c r="D68" s="20">
        <f>IF('Master Plan'!H68="","",'Master Plan'!H68)</f>
        <v>46323</v>
      </c>
      <c r="E68" s="20">
        <f>IF('Master Plan'!I68="","",'Master Plan'!I68)</f>
        <v>46325</v>
      </c>
      <c r="F68" s="19" t="str">
        <f>IF('Master Plan'!O68="","",'Master Plan'!O68)</f>
        <v>Not started</v>
      </c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</row>
    <row r="69" spans="1:18">
      <c r="A69" s="19" t="str">
        <f>IF('Master Plan'!A69="","",'Master Plan'!A69)</f>
        <v>WI-09</v>
      </c>
      <c r="B69" s="19" t="str">
        <f>IF('Master Plan'!D69="","",'Master Plan'!D69)</f>
        <v>S7 Recount (double-blind), S8 100% issue/receive, S10 Help</v>
      </c>
      <c r="C69" s="19" t="str">
        <f>IF('Master Plan'!F69="","",'Master Plan'!F69)</f>
        <v>William Imo</v>
      </c>
      <c r="D69" s="20">
        <f>IF('Master Plan'!H69="","",'Master Plan'!H69)</f>
        <v>46324</v>
      </c>
      <c r="E69" s="20">
        <f>IF('Master Plan'!I69="","",'Master Plan'!I69)</f>
        <v>46328</v>
      </c>
      <c r="F69" s="19" t="str">
        <f>IF('Master Plan'!O69="","",'Master Plan'!O69)</f>
        <v>Not started</v>
      </c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</row>
    <row r="70" spans="1:18">
      <c r="A70" s="19" t="str">
        <f>IF('Master Plan'!A70="","",'Master Plan'!A70)</f>
        <v>WI-10</v>
      </c>
      <c r="B70" s="19" t="str">
        <f>IF('Master Plan'!D70="","",'Master Plan'!D70)</f>
        <v>Device and floor testing</v>
      </c>
      <c r="C70" s="19" t="str">
        <f>IF('Master Plan'!F70="","",'Master Plan'!F70)</f>
        <v>William Imo</v>
      </c>
      <c r="D70" s="20">
        <f>IF('Master Plan'!H70="","",'Master Plan'!H70)</f>
        <v>46329</v>
      </c>
      <c r="E70" s="20">
        <f>IF('Master Plan'!I70="","",'Master Plan'!I70)</f>
        <v>46331</v>
      </c>
      <c r="F70" s="19" t="str">
        <f>IF('Master Plan'!O70="","",'Master Plan'!O70)</f>
        <v>Not started</v>
      </c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</row>
    <row r="71" spans="1:18">
      <c r="A71" s="19" t="str">
        <f>IF('Master Plan'!A71="","",'Master Plan'!A71)</f>
        <v>AN-05</v>
      </c>
      <c r="B71" s="19" t="str">
        <f>IF('Master Plan'!D71="","",'Master Plan'!D71)</f>
        <v>Assignments board and auto-balance</v>
      </c>
      <c r="C71" s="19" t="str">
        <f>IF('Master Plan'!F71="","",'Master Plan'!F71)</f>
        <v>Andrew Tanui</v>
      </c>
      <c r="D71" s="20">
        <f>IF('Master Plan'!H71="","",'Master Plan'!H71)</f>
        <v>46321</v>
      </c>
      <c r="E71" s="20">
        <f>IF('Master Plan'!I71="","",'Master Plan'!I71)</f>
        <v>46322</v>
      </c>
      <c r="F71" s="19" t="str">
        <f>IF('Master Plan'!O71="","",'Master Plan'!O71)</f>
        <v>Not started</v>
      </c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</row>
    <row r="72" spans="1:18">
      <c r="A72" s="19" t="str">
        <f>IF('Master Plan'!A72="","",'Master Plan'!A72)</f>
        <v>AN-06</v>
      </c>
      <c r="B72" s="19" t="str">
        <f>IF('Master Plan'!D72="","",'Master Plan'!D72)</f>
        <v>Live monitor</v>
      </c>
      <c r="C72" s="19" t="str">
        <f>IF('Master Plan'!F72="","",'Master Plan'!F72)</f>
        <v>Andrew Tanui</v>
      </c>
      <c r="D72" s="20">
        <f>IF('Master Plan'!H72="","",'Master Plan'!H72)</f>
        <v>46322</v>
      </c>
      <c r="E72" s="20">
        <f>IF('Master Plan'!I72="","",'Master Plan'!I72)</f>
        <v>46324</v>
      </c>
      <c r="F72" s="19" t="str">
        <f>IF('Master Plan'!O72="","",'Master Plan'!O72)</f>
        <v>Not started</v>
      </c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</row>
    <row r="73" spans="1:18">
      <c r="A73" s="19" t="str">
        <f>IF('Master Plan'!A73="","",'Master Plan'!A73)</f>
        <v>AN-07</v>
      </c>
      <c r="B73" s="19" t="str">
        <f>IF('Master Plan'!D73="","",'Master Plan'!D73)</f>
        <v>F13 location variance check, recount and unidentified queues</v>
      </c>
      <c r="C73" s="19" t="str">
        <f>IF('Master Plan'!F73="","",'Master Plan'!F73)</f>
        <v>Andrew Tanui</v>
      </c>
      <c r="D73" s="20">
        <f>IF('Master Plan'!H73="","",'Master Plan'!H73)</f>
        <v>46324</v>
      </c>
      <c r="E73" s="20">
        <f>IF('Master Plan'!I73="","",'Master Plan'!I73)</f>
        <v>46325</v>
      </c>
      <c r="F73" s="19" t="str">
        <f>IF('Master Plan'!O73="","",'Master Plan'!O73)</f>
        <v>Not started</v>
      </c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</row>
    <row r="74" spans="1:18">
      <c r="A74" s="19" t="str">
        <f>IF('Master Plan'!A74="","",'Master Plan'!A74)</f>
        <v>AN-08</v>
      </c>
      <c r="B74" s="19" t="str">
        <f>IF('Master Plan'!D74="","",'Master Plan'!D74)</f>
        <v>Variance review, manual approvals, close count + F14</v>
      </c>
      <c r="C74" s="19" t="str">
        <f>IF('Master Plan'!F74="","",'Master Plan'!F74)</f>
        <v>Andrew Tanui</v>
      </c>
      <c r="D74" s="20">
        <f>IF('Master Plan'!H74="","",'Master Plan'!H74)</f>
        <v>46328</v>
      </c>
      <c r="E74" s="20">
        <f>IF('Master Plan'!I74="","",'Master Plan'!I74)</f>
        <v>46329</v>
      </c>
      <c r="F74" s="19" t="str">
        <f>IF('Master Plan'!O74="","",'Master Plan'!O74)</f>
        <v>Not started</v>
      </c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</row>
    <row r="75" spans="1:18">
      <c r="A75" s="19" t="str">
        <f>IF('Master Plan'!A75="","",'Master Plan'!A75)</f>
        <v>AN-09</v>
      </c>
      <c r="B75" s="19" t="str">
        <f>IF('Master Plan'!D75="","",'Master Plan'!D75)</f>
        <v>Third-party confirmations + F15</v>
      </c>
      <c r="C75" s="19" t="str">
        <f>IF('Master Plan'!F75="","",'Master Plan'!F75)</f>
        <v>Andrew Tanui</v>
      </c>
      <c r="D75" s="20">
        <f>IF('Master Plan'!H75="","",'Master Plan'!H75)</f>
        <v>46330</v>
      </c>
      <c r="E75" s="20">
        <f>IF('Master Plan'!I75="","",'Master Plan'!I75)</f>
        <v>46331</v>
      </c>
      <c r="F75" s="19" t="str">
        <f>IF('Master Plan'!O75="","",'Master Plan'!O75)</f>
        <v>Not started</v>
      </c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</row>
    <row r="76" spans="1:18">
      <c r="A76" s="19" t="str">
        <f>IF('Master Plan'!A76="","",'Master Plan'!A76)</f>
        <v>AN-10</v>
      </c>
      <c r="B76" s="19" t="str">
        <f>IF('Master Plan'!D76="","",'Master Plan'!D76)</f>
        <v>Registers + F24, Imports &amp; load log, Audit</v>
      </c>
      <c r="C76" s="19" t="str">
        <f>IF('Master Plan'!F76="","",'Master Plan'!F76)</f>
        <v>Andrew Tanui</v>
      </c>
      <c r="D76" s="20">
        <f>IF('Master Plan'!H76="","",'Master Plan'!H76)</f>
        <v>46331</v>
      </c>
      <c r="E76" s="20">
        <f>IF('Master Plan'!I76="","",'Master Plan'!I76)</f>
        <v>46332</v>
      </c>
      <c r="F76" s="19" t="str">
        <f>IF('Master Plan'!O76="","",'Master Plan'!O76)</f>
        <v>Not started</v>
      </c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</row>
    <row r="77" spans="1:18">
      <c r="A77" s="19" t="str">
        <f>IF('Master Plan'!A77="","",'Master Plan'!A77)</f>
        <v>JO-04</v>
      </c>
      <c r="B77" s="19" t="str">
        <f>IF('Master Plan'!D77="","",'Master Plan'!D77)</f>
        <v>Contracts lineage + F26, provisional pipeline views</v>
      </c>
      <c r="C77" s="19" t="str">
        <f>IF('Master Plan'!F77="","",'Master Plan'!F77)</f>
        <v>Jones Alukwe</v>
      </c>
      <c r="D77" s="20">
        <f>IF('Master Plan'!H77="","",'Master Plan'!H77)</f>
        <v>46321</v>
      </c>
      <c r="E77" s="20">
        <f>IF('Master Plan'!I77="","",'Master Plan'!I77)</f>
        <v>46322</v>
      </c>
      <c r="F77" s="19" t="str">
        <f>IF('Master Plan'!O77="","",'Master Plan'!O77)</f>
        <v>Not started</v>
      </c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</row>
    <row r="78" spans="1:18">
      <c r="A78" s="19" t="str">
        <f>IF('Master Plan'!A78="","",'Master Plan'!A78)</f>
        <v>JO-05</v>
      </c>
      <c r="B78" s="19" t="str">
        <f>IF('Master Plan'!D78="","",'Master Plan'!D78)</f>
        <v>Exception register + F21 notifications</v>
      </c>
      <c r="C78" s="19" t="str">
        <f>IF('Master Plan'!F78="","",'Master Plan'!F78)</f>
        <v>Jones Alukwe</v>
      </c>
      <c r="D78" s="20">
        <f>IF('Master Plan'!H78="","",'Master Plan'!H78)</f>
        <v>46322</v>
      </c>
      <c r="E78" s="20">
        <f>IF('Master Plan'!I78="","",'Master Plan'!I78)</f>
        <v>46324</v>
      </c>
      <c r="F78" s="19" t="str">
        <f>IF('Master Plan'!O78="","",'Master Plan'!O78)</f>
        <v>Not started</v>
      </c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</row>
    <row r="79" spans="1:18">
      <c r="A79" s="19" t="str">
        <f>IF('Master Plan'!A79="","",'Master Plan'!A79)</f>
        <v>JO-06</v>
      </c>
      <c r="B79" s="19" t="str">
        <f>IF('Master Plan'!D79="","",'Master Plan'!D79)</f>
        <v>Reconciliation workspace (custom page)</v>
      </c>
      <c r="C79" s="19" t="str">
        <f>IF('Master Plan'!F79="","",'Master Plan'!F79)</f>
        <v>Jones Alukwe</v>
      </c>
      <c r="D79" s="20">
        <f>IF('Master Plan'!H79="","",'Master Plan'!H79)</f>
        <v>46323</v>
      </c>
      <c r="E79" s="20">
        <f>IF('Master Plan'!I79="","",'Master Plan'!I79)</f>
        <v>46329</v>
      </c>
      <c r="F79" s="19" t="str">
        <f>IF('Master Plan'!O79="","",'Master Plan'!O79)</f>
        <v>Not started</v>
      </c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</row>
    <row r="80" spans="1:18">
      <c r="A80" s="19" t="str">
        <f>IF('Master Plan'!A80="","",'Master Plan'!A80)</f>
        <v>JO-07</v>
      </c>
      <c r="B80" s="19" t="str">
        <f>IF('Master Plan'!D80="","",'Master Plan'!D80)</f>
        <v>Corrections + approval matrix + F27 batch</v>
      </c>
      <c r="C80" s="19" t="str">
        <f>IF('Master Plan'!F80="","",'Master Plan'!F80)</f>
        <v>Jones Alukwe</v>
      </c>
      <c r="D80" s="20">
        <f>IF('Master Plan'!H80="","",'Master Plan'!H80)</f>
        <v>46328</v>
      </c>
      <c r="E80" s="20">
        <f>IF('Master Plan'!I80="","",'Master Plan'!I80)</f>
        <v>46329</v>
      </c>
      <c r="F80" s="19" t="str">
        <f>IF('Master Plan'!O80="","",'Master Plan'!O80)</f>
        <v>Not started</v>
      </c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</row>
    <row r="81" spans="1:18">
      <c r="A81" s="19" t="str">
        <f>IF('Master Plan'!A81="","",'Master Plan'!A81)</f>
        <v>JO-08</v>
      </c>
      <c r="B81" s="19" t="str">
        <f>IF('Master Plan'!D81="","",'Master Plan'!D81)</f>
        <v>Downgrade worksheet + F25; SNI/shorts views; feedback log</v>
      </c>
      <c r="C81" s="19" t="str">
        <f>IF('Master Plan'!F81="","",'Master Plan'!F81)</f>
        <v>Jones Alukwe</v>
      </c>
      <c r="D81" s="20">
        <f>IF('Master Plan'!H81="","",'Master Plan'!H81)</f>
        <v>46329</v>
      </c>
      <c r="E81" s="20">
        <f>IF('Master Plan'!I81="","",'Master Plan'!I81)</f>
        <v>46330</v>
      </c>
      <c r="F81" s="19" t="str">
        <f>IF('Master Plan'!O81="","",'Master Plan'!O81)</f>
        <v>Not started</v>
      </c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</row>
    <row r="82" spans="1:18">
      <c r="A82" s="19" t="str">
        <f>IF('Master Plan'!A82="","",'Master Plan'!A82)</f>
        <v>JO-09</v>
      </c>
      <c r="B82" s="19" t="str">
        <f>IF('Master Plan'!D82="","",'Master Plan'!D82)</f>
        <v>Sign-off BPF + F31 gate/lock + F32 trigger</v>
      </c>
      <c r="C82" s="19" t="str">
        <f>IF('Master Plan'!F82="","",'Master Plan'!F82)</f>
        <v>Jones Alukwe</v>
      </c>
      <c r="D82" s="20">
        <f>IF('Master Plan'!H82="","",'Master Plan'!H82)</f>
        <v>46330</v>
      </c>
      <c r="E82" s="20">
        <f>IF('Master Plan'!I82="","",'Master Plan'!I82)</f>
        <v>46332</v>
      </c>
      <c r="F82" s="19" t="str">
        <f>IF('Master Plan'!O82="","",'Master Plan'!O82)</f>
        <v>Not started</v>
      </c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</row>
    <row r="83" spans="1:18">
      <c r="A83" s="19" t="str">
        <f>IF('Master Plan'!A83="","",'Master Plan'!A83)</f>
        <v>JO-10</v>
      </c>
      <c r="B83" s="19" t="str">
        <f>IF('Master Plan'!D83="","",'Master Plan'!D83)</f>
        <v>Stock Assistant set-up + topics T1–T5</v>
      </c>
      <c r="C83" s="19" t="str">
        <f>IF('Master Plan'!F83="","",'Master Plan'!F83)</f>
        <v>Jones Alukwe</v>
      </c>
      <c r="D83" s="20">
        <f>IF('Master Plan'!H83="","",'Master Plan'!H83)</f>
        <v>46328</v>
      </c>
      <c r="E83" s="20">
        <f>IF('Master Plan'!I83="","",'Master Plan'!I83)</f>
        <v>46332</v>
      </c>
      <c r="F83" s="19" t="str">
        <f>IF('Master Plan'!O83="","",'Master Plan'!O83)</f>
        <v>Not started</v>
      </c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</row>
    <row r="84" spans="1:18">
      <c r="A84" s="19" t="str">
        <f>IF('Master Plan'!A84="","",'Master Plan'!A84)</f>
        <v>MO-10</v>
      </c>
      <c r="B84" s="19" t="str">
        <f>IF('Master Plan'!D84="","",'Master Plan'!D84)</f>
        <v>Engine design review</v>
      </c>
      <c r="C84" s="19" t="str">
        <f>IF('Master Plan'!F84="","",'Master Plan'!F84)</f>
        <v>Moses Masibo</v>
      </c>
      <c r="D84" s="20">
        <f>IF('Master Plan'!H84="","",'Master Plan'!H84)</f>
        <v>46323</v>
      </c>
      <c r="E84" s="20">
        <f>IF('Master Plan'!I84="","",'Master Plan'!I84)</f>
        <v>46324</v>
      </c>
      <c r="F84" s="19" t="str">
        <f>IF('Master Plan'!O84="","",'Master Plan'!O84)</f>
        <v>Not started</v>
      </c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</row>
    <row r="85" spans="1:18">
      <c r="A85" s="19" t="str">
        <f>IF('Master Plan'!A85="","",'Master Plan'!A85)</f>
        <v>MO-11</v>
      </c>
      <c r="B85" s="19" t="str">
        <f>IF('Master Plan'!D85="","",'Master Plan'!D85)</f>
        <v>F40 health check, F41 housekeeping, Teams STK Support channel</v>
      </c>
      <c r="C85" s="19" t="str">
        <f>IF('Master Plan'!F85="","",'Master Plan'!F85)</f>
        <v>Moses Masibo</v>
      </c>
      <c r="D85" s="20">
        <f>IF('Master Plan'!H85="","",'Master Plan'!H85)</f>
        <v>46328</v>
      </c>
      <c r="E85" s="20">
        <f>IF('Master Plan'!I85="","",'Master Plan'!I85)</f>
        <v>46330</v>
      </c>
      <c r="F85" s="19" t="str">
        <f>IF('Master Plan'!O85="","",'Master Plan'!O85)</f>
        <v>Not started</v>
      </c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</row>
    <row r="86" spans="1:18">
      <c r="A86" s="19" t="str">
        <f>IF('Master Plan'!A86="","",'Master Plan'!A86)</f>
        <v>MO-12</v>
      </c>
      <c r="B86" s="19" t="str">
        <f>IF('Master Plan'!D86="","",'Master Plan'!D86)</f>
        <v>Pull-request reviews (ongoing)</v>
      </c>
      <c r="C86" s="19" t="str">
        <f>IF('Master Plan'!F86="","",'Master Plan'!F86)</f>
        <v>Moses Masibo</v>
      </c>
      <c r="D86" s="20">
        <f>IF('Master Plan'!H86="","",'Master Plan'!H86)</f>
        <v>46307</v>
      </c>
      <c r="E86" s="20">
        <f>IF('Master Plan'!I86="","",'Master Plan'!I86)</f>
        <v>46332</v>
      </c>
      <c r="F86" s="19" t="str">
        <f>IF('Master Plan'!O86="","",'Master Plan'!O86)</f>
        <v>Not started</v>
      </c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</row>
    <row r="87" spans="1:18">
      <c r="A87" s="19" t="str">
        <f>IF('Master Plan'!A87="","",'Master Plan'!A87)</f>
        <v>FR-03</v>
      </c>
      <c r="B87" s="19" t="str">
        <f>IF('Master Plan'!D87="","",'Master Plan'!D87)</f>
        <v>Execute SIT scripts (rolling as features land)</v>
      </c>
      <c r="C87" s="19" t="str">
        <f>IF('Master Plan'!F87="","",'Master Plan'!F87)</f>
        <v>Frankie Omasaja</v>
      </c>
      <c r="D87" s="20">
        <f>IF('Master Plan'!H87="","",'Master Plan'!H87)</f>
        <v>46321</v>
      </c>
      <c r="E87" s="20">
        <f>IF('Master Plan'!I87="","",'Master Plan'!I87)</f>
        <v>46332</v>
      </c>
      <c r="F87" s="19" t="str">
        <f>IF('Master Plan'!O87="","",'Master Plan'!O87)</f>
        <v>Not started</v>
      </c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</row>
    <row r="88" spans="1:18">
      <c r="A88" s="19" t="str">
        <f>IF('Master Plan'!A88="","",'Master Plan'!A88)</f>
        <v>PM-31</v>
      </c>
      <c r="B88" s="19" t="str">
        <f>IF('Master Plan'!D88="","",'Master Plan'!D88)</f>
        <v>Plan October month-end parallel run</v>
      </c>
      <c r="C88" s="19" t="str">
        <f>IF('Master Plan'!F88="","",'Master Plan'!F88)</f>
        <v>Daphne Okwaro</v>
      </c>
      <c r="D88" s="20">
        <f>IF('Master Plan'!H88="","",'Master Plan'!H88)</f>
        <v>46321</v>
      </c>
      <c r="E88" s="20">
        <f>IF('Master Plan'!I88="","",'Master Plan'!I88)</f>
        <v>46325</v>
      </c>
      <c r="F88" s="19" t="str">
        <f>IF('Master Plan'!O88="","",'Master Plan'!O88)</f>
        <v>Not started</v>
      </c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</row>
    <row r="89" spans="1:18">
      <c r="A89" s="19" t="str">
        <f>IF('Master Plan'!A89="","",'Master Plan'!A89)</f>
        <v>AN-11</v>
      </c>
      <c r="B89" s="19" t="str">
        <f>IF('Master Plan'!D89="","",'Master Plan'!D89)</f>
        <v>Print and fix QR labels on bays for parallel run</v>
      </c>
      <c r="C89" s="19" t="str">
        <f>IF('Master Plan'!F89="","",'Master Plan'!F89)</f>
        <v>Andrew Tanui</v>
      </c>
      <c r="D89" s="20">
        <f>IF('Master Plan'!H89="","",'Master Plan'!H89)</f>
        <v>46324</v>
      </c>
      <c r="E89" s="20">
        <f>IF('Master Plan'!I89="","",'Master Plan'!I89)</f>
        <v>46325</v>
      </c>
      <c r="F89" s="19" t="str">
        <f>IF('Master Plan'!O89="","",'Master Plan'!O89)</f>
        <v>Not started</v>
      </c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</row>
    <row r="90" spans="1:18">
      <c r="A90" s="19" t="str">
        <f>IF('Master Plan'!A90="","",'Master Plan'!A90)</f>
        <v>DO-15</v>
      </c>
      <c r="B90" s="19" t="str">
        <f>IF('Master Plan'!D90="","",'Master Plan'!D90)</f>
        <v>Load October month-end snapshots into UAT and lock</v>
      </c>
      <c r="C90" s="19" t="str">
        <f>IF('Master Plan'!F90="","",'Master Plan'!F90)</f>
        <v>Denis Otieno</v>
      </c>
      <c r="D90" s="20">
        <f>IF('Master Plan'!H90="","",'Master Plan'!H90)</f>
        <v>46328</v>
      </c>
      <c r="E90" s="20">
        <f>IF('Master Plan'!I90="","",'Master Plan'!I90)</f>
        <v>46328</v>
      </c>
      <c r="F90" s="19" t="str">
        <f>IF('Master Plan'!O90="","",'Master Plan'!O90)</f>
        <v>Not started</v>
      </c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</row>
    <row r="91" spans="1:18">
      <c r="A91" s="19" t="str">
        <f>IF('Master Plan'!A91="","",'Master Plan'!A91)</f>
        <v>WI-11</v>
      </c>
      <c r="B91" s="19" t="str">
        <f>IF('Master Plan'!D91="","",'Master Plan'!D91)</f>
        <v>Floor support during parallel count</v>
      </c>
      <c r="C91" s="19" t="str">
        <f>IF('Master Plan'!F91="","",'Master Plan'!F91)</f>
        <v>William Imo</v>
      </c>
      <c r="D91" s="20">
        <f>IF('Master Plan'!H91="","",'Master Plan'!H91)</f>
        <v>46328</v>
      </c>
      <c r="E91" s="20">
        <f>IF('Master Plan'!I91="","",'Master Plan'!I91)</f>
        <v>46330</v>
      </c>
      <c r="F91" s="19" t="str">
        <f>IF('Master Plan'!O91="","",'Master Plan'!O91)</f>
        <v>Not started</v>
      </c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</row>
    <row r="92" spans="1:18">
      <c r="A92" s="19" t="str">
        <f>IF('Master Plan'!A92="","",'Master Plan'!A92)</f>
        <v>DO-16</v>
      </c>
      <c r="B92" s="19" t="str">
        <f>IF('Master Plan'!D92="","",'Master Plan'!D92)</f>
        <v>Run L1–L3 on October data and reconcile</v>
      </c>
      <c r="C92" s="19" t="str">
        <f>IF('Master Plan'!F92="","",'Master Plan'!F92)</f>
        <v>Denis Otieno</v>
      </c>
      <c r="D92" s="20">
        <f>IF('Master Plan'!H92="","",'Master Plan'!H92)</f>
        <v>46330</v>
      </c>
      <c r="E92" s="20">
        <f>IF('Master Plan'!I92="","",'Master Plan'!I92)</f>
        <v>46332</v>
      </c>
      <c r="F92" s="19" t="str">
        <f>IF('Master Plan'!O92="","",'Master Plan'!O92)</f>
        <v>Not started</v>
      </c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</row>
    <row r="93" spans="1:18">
      <c r="A93" s="19" t="str">
        <f>IF('Master Plan'!A93="","",'Master Plan'!A93)</f>
        <v>NI-09</v>
      </c>
      <c r="B93" s="19" t="str">
        <f>IF('Master Plan'!D93="","",'Master Plan'!D93)</f>
        <v>Parallel-run comparison report</v>
      </c>
      <c r="C93" s="19" t="str">
        <f>IF('Master Plan'!F93="","",'Master Plan'!F93)</f>
        <v>Nicole Akinyi</v>
      </c>
      <c r="D93" s="20">
        <f>IF('Master Plan'!H93="","",'Master Plan'!H93)</f>
        <v>46330</v>
      </c>
      <c r="E93" s="20">
        <f>IF('Master Plan'!I93="","",'Master Plan'!I93)</f>
        <v>46332</v>
      </c>
      <c r="F93" s="19" t="str">
        <f>IF('Master Plan'!O93="","",'Master Plan'!O93)</f>
        <v>Not started</v>
      </c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</row>
    <row r="94" spans="1:18">
      <c r="A94" s="19" t="str">
        <f>IF('Master Plan'!A94="","",'Master Plan'!A94)</f>
        <v>DO-17</v>
      </c>
      <c r="B94" s="19" t="str">
        <f>IF('Master Plan'!D94="","",'Master Plan'!D94)</f>
        <v>Tie-outs T1–T8 and T10</v>
      </c>
      <c r="C94" s="19" t="str">
        <f>IF('Master Plan'!F94="","",'Master Plan'!F94)</f>
        <v>Denis Otieno</v>
      </c>
      <c r="D94" s="20">
        <f>IF('Master Plan'!H94="","",'Master Plan'!H94)</f>
        <v>46328</v>
      </c>
      <c r="E94" s="20">
        <f>IF('Master Plan'!I94="","",'Master Plan'!I94)</f>
        <v>46332</v>
      </c>
      <c r="F94" s="19" t="str">
        <f>IF('Master Plan'!O94="","",'Master Plan'!O94)</f>
        <v>Not started</v>
      </c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</row>
    <row r="95" spans="1:18">
      <c r="A95" s="19" t="str">
        <f>IF('Master Plan'!A95="","",'Master Plan'!A95)</f>
        <v>NI-10</v>
      </c>
      <c r="B95" s="19" t="str">
        <f>IF('Master Plan'!D95="","",'Master Plan'!D95)</f>
        <v>T7 report vs source tie-out</v>
      </c>
      <c r="C95" s="19" t="str">
        <f>IF('Master Plan'!F95="","",'Master Plan'!F95)</f>
        <v>Nicole Akinyi</v>
      </c>
      <c r="D95" s="20">
        <f>IF('Master Plan'!H95="","",'Master Plan'!H95)</f>
        <v>46331</v>
      </c>
      <c r="E95" s="20">
        <f>IF('Master Plan'!I95="","",'Master Plan'!I95)</f>
        <v>46332</v>
      </c>
      <c r="F95" s="19" t="str">
        <f>IF('Master Plan'!O95="","",'Master Plan'!O95)</f>
        <v>Not started</v>
      </c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</row>
    <row r="96" spans="1:18">
      <c r="A96" s="19" t="str">
        <f>IF('Master Plan'!A96="","",'Master Plan'!A96)</f>
        <v>MO-13</v>
      </c>
      <c r="B96" s="19" t="str">
        <f>IF('Master Plan'!D96="","",'Master Plan'!D96)</f>
        <v>Performance and security tests</v>
      </c>
      <c r="C96" s="19" t="str">
        <f>IF('Master Plan'!F96="","",'Master Plan'!F96)</f>
        <v>Moses Masibo</v>
      </c>
      <c r="D96" s="20">
        <f>IF('Master Plan'!H96="","",'Master Plan'!H96)</f>
        <v>46329</v>
      </c>
      <c r="E96" s="20">
        <f>IF('Master Plan'!I96="","",'Master Plan'!I96)</f>
        <v>46332</v>
      </c>
      <c r="F96" s="19" t="str">
        <f>IF('Master Plan'!O96="","",'Master Plan'!O96)</f>
        <v>Not started</v>
      </c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</row>
    <row r="97" spans="1:18">
      <c r="A97" s="19" t="str">
        <f>IF('Master Plan'!A97="","",'Master Plan'!A97)</f>
        <v>PM-32</v>
      </c>
      <c r="B97" s="19" t="str">
        <f>IF('Master Plan'!D97="","",'Master Plan'!D97)</f>
        <v>Sprint 2 review / SIT exit</v>
      </c>
      <c r="C97" s="19" t="str">
        <f>IF('Master Plan'!F97="","",'Master Plan'!F97)</f>
        <v>Daphne Okwaro</v>
      </c>
      <c r="D97" s="20">
        <f>IF('Master Plan'!H97="","",'Master Plan'!H97)</f>
        <v>46332</v>
      </c>
      <c r="E97" s="20">
        <f>IF('Master Plan'!I97="","",'Master Plan'!I97)</f>
        <v>46332</v>
      </c>
      <c r="F97" s="19" t="str">
        <f>IF('Master Plan'!O97="","",'Master Plan'!O97)</f>
        <v>Not started</v>
      </c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</row>
    <row r="98" spans="1:18">
      <c r="A98" s="19" t="str">
        <f>IF('Master Plan'!A98="","",'Master Plan'!A98)</f>
        <v>PM-40</v>
      </c>
      <c r="B98" s="19" t="str">
        <f>IF('Master Plan'!D98="","",'Master Plan'!D98)</f>
        <v>Training plan, schedule and invites</v>
      </c>
      <c r="C98" s="19" t="str">
        <f>IF('Master Plan'!F98="","",'Master Plan'!F98)</f>
        <v>Daphne Okwaro</v>
      </c>
      <c r="D98" s="20">
        <f>IF('Master Plan'!H98="","",'Master Plan'!H98)</f>
        <v>46324</v>
      </c>
      <c r="E98" s="20">
        <f>IF('Master Plan'!I98="","",'Master Plan'!I98)</f>
        <v>46332</v>
      </c>
      <c r="F98" s="19" t="str">
        <f>IF('Master Plan'!O98="","",'Master Plan'!O98)</f>
        <v>Not started</v>
      </c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</row>
    <row r="99" spans="1:18">
      <c r="A99" s="19" t="str">
        <f>IF('Master Plan'!A99="","",'Master Plan'!A99)</f>
        <v>FR-04</v>
      </c>
      <c r="B99" s="19" t="str">
        <f>IF('Master Plan'!D99="","",'Master Plan'!D99)</f>
        <v>User guides and quick reference cards</v>
      </c>
      <c r="C99" s="19" t="str">
        <f>IF('Master Plan'!F99="","",'Master Plan'!F99)</f>
        <v>Frankie Omasaja</v>
      </c>
      <c r="D99" s="20">
        <f>IF('Master Plan'!H99="","",'Master Plan'!H99)</f>
        <v>46328</v>
      </c>
      <c r="E99" s="20">
        <f>IF('Master Plan'!I99="","",'Master Plan'!I99)</f>
        <v>46336</v>
      </c>
      <c r="F99" s="19" t="str">
        <f>IF('Master Plan'!O99="","",'Master Plan'!O99)</f>
        <v>Not started</v>
      </c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</row>
    <row r="100" spans="1:18">
      <c r="A100" s="19" t="str">
        <f>IF('Master Plan'!A100="","",'Master Plan'!A100)</f>
        <v>JO-11</v>
      </c>
      <c r="B100" s="19" t="str">
        <f>IF('Master Plan'!D100="","",'Master Plan'!D100)</f>
        <v>Topics T6–T10 + evaluation set</v>
      </c>
      <c r="C100" s="19" t="str">
        <f>IF('Master Plan'!F100="","",'Master Plan'!F100)</f>
        <v>Jones Alukwe</v>
      </c>
      <c r="D100" s="20">
        <f>IF('Master Plan'!H100="","",'Master Plan'!H100)</f>
        <v>46335</v>
      </c>
      <c r="E100" s="20">
        <f>IF('Master Plan'!I100="","",'Master Plan'!I100)</f>
        <v>46337</v>
      </c>
      <c r="F100" s="19" t="str">
        <f>IF('Master Plan'!O100="","",'Master Plan'!O100)</f>
        <v>Not started</v>
      </c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</row>
    <row r="101" spans="1:18">
      <c r="A101" s="19" t="str">
        <f>IF('Master Plan'!A101="","",'Master Plan'!A101)</f>
        <v>JO-12</v>
      </c>
      <c r="B101" s="19" t="str">
        <f>IF('Master Plan'!D101="","",'Master Plan'!D101)</f>
        <v>Publish Stock Assistant to Teams (UAT)</v>
      </c>
      <c r="C101" s="19" t="str">
        <f>IF('Master Plan'!F101="","",'Master Plan'!F101)</f>
        <v>Jones Alukwe</v>
      </c>
      <c r="D101" s="20">
        <f>IF('Master Plan'!H101="","",'Master Plan'!H101)</f>
        <v>46338</v>
      </c>
      <c r="E101" s="20">
        <f>IF('Master Plan'!I101="","",'Master Plan'!I101)</f>
        <v>46339</v>
      </c>
      <c r="F101" s="19" t="str">
        <f>IF('Master Plan'!O101="","",'Master Plan'!O101)</f>
        <v>Not started</v>
      </c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</row>
    <row r="102" spans="1:18">
      <c r="A102" s="19" t="str">
        <f>IF('Master Plan'!A102="","",'Master Plan'!A102)</f>
        <v>WI-12</v>
      </c>
      <c r="B102" s="19" t="str">
        <f>IF('Master Plan'!D102="","",'Master Plan'!D102)</f>
        <v>Train counters and supervisors (Stock Take app)</v>
      </c>
      <c r="C102" s="19" t="str">
        <f>IF('Master Plan'!F102="","",'Master Plan'!F102)</f>
        <v>William Imo</v>
      </c>
      <c r="D102" s="20">
        <f>IF('Master Plan'!H102="","",'Master Plan'!H102)</f>
        <v>46335</v>
      </c>
      <c r="E102" s="20">
        <f>IF('Master Plan'!I102="","",'Master Plan'!I102)</f>
        <v>46337</v>
      </c>
      <c r="F102" s="19" t="str">
        <f>IF('Master Plan'!O102="","",'Master Plan'!O102)</f>
        <v>Not started</v>
      </c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</row>
    <row r="103" spans="1:18">
      <c r="A103" s="19" t="str">
        <f>IF('Master Plan'!A103="","",'Master Plan'!A103)</f>
        <v>AN-12</v>
      </c>
      <c r="B103" s="19" t="str">
        <f>IF('Master Plan'!D103="","",'Master Plan'!D103)</f>
        <v>Train Operations admin and warehouse managers (Hub)</v>
      </c>
      <c r="C103" s="19" t="str">
        <f>IF('Master Plan'!F103="","",'Master Plan'!F103)</f>
        <v>Andrew Tanui</v>
      </c>
      <c r="D103" s="20">
        <f>IF('Master Plan'!H103="","",'Master Plan'!H103)</f>
        <v>46336</v>
      </c>
      <c r="E103" s="20">
        <f>IF('Master Plan'!I103="","",'Master Plan'!I103)</f>
        <v>46337</v>
      </c>
      <c r="F103" s="19" t="str">
        <f>IF('Master Plan'!O103="","",'Master Plan'!O103)</f>
        <v>Not started</v>
      </c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</row>
    <row r="104" spans="1:18">
      <c r="A104" s="19" t="str">
        <f>IF('Master Plan'!A104="","",'Master Plan'!A104)</f>
        <v>JO-13</v>
      </c>
      <c r="B104" s="19" t="str">
        <f>IF('Master Plan'!D104="","",'Master Plan'!D104)</f>
        <v>Train Trade, QC, Logistics, Finance, Management (Control Centre + Copilot)</v>
      </c>
      <c r="C104" s="19" t="str">
        <f>IF('Master Plan'!F104="","",'Master Plan'!F104)</f>
        <v>Jones Alukwe</v>
      </c>
      <c r="D104" s="20">
        <f>IF('Master Plan'!H104="","",'Master Plan'!H104)</f>
        <v>46337</v>
      </c>
      <c r="E104" s="20">
        <f>IF('Master Plan'!I104="","",'Master Plan'!I104)</f>
        <v>46339</v>
      </c>
      <c r="F104" s="19" t="str">
        <f>IF('Master Plan'!O104="","",'Master Plan'!O104)</f>
        <v>Not started</v>
      </c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</row>
    <row r="105" spans="1:18">
      <c r="A105" s="19" t="str">
        <f>IF('Master Plan'!A105="","",'Master Plan'!A105)</f>
        <v>NI-11</v>
      </c>
      <c r="B105" s="19" t="str">
        <f>IF('Master Plan'!D105="","",'Master Plan'!D105)</f>
        <v>Data dictionary</v>
      </c>
      <c r="C105" s="19" t="str">
        <f>IF('Master Plan'!F105="","",'Master Plan'!F105)</f>
        <v>Nicole Akinyi</v>
      </c>
      <c r="D105" s="20">
        <f>IF('Master Plan'!H105="","",'Master Plan'!H105)</f>
        <v>46335</v>
      </c>
      <c r="E105" s="20">
        <f>IF('Master Plan'!I105="","",'Master Plan'!I105)</f>
        <v>46338</v>
      </c>
      <c r="F105" s="19" t="str">
        <f>IF('Master Plan'!O105="","",'Master Plan'!O105)</f>
        <v>Not started</v>
      </c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</row>
    <row r="106" spans="1:18">
      <c r="A106" s="19" t="str">
        <f>IF('Master Plan'!A106="","",'Master Plan'!A106)</f>
        <v>MO-14</v>
      </c>
      <c r="B106" s="19" t="str">
        <f>IF('Master Plan'!D106="","",'Master Plan'!D106)</f>
        <v>Deploy release candidate to UAT</v>
      </c>
      <c r="C106" s="19" t="str">
        <f>IF('Master Plan'!F106="","",'Master Plan'!F106)</f>
        <v>Moses Masibo</v>
      </c>
      <c r="D106" s="20">
        <f>IF('Master Plan'!H106="","",'Master Plan'!H106)</f>
        <v>46338</v>
      </c>
      <c r="E106" s="20">
        <f>IF('Master Plan'!I106="","",'Master Plan'!I106)</f>
        <v>46339</v>
      </c>
      <c r="F106" s="19" t="str">
        <f>IF('Master Plan'!O106="","",'Master Plan'!O106)</f>
        <v>Not started</v>
      </c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</row>
    <row r="107" spans="1:18">
      <c r="A107" s="19" t="str">
        <f>IF('Master Plan'!A107="","",'Master Plan'!A107)</f>
        <v>FR-05</v>
      </c>
      <c r="B107" s="19" t="str">
        <f>IF('Master Plan'!D107="","",'Master Plan'!D107)</f>
        <v>UAT scripts and UAT participant packs</v>
      </c>
      <c r="C107" s="19" t="str">
        <f>IF('Master Plan'!F107="","",'Master Plan'!F107)</f>
        <v>Frankie Omasaja</v>
      </c>
      <c r="D107" s="20">
        <f>IF('Master Plan'!H107="","",'Master Plan'!H107)</f>
        <v>46335</v>
      </c>
      <c r="E107" s="20">
        <f>IF('Master Plan'!I107="","",'Master Plan'!I107)</f>
        <v>46339</v>
      </c>
      <c r="F107" s="19" t="str">
        <f>IF('Master Plan'!O107="","",'Master Plan'!O107)</f>
        <v>Not started</v>
      </c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</row>
    <row r="108" spans="1:18">
      <c r="A108" s="19" t="str">
        <f>IF('Master Plan'!A108="","",'Master Plan'!A108)</f>
        <v>PM-50</v>
      </c>
      <c r="B108" s="19" t="str">
        <f>IF('Master Plan'!D108="","",'Master Plan'!D108)</f>
        <v>Run UAT and daily defect triage</v>
      </c>
      <c r="C108" s="19" t="str">
        <f>IF('Master Plan'!F108="","",'Master Plan'!F108)</f>
        <v>Daphne Okwaro</v>
      </c>
      <c r="D108" s="20">
        <f>IF('Master Plan'!H108="","",'Master Plan'!H108)</f>
        <v>46342</v>
      </c>
      <c r="E108" s="20">
        <f>IF('Master Plan'!I108="","",'Master Plan'!I108)</f>
        <v>46353</v>
      </c>
      <c r="F108" s="19" t="str">
        <f>IF('Master Plan'!O108="","",'Master Plan'!O108)</f>
        <v>Not started</v>
      </c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</row>
    <row r="109" spans="1:18">
      <c r="A109" s="19" t="str">
        <f>IF('Master Plan'!A109="","",'Master Plan'!A109)</f>
        <v>WI-13</v>
      </c>
      <c r="B109" s="19" t="str">
        <f>IF('Master Plan'!D109="","",'Master Plan'!D109)</f>
        <v>Fix UAT defects — Stock Take app</v>
      </c>
      <c r="C109" s="19" t="str">
        <f>IF('Master Plan'!F109="","",'Master Plan'!F109)</f>
        <v>William Imo</v>
      </c>
      <c r="D109" s="20">
        <f>IF('Master Plan'!H109="","",'Master Plan'!H109)</f>
        <v>46342</v>
      </c>
      <c r="E109" s="20">
        <f>IF('Master Plan'!I109="","",'Master Plan'!I109)</f>
        <v>46352</v>
      </c>
      <c r="F109" s="19" t="str">
        <f>IF('Master Plan'!O109="","",'Master Plan'!O109)</f>
        <v>Not started</v>
      </c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</row>
    <row r="110" spans="1:18">
      <c r="A110" s="19" t="str">
        <f>IF('Master Plan'!A110="","",'Master Plan'!A110)</f>
        <v>AN-13</v>
      </c>
      <c r="B110" s="19" t="str">
        <f>IF('Master Plan'!D110="","",'Master Plan'!D110)</f>
        <v>Fix UAT defects — Hub</v>
      </c>
      <c r="C110" s="19" t="str">
        <f>IF('Master Plan'!F110="","",'Master Plan'!F110)</f>
        <v>Andrew Tanui</v>
      </c>
      <c r="D110" s="20">
        <f>IF('Master Plan'!H110="","",'Master Plan'!H110)</f>
        <v>46342</v>
      </c>
      <c r="E110" s="20">
        <f>IF('Master Plan'!I110="","",'Master Plan'!I110)</f>
        <v>46352</v>
      </c>
      <c r="F110" s="19" t="str">
        <f>IF('Master Plan'!O110="","",'Master Plan'!O110)</f>
        <v>Not started</v>
      </c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</row>
    <row r="111" spans="1:18">
      <c r="A111" s="19" t="str">
        <f>IF('Master Plan'!A111="","",'Master Plan'!A111)</f>
        <v>JO-14</v>
      </c>
      <c r="B111" s="19" t="str">
        <f>IF('Master Plan'!D111="","",'Master Plan'!D111)</f>
        <v>Fix UAT defects — Control Centre + Copilot</v>
      </c>
      <c r="C111" s="19" t="str">
        <f>IF('Master Plan'!F111="","",'Master Plan'!F111)</f>
        <v>Jones Alukwe</v>
      </c>
      <c r="D111" s="20">
        <f>IF('Master Plan'!H111="","",'Master Plan'!H111)</f>
        <v>46342</v>
      </c>
      <c r="E111" s="20">
        <f>IF('Master Plan'!I111="","",'Master Plan'!I111)</f>
        <v>46352</v>
      </c>
      <c r="F111" s="19" t="str">
        <f>IF('Master Plan'!O111="","",'Master Plan'!O111)</f>
        <v>Not started</v>
      </c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</row>
    <row r="112" spans="1:18">
      <c r="A112" s="19" t="str">
        <f>IF('Master Plan'!A112="","",'Master Plan'!A112)</f>
        <v>DO-18</v>
      </c>
      <c r="B112" s="19" t="str">
        <f>IF('Master Plan'!D112="","",'Master Plan'!D112)</f>
        <v>Fix UAT defects — intake and engine</v>
      </c>
      <c r="C112" s="19" t="str">
        <f>IF('Master Plan'!F112="","",'Master Plan'!F112)</f>
        <v>Denis Otieno</v>
      </c>
      <c r="D112" s="20">
        <f>IF('Master Plan'!H112="","",'Master Plan'!H112)</f>
        <v>46342</v>
      </c>
      <c r="E112" s="20">
        <f>IF('Master Plan'!I112="","",'Master Plan'!I112)</f>
        <v>46352</v>
      </c>
      <c r="F112" s="19" t="str">
        <f>IF('Master Plan'!O112="","",'Master Plan'!O112)</f>
        <v>Not started</v>
      </c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</row>
    <row r="113" spans="1:18">
      <c r="A113" s="19" t="str">
        <f>IF('Master Plan'!A113="","",'Master Plan'!A113)</f>
        <v>NI-12</v>
      </c>
      <c r="B113" s="19" t="str">
        <f>IF('Master Plan'!D113="","",'Master Plan'!D113)</f>
        <v>Fix UAT defects — Power BI and pack</v>
      </c>
      <c r="C113" s="19" t="str">
        <f>IF('Master Plan'!F113="","",'Master Plan'!F113)</f>
        <v>Nicole Akinyi</v>
      </c>
      <c r="D113" s="20">
        <f>IF('Master Plan'!H113="","",'Master Plan'!H113)</f>
        <v>46342</v>
      </c>
      <c r="E113" s="20">
        <f>IF('Master Plan'!I113="","",'Master Plan'!I113)</f>
        <v>46352</v>
      </c>
      <c r="F113" s="19" t="str">
        <f>IF('Master Plan'!O113="","",'Master Plan'!O113)</f>
        <v>Not started</v>
      </c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</row>
    <row r="114" spans="1:18">
      <c r="A114" s="19" t="str">
        <f>IF('Master Plan'!A114="","",'Master Plan'!A114)</f>
        <v>PM-51</v>
      </c>
      <c r="B114" s="19" t="str">
        <f>IF('Master Plan'!D114="","",'Master Plan'!D114)</f>
        <v>UAT sign-off by department leads</v>
      </c>
      <c r="C114" s="19" t="str">
        <f>IF('Master Plan'!F114="","",'Master Plan'!F114)</f>
        <v>Daphne Okwaro</v>
      </c>
      <c r="D114" s="20">
        <f>IF('Master Plan'!H114="","",'Master Plan'!H114)</f>
        <v>46353</v>
      </c>
      <c r="E114" s="20">
        <f>IF('Master Plan'!I114="","",'Master Plan'!I114)</f>
        <v>46353</v>
      </c>
      <c r="F114" s="19" t="str">
        <f>IF('Master Plan'!O114="","",'Master Plan'!O114)</f>
        <v>Not started</v>
      </c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</row>
    <row r="115" spans="1:18">
      <c r="A115" s="19" t="str">
        <f>IF('Master Plan'!A115="","",'Master Plan'!A115)</f>
        <v>MO-15</v>
      </c>
      <c r="B115" s="19" t="str">
        <f>IF('Master Plan'!D115="","",'Master Plan'!D115)</f>
        <v>PROD readiness</v>
      </c>
      <c r="C115" s="19" t="str">
        <f>IF('Master Plan'!F115="","",'Master Plan'!F115)</f>
        <v>Moses Masibo</v>
      </c>
      <c r="D115" s="20">
        <f>IF('Master Plan'!H115="","",'Master Plan'!H115)</f>
        <v>46342</v>
      </c>
      <c r="E115" s="20">
        <f>IF('Master Plan'!I115="","",'Master Plan'!I115)</f>
        <v>46346</v>
      </c>
      <c r="F115" s="19" t="str">
        <f>IF('Master Plan'!O115="","",'Master Plan'!O115)</f>
        <v>Not started</v>
      </c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</row>
    <row r="116" spans="1:18">
      <c r="A116" s="19" t="str">
        <f>IF('Master Plan'!A116="","",'Master Plan'!A116)</f>
        <v>MO-16</v>
      </c>
      <c r="B116" s="19" t="str">
        <f>IF('Master Plan'!D116="","",'Master Plan'!D116)</f>
        <v>Deploy release candidate to PROD</v>
      </c>
      <c r="C116" s="19" t="str">
        <f>IF('Master Plan'!F116="","",'Master Plan'!F116)</f>
        <v>Moses Masibo</v>
      </c>
      <c r="D116" s="20">
        <f>IF('Master Plan'!H116="","",'Master Plan'!H116)</f>
        <v>46350</v>
      </c>
      <c r="E116" s="20">
        <f>IF('Master Plan'!I116="","",'Master Plan'!I116)</f>
        <v>46350</v>
      </c>
      <c r="F116" s="19" t="str">
        <f>IF('Master Plan'!O116="","",'Master Plan'!O116)</f>
        <v>Not started</v>
      </c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</row>
    <row r="117" spans="1:18">
      <c r="A117" s="19" t="str">
        <f>IF('Master Plan'!A117="","",'Master Plan'!A117)</f>
        <v>DO-19</v>
      </c>
      <c r="B117" s="19" t="str">
        <f>IF('Master Plan'!D117="","",'Master Plan'!D117)</f>
        <v>PROD master-data load and tie-out</v>
      </c>
      <c r="C117" s="19" t="str">
        <f>IF('Master Plan'!F117="","",'Master Plan'!F117)</f>
        <v>Denis Otieno</v>
      </c>
      <c r="D117" s="20">
        <f>IF('Master Plan'!H117="","",'Master Plan'!H117)</f>
        <v>46350</v>
      </c>
      <c r="E117" s="20">
        <f>IF('Master Plan'!I117="","",'Master Plan'!I117)</f>
        <v>46351</v>
      </c>
      <c r="F117" s="19" t="str">
        <f>IF('Master Plan'!O117="","",'Master Plan'!O117)</f>
        <v>Not started</v>
      </c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</row>
    <row r="118" spans="1:18">
      <c r="A118" s="19" t="str">
        <f>IF('Master Plan'!A118="","",'Master Plan'!A118)</f>
        <v>DO-20</v>
      </c>
      <c r="B118" s="19" t="str">
        <f>IF('Master Plan'!D118="","",'Master Plan'!D118)</f>
        <v>Switch feeds to PROD mailbox; 3 clean intake days</v>
      </c>
      <c r="C118" s="19" t="str">
        <f>IF('Master Plan'!F118="","",'Master Plan'!F118)</f>
        <v>Denis Otieno</v>
      </c>
      <c r="D118" s="20">
        <f>IF('Master Plan'!H118="","",'Master Plan'!H118)</f>
        <v>46351</v>
      </c>
      <c r="E118" s="20">
        <f>IF('Master Plan'!I118="","",'Master Plan'!I118)</f>
        <v>46353</v>
      </c>
      <c r="F118" s="19" t="str">
        <f>IF('Master Plan'!O118="","",'Master Plan'!O118)</f>
        <v>Not started</v>
      </c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</row>
    <row r="119" spans="1:18">
      <c r="A119" s="19" t="str">
        <f>IF('Master Plan'!A119="","",'Master Plan'!A119)</f>
        <v>DO-21</v>
      </c>
      <c r="B119" s="19" t="str">
        <f>IF('Master Plan'!D119="","",'Master Plan'!D119)</f>
        <v>Opening baseline calculation</v>
      </c>
      <c r="C119" s="19" t="str">
        <f>IF('Master Plan'!F119="","",'Master Plan'!F119)</f>
        <v>Denis Otieno</v>
      </c>
      <c r="D119" s="20">
        <f>IF('Master Plan'!H119="","",'Master Plan'!H119)</f>
        <v>46352</v>
      </c>
      <c r="E119" s="20">
        <f>IF('Master Plan'!I119="","",'Master Plan'!I119)</f>
        <v>46358</v>
      </c>
      <c r="F119" s="19" t="str">
        <f>IF('Master Plan'!O119="","",'Master Plan'!O119)</f>
        <v>Not started</v>
      </c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</row>
    <row r="120" spans="1:18">
      <c r="A120" s="19" t="str">
        <f>IF('Master Plan'!A120="","",'Master Plan'!A120)</f>
        <v>PM-60</v>
      </c>
      <c r="B120" s="19" t="str">
        <f>IF('Master Plan'!D120="","",'Master Plan'!D120)</f>
        <v>Go / no-go meeting</v>
      </c>
      <c r="C120" s="19" t="str">
        <f>IF('Master Plan'!F120="","",'Master Plan'!F120)</f>
        <v>Daphne Okwaro</v>
      </c>
      <c r="D120" s="20">
        <f>IF('Master Plan'!H120="","",'Master Plan'!H120)</f>
        <v>46353</v>
      </c>
      <c r="E120" s="20">
        <f>IF('Master Plan'!I120="","",'Master Plan'!I120)</f>
        <v>46353</v>
      </c>
      <c r="F120" s="19" t="str">
        <f>IF('Master Plan'!O120="","",'Master Plan'!O120)</f>
        <v>Not started</v>
      </c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</row>
    <row r="121" spans="1:18">
      <c r="A121" s="19" t="str">
        <f>IF('Master Plan'!A121="","",'Master Plan'!A121)</f>
        <v>MO-17</v>
      </c>
      <c r="B121" s="19" t="str">
        <f>IF('Master Plan'!D121="","",'Master Plan'!D121)</f>
        <v>Final patch deploy to PROD after UAT fixes</v>
      </c>
      <c r="C121" s="19" t="str">
        <f>IF('Master Plan'!F121="","",'Master Plan'!F121)</f>
        <v>Moses Masibo</v>
      </c>
      <c r="D121" s="20">
        <f>IF('Master Plan'!H121="","",'Master Plan'!H121)</f>
        <v>46356</v>
      </c>
      <c r="E121" s="20">
        <f>IF('Master Plan'!I121="","",'Master Plan'!I121)</f>
        <v>46356</v>
      </c>
      <c r="F121" s="19" t="str">
        <f>IF('Master Plan'!O121="","",'Master Plan'!O121)</f>
        <v>Not started</v>
      </c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</row>
    <row r="122" spans="1:18">
      <c r="A122" s="19" t="str">
        <f>IF('Master Plan'!A122="","",'Master Plan'!A122)</f>
        <v>PM-61</v>
      </c>
      <c r="B122" s="19" t="str">
        <f>IF('Master Plan'!D122="","",'Master Plan'!D122)</f>
        <v>First live month-end count (November) in PROD</v>
      </c>
      <c r="C122" s="19" t="str">
        <f>IF('Master Plan'!F122="","",'Master Plan'!F122)</f>
        <v>Daphne Okwaro</v>
      </c>
      <c r="D122" s="20">
        <f>IF('Master Plan'!H122="","",'Master Plan'!H122)</f>
        <v>46357</v>
      </c>
      <c r="E122" s="20">
        <f>IF('Master Plan'!I122="","",'Master Plan'!I122)</f>
        <v>46359</v>
      </c>
      <c r="F122" s="19" t="str">
        <f>IF('Master Plan'!O122="","",'Master Plan'!O122)</f>
        <v>Not started</v>
      </c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</row>
    <row r="123" spans="1:18">
      <c r="A123" s="19" t="str">
        <f>IF('Master Plan'!A123="","",'Master Plan'!A123)</f>
        <v>DO-22</v>
      </c>
      <c r="B123" s="19" t="str">
        <f>IF('Master Plan'!D123="","",'Master Plan'!D123)</f>
        <v>November L1–L3 runs; drive residual to 0</v>
      </c>
      <c r="C123" s="19" t="str">
        <f>IF('Master Plan'!F123="","",'Master Plan'!F123)</f>
        <v>Denis Otieno</v>
      </c>
      <c r="D123" s="20">
        <f>IF('Master Plan'!H123="","",'Master Plan'!H123)</f>
        <v>46359</v>
      </c>
      <c r="E123" s="20">
        <f>IF('Master Plan'!I123="","",'Master Plan'!I123)</f>
        <v>46365</v>
      </c>
      <c r="F123" s="19" t="str">
        <f>IF('Master Plan'!O123="","",'Master Plan'!O123)</f>
        <v>Not started</v>
      </c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</row>
    <row r="124" spans="1:18">
      <c r="A124" s="19" t="str">
        <f>IF('Master Plan'!A124="","",'Master Plan'!A124)</f>
        <v>PM-62</v>
      </c>
      <c r="B124" s="19" t="str">
        <f>IF('Master Plan'!D124="","",'Master Plan'!D124)</f>
        <v>First live sign-off (residual = 0 gate)</v>
      </c>
      <c r="C124" s="19" t="str">
        <f>IF('Master Plan'!F124="","",'Master Plan'!F124)</f>
        <v>Daphne Okwaro</v>
      </c>
      <c r="D124" s="20">
        <f>IF('Master Plan'!H124="","",'Master Plan'!H124)</f>
        <v>46365</v>
      </c>
      <c r="E124" s="20">
        <f>IF('Master Plan'!I124="","",'Master Plan'!I124)</f>
        <v>46365</v>
      </c>
      <c r="F124" s="19" t="str">
        <f>IF('Master Plan'!O124="","",'Master Plan'!O124)</f>
        <v>Not started</v>
      </c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</row>
    <row r="125" spans="1:18">
      <c r="A125" s="19" t="str">
        <f>IF('Master Plan'!A125="","",'Master Plan'!A125)</f>
        <v>PM-63</v>
      </c>
      <c r="B125" s="19" t="str">
        <f>IF('Master Plan'!D125="","",'Master Plan'!D125)</f>
        <v>Hypercare: daily stand-up with NKG super users</v>
      </c>
      <c r="C125" s="19" t="str">
        <f>IF('Master Plan'!F125="","",'Master Plan'!F125)</f>
        <v>Daphne Okwaro</v>
      </c>
      <c r="D125" s="20">
        <f>IF('Master Plan'!H125="","",'Master Plan'!H125)</f>
        <v>46357</v>
      </c>
      <c r="E125" s="20">
        <f>IF('Master Plan'!I125="","",'Master Plan'!I125)</f>
        <v>46367</v>
      </c>
      <c r="F125" s="19" t="str">
        <f>IF('Master Plan'!O125="","",'Master Plan'!O125)</f>
        <v>Not started</v>
      </c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</row>
    <row r="126" spans="1:18">
      <c r="A126" s="19" t="str">
        <f>IF('Master Plan'!A126="","",'Master Plan'!A126)</f>
        <v>MO-18</v>
      </c>
      <c r="B126" s="19" t="str">
        <f>IF('Master Plan'!D126="","",'Master Plan'!D126)</f>
        <v>Knowledge transfer to NKG IT (2 × 2 h)</v>
      </c>
      <c r="C126" s="19" t="str">
        <f>IF('Master Plan'!F126="","",'Master Plan'!F126)</f>
        <v>Moses Masibo</v>
      </c>
      <c r="D126" s="20">
        <f>IF('Master Plan'!H126="","",'Master Plan'!H126)</f>
        <v>46363</v>
      </c>
      <c r="E126" s="20">
        <f>IF('Master Plan'!I126="","",'Master Plan'!I126)</f>
        <v>46365</v>
      </c>
      <c r="F126" s="19" t="str">
        <f>IF('Master Plan'!O126="","",'Master Plan'!O126)</f>
        <v>Not started</v>
      </c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</row>
    <row r="127" spans="1:18">
      <c r="A127" s="19" t="str">
        <f>IF('Master Plan'!A127="","",'Master Plan'!A127)</f>
        <v>DO-23</v>
      </c>
      <c r="B127" s="19" t="str">
        <f>IF('Master Plan'!D127="","",'Master Plan'!D127)</f>
        <v>Runbooks for intake and engine failures</v>
      </c>
      <c r="C127" s="19" t="str">
        <f>IF('Master Plan'!F127="","",'Master Plan'!F127)</f>
        <v>Denis Otieno</v>
      </c>
      <c r="D127" s="20">
        <f>IF('Master Plan'!H127="","",'Master Plan'!H127)</f>
        <v>46363</v>
      </c>
      <c r="E127" s="20">
        <f>IF('Master Plan'!I127="","",'Master Plan'!I127)</f>
        <v>46365</v>
      </c>
      <c r="F127" s="19" t="str">
        <f>IF('Master Plan'!O127="","",'Master Plan'!O127)</f>
        <v>Not started</v>
      </c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</row>
    <row r="128" spans="1:18">
      <c r="A128" s="19" t="str">
        <f>IF('Master Plan'!A128="","",'Master Plan'!A128)</f>
        <v>FR-06</v>
      </c>
      <c r="B128" s="19" t="str">
        <f>IF('Master Plan'!D128="","",'Master Plan'!D128)</f>
        <v>As-built documentation pack</v>
      </c>
      <c r="C128" s="19" t="str">
        <f>IF('Master Plan'!F128="","",'Master Plan'!F128)</f>
        <v>Frankie Omasaja</v>
      </c>
      <c r="D128" s="20">
        <f>IF('Master Plan'!H128="","",'Master Plan'!H128)</f>
        <v>46363</v>
      </c>
      <c r="E128" s="20">
        <f>IF('Master Plan'!I128="","",'Master Plan'!I128)</f>
        <v>46367</v>
      </c>
      <c r="F128" s="19" t="str">
        <f>IF('Master Plan'!O128="","",'Master Plan'!O128)</f>
        <v>Not started</v>
      </c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</row>
    <row r="129" spans="1:18">
      <c r="A129" s="19" t="str">
        <f>IF('Master Plan'!A129="","",'Master Plan'!A129)</f>
        <v>PM-64</v>
      </c>
      <c r="B129" s="19" t="str">
        <f>IF('Master Plan'!D129="","",'Master Plan'!D129)</f>
        <v>Hypercare exit report</v>
      </c>
      <c r="C129" s="19" t="str">
        <f>IF('Master Plan'!F129="","",'Master Plan'!F129)</f>
        <v>Daphne Okwaro</v>
      </c>
      <c r="D129" s="20">
        <f>IF('Master Plan'!H129="","",'Master Plan'!H129)</f>
        <v>46367</v>
      </c>
      <c r="E129" s="20">
        <f>IF('Master Plan'!I129="","",'Master Plan'!I129)</f>
        <v>46367</v>
      </c>
      <c r="F129" s="19" t="str">
        <f>IF('Master Plan'!O129="","",'Master Plan'!O129)</f>
        <v>Not started</v>
      </c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</row>
    <row r="130" spans="1:18">
      <c r="A130" s="19" t="str">
        <f>IF('Master Plan'!A130="","",'Master Plan'!A130)</f>
        <v>PM-70</v>
      </c>
      <c r="B130" s="19" t="str">
        <f>IF('Master Plan'!D130="","",'Master Plan'!D130)</f>
        <v>Final acceptance and project close</v>
      </c>
      <c r="C130" s="19" t="str">
        <f>IF('Master Plan'!F130="","",'Master Plan'!F130)</f>
        <v>Daphne Okwaro</v>
      </c>
      <c r="D130" s="20">
        <f>IF('Master Plan'!H130="","",'Master Plan'!H130)</f>
        <v>46370</v>
      </c>
      <c r="E130" s="20">
        <f>IF('Master Plan'!I130="","",'Master Plan'!I130)</f>
        <v>46373</v>
      </c>
      <c r="F130" s="19" t="str">
        <f>IF('Master Plan'!O130="","",'Master Plan'!O130)</f>
        <v>Not started</v>
      </c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</row>
  </sheetData>
  <conditionalFormatting sqref="G5:R130">
    <cfRule type="expression" dxfId="34" priority="2">
      <formula>AND($D5&lt;=G$4+4,$E5&gt;=G$4,$F5="Complete")</formula>
    </cfRule>
    <cfRule type="expression" dxfId="33" priority="3">
      <formula>AND($D5&lt;=G$4+4,$E5&gt;=G$4,$E5&lt;TODAY())</formula>
    </cfRule>
    <cfRule type="expression" dxfId="32" priority="4">
      <formula>AND($D5&lt;=G$4+4,$E5&gt;=G$4)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8"/>
  <sheetViews>
    <sheetView showGridLines="0" zoomScaleNormal="100" workbookViewId="0"/>
  </sheetViews>
  <sheetFormatPr defaultColWidth="8.7109375" defaultRowHeight="15"/>
  <cols>
    <col min="1" max="1" width="5" customWidth="1"/>
    <col min="2" max="2" width="50" customWidth="1"/>
    <col min="3" max="3" width="14" customWidth="1"/>
    <col min="4" max="4" width="18" customWidth="1"/>
    <col min="5" max="5" width="12" customWidth="1"/>
    <col min="6" max="6" width="11" customWidth="1"/>
  </cols>
  <sheetData>
    <row r="1" spans="1:6" ht="19.7">
      <c r="A1" s="2" t="s">
        <v>13</v>
      </c>
    </row>
    <row r="2" spans="1:6">
      <c r="A2" s="3" t="s">
        <v>917</v>
      </c>
    </row>
    <row r="4" spans="1:6" ht="30" customHeight="1">
      <c r="A4" s="9" t="s">
        <v>918</v>
      </c>
      <c r="B4" s="9" t="s">
        <v>919</v>
      </c>
      <c r="C4" s="9" t="s">
        <v>920</v>
      </c>
      <c r="D4" s="9" t="s">
        <v>103</v>
      </c>
      <c r="E4" s="9" t="s">
        <v>112</v>
      </c>
      <c r="F4" s="9" t="s">
        <v>921</v>
      </c>
    </row>
    <row r="5" spans="1:6">
      <c r="A5" s="1">
        <v>1</v>
      </c>
      <c r="B5" s="5" t="s">
        <v>922</v>
      </c>
      <c r="C5" s="22">
        <v>46304</v>
      </c>
      <c r="D5" s="1" t="s">
        <v>27</v>
      </c>
      <c r="E5" s="1" t="s">
        <v>87</v>
      </c>
      <c r="F5" s="23" t="str">
        <f ca="1">IF(E5="Complete","—",C5-TODAY())</f>
        <v>—</v>
      </c>
    </row>
    <row r="6" spans="1:6">
      <c r="A6" s="1">
        <v>2</v>
      </c>
      <c r="B6" s="5" t="s">
        <v>923</v>
      </c>
      <c r="C6" s="22">
        <v>46311</v>
      </c>
      <c r="D6" s="1" t="s">
        <v>27</v>
      </c>
      <c r="E6" s="1" t="s">
        <v>924</v>
      </c>
      <c r="F6" s="23">
        <f ca="1">IF(E6="Complete","—",C6-TODAY())</f>
        <v>7</v>
      </c>
    </row>
    <row r="7" spans="1:6">
      <c r="A7" s="1">
        <v>3</v>
      </c>
      <c r="B7" s="5" t="s">
        <v>925</v>
      </c>
      <c r="C7" s="22">
        <v>46318</v>
      </c>
      <c r="D7" s="1" t="s">
        <v>27</v>
      </c>
      <c r="E7" s="1" t="s">
        <v>924</v>
      </c>
      <c r="F7" s="23">
        <f ca="1">IF(E7="Complete","—",C7-TODAY())</f>
        <v>14</v>
      </c>
    </row>
    <row r="8" spans="1:6">
      <c r="A8" s="1">
        <v>4</v>
      </c>
      <c r="B8" s="5" t="s">
        <v>926</v>
      </c>
      <c r="C8" s="22">
        <v>46316</v>
      </c>
      <c r="D8" s="1" t="s">
        <v>33</v>
      </c>
      <c r="E8" s="1" t="s">
        <v>924</v>
      </c>
      <c r="F8" s="23">
        <f ca="1">IF(E8="Complete","—",C8-TODAY())</f>
        <v>12</v>
      </c>
    </row>
    <row r="9" spans="1:6">
      <c r="A9" s="1">
        <v>5</v>
      </c>
      <c r="B9" s="5" t="s">
        <v>927</v>
      </c>
      <c r="C9" s="22">
        <v>46318</v>
      </c>
      <c r="D9" s="1" t="s">
        <v>27</v>
      </c>
      <c r="E9" s="1" t="s">
        <v>924</v>
      </c>
      <c r="F9" s="23">
        <f ca="1">IF(E9="Complete","—",C9-TODAY())</f>
        <v>14</v>
      </c>
    </row>
    <row r="10" spans="1:6">
      <c r="A10" s="1">
        <v>6</v>
      </c>
      <c r="B10" s="5" t="s">
        <v>928</v>
      </c>
      <c r="C10" s="22">
        <v>46330</v>
      </c>
      <c r="D10" s="1" t="s">
        <v>27</v>
      </c>
      <c r="E10" s="1" t="s">
        <v>924</v>
      </c>
      <c r="F10" s="23">
        <f ca="1">IF(E10="Complete","—",C10-TODAY())</f>
        <v>26</v>
      </c>
    </row>
    <row r="11" spans="1:6">
      <c r="A11" s="1">
        <v>7</v>
      </c>
      <c r="B11" s="5" t="s">
        <v>929</v>
      </c>
      <c r="C11" s="22">
        <v>46332</v>
      </c>
      <c r="D11" s="1" t="s">
        <v>27</v>
      </c>
      <c r="E11" s="1" t="s">
        <v>924</v>
      </c>
      <c r="F11" s="23">
        <f ca="1">IF(E11="Complete","—",C11-TODAY())</f>
        <v>28</v>
      </c>
    </row>
    <row r="12" spans="1:6">
      <c r="A12" s="1">
        <v>8</v>
      </c>
      <c r="B12" s="5" t="s">
        <v>930</v>
      </c>
      <c r="C12" s="22">
        <v>46339</v>
      </c>
      <c r="D12" s="1" t="s">
        <v>27</v>
      </c>
      <c r="E12" s="1" t="s">
        <v>924</v>
      </c>
      <c r="F12" s="23">
        <f ca="1">IF(E12="Complete","—",C12-TODAY())</f>
        <v>35</v>
      </c>
    </row>
    <row r="13" spans="1:6">
      <c r="A13" s="1">
        <v>9</v>
      </c>
      <c r="B13" s="5" t="s">
        <v>931</v>
      </c>
      <c r="C13" s="22">
        <v>46353</v>
      </c>
      <c r="D13" s="1" t="s">
        <v>27</v>
      </c>
      <c r="E13" s="1" t="s">
        <v>924</v>
      </c>
      <c r="F13" s="23">
        <f ca="1">IF(E13="Complete","—",C13-TODAY())</f>
        <v>49</v>
      </c>
    </row>
    <row r="14" spans="1:6">
      <c r="A14" s="1">
        <v>10</v>
      </c>
      <c r="B14" s="5" t="s">
        <v>932</v>
      </c>
      <c r="C14" s="22">
        <v>46356</v>
      </c>
      <c r="D14" s="1" t="s">
        <v>30</v>
      </c>
      <c r="E14" s="1" t="s">
        <v>924</v>
      </c>
      <c r="F14" s="23">
        <f ca="1">IF(E14="Complete","—",C14-TODAY())</f>
        <v>52</v>
      </c>
    </row>
    <row r="15" spans="1:6">
      <c r="A15" s="1">
        <v>11</v>
      </c>
      <c r="B15" s="5" t="s">
        <v>933</v>
      </c>
      <c r="C15" s="22">
        <v>46359</v>
      </c>
      <c r="D15" s="1" t="s">
        <v>27</v>
      </c>
      <c r="E15" s="1" t="s">
        <v>924</v>
      </c>
      <c r="F15" s="23">
        <f ca="1">IF(E15="Complete","—",C15-TODAY())</f>
        <v>55</v>
      </c>
    </row>
    <row r="16" spans="1:6">
      <c r="A16" s="1">
        <v>12</v>
      </c>
      <c r="B16" s="5" t="s">
        <v>934</v>
      </c>
      <c r="C16" s="22">
        <v>46365</v>
      </c>
      <c r="D16" s="1" t="s">
        <v>27</v>
      </c>
      <c r="E16" s="1" t="s">
        <v>924</v>
      </c>
      <c r="F16" s="23">
        <f ca="1">IF(E16="Complete","—",C16-TODAY())</f>
        <v>61</v>
      </c>
    </row>
    <row r="17" spans="1:6">
      <c r="A17" s="1">
        <v>13</v>
      </c>
      <c r="B17" s="5" t="s">
        <v>935</v>
      </c>
      <c r="C17" s="22">
        <v>46367</v>
      </c>
      <c r="D17" s="1" t="s">
        <v>27</v>
      </c>
      <c r="E17" s="1" t="s">
        <v>924</v>
      </c>
      <c r="F17" s="23">
        <f ca="1">IF(E17="Complete","—",C17-TODAY())</f>
        <v>63</v>
      </c>
    </row>
    <row r="18" spans="1:6">
      <c r="A18" s="1">
        <v>14</v>
      </c>
      <c r="B18" s="5" t="s">
        <v>936</v>
      </c>
      <c r="C18" s="22">
        <v>46373</v>
      </c>
      <c r="D18" s="1" t="s">
        <v>27</v>
      </c>
      <c r="E18" s="1" t="s">
        <v>924</v>
      </c>
      <c r="F18" s="23">
        <f ca="1">IF(E18="Complete","—",C18-TODAY())</f>
        <v>69</v>
      </c>
    </row>
  </sheetData>
  <dataValidations count="1">
    <dataValidation type="list" sqref="E5:E18" xr:uid="{00000000-0002-0000-0500-000000000000}">
      <formula1>"Planned,Complete,At risk,Missed"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4"/>
  <sheetViews>
    <sheetView showGridLines="0" zoomScaleNormal="100" workbookViewId="0"/>
  </sheetViews>
  <sheetFormatPr defaultColWidth="8.7109375" defaultRowHeight="15"/>
  <cols>
    <col min="1" max="1" width="8" customWidth="1"/>
    <col min="2" max="2" width="60" customWidth="1"/>
    <col min="3" max="3" width="32" customWidth="1"/>
    <col min="4" max="4" width="13" customWidth="1"/>
    <col min="5" max="5" width="12" customWidth="1"/>
    <col min="6" max="6" width="16" customWidth="1"/>
    <col min="7" max="7" width="12" customWidth="1"/>
    <col min="8" max="8" width="9" customWidth="1"/>
  </cols>
  <sheetData>
    <row r="1" spans="1:8" ht="19.7">
      <c r="A1" s="2" t="s">
        <v>937</v>
      </c>
    </row>
    <row r="2" spans="1:8">
      <c r="A2" s="3" t="s">
        <v>938</v>
      </c>
    </row>
    <row r="4" spans="1:8" ht="30" customHeight="1">
      <c r="A4" s="9" t="s">
        <v>99</v>
      </c>
      <c r="B4" s="9" t="s">
        <v>939</v>
      </c>
      <c r="C4" s="9" t="s">
        <v>940</v>
      </c>
      <c r="D4" s="9" t="s">
        <v>941</v>
      </c>
      <c r="E4" s="9" t="s">
        <v>942</v>
      </c>
      <c r="F4" s="9" t="s">
        <v>943</v>
      </c>
      <c r="G4" s="9" t="s">
        <v>112</v>
      </c>
      <c r="H4" s="9" t="s">
        <v>944</v>
      </c>
    </row>
    <row r="5" spans="1:8" ht="23.85">
      <c r="A5" s="5" t="s">
        <v>945</v>
      </c>
      <c r="B5" s="1" t="s">
        <v>946</v>
      </c>
      <c r="C5" s="1" t="s">
        <v>947</v>
      </c>
      <c r="D5" s="11">
        <v>46309</v>
      </c>
      <c r="E5" s="1" t="s">
        <v>158</v>
      </c>
      <c r="F5" s="1" t="str">
        <f>INDEX('Master Plan'!$F$5:$F$130,MATCH(E5,'Master Plan'!$A$5:$A$130,0))</f>
        <v>Daphne Okwaro</v>
      </c>
      <c r="G5" s="1" t="s">
        <v>948</v>
      </c>
      <c r="H5" s="7" t="str">
        <f ca="1">IF(AND(G5&lt;&gt;"Received",TODAY()&gt;D5),TODAY()-D5,"")</f>
        <v/>
      </c>
    </row>
    <row r="6" spans="1:8">
      <c r="A6" s="5" t="s">
        <v>949</v>
      </c>
      <c r="B6" s="1" t="s">
        <v>950</v>
      </c>
      <c r="C6" s="1" t="s">
        <v>951</v>
      </c>
      <c r="D6" s="11">
        <v>46311</v>
      </c>
      <c r="E6" s="1" t="s">
        <v>164</v>
      </c>
      <c r="F6" s="1" t="str">
        <f>INDEX('Master Plan'!$F$5:$F$130,MATCH(E6,'Master Plan'!$A$5:$A$130,0))</f>
        <v>Daphne Okwaro</v>
      </c>
      <c r="G6" s="1" t="s">
        <v>948</v>
      </c>
      <c r="H6" s="7" t="str">
        <f ca="1">IF(AND(G6&lt;&gt;"Received",TODAY()&gt;D6),TODAY()-D6,"")</f>
        <v/>
      </c>
    </row>
    <row r="7" spans="1:8">
      <c r="A7" s="5" t="s">
        <v>952</v>
      </c>
      <c r="B7" s="1" t="s">
        <v>953</v>
      </c>
      <c r="C7" s="1" t="s">
        <v>954</v>
      </c>
      <c r="D7" s="11">
        <v>46311</v>
      </c>
      <c r="E7" s="1" t="s">
        <v>164</v>
      </c>
      <c r="F7" s="1" t="str">
        <f>INDEX('Master Plan'!$F$5:$F$130,MATCH(E7,'Master Plan'!$A$5:$A$130,0))</f>
        <v>Daphne Okwaro</v>
      </c>
      <c r="G7" s="1" t="s">
        <v>948</v>
      </c>
      <c r="H7" s="7" t="str">
        <f ca="1">IF(AND(G7&lt;&gt;"Received",TODAY()&gt;D7),TODAY()-D7,"")</f>
        <v/>
      </c>
    </row>
    <row r="8" spans="1:8">
      <c r="A8" s="5" t="s">
        <v>955</v>
      </c>
      <c r="B8" s="1" t="s">
        <v>956</v>
      </c>
      <c r="C8" s="1" t="s">
        <v>957</v>
      </c>
      <c r="D8" s="11">
        <v>46311</v>
      </c>
      <c r="E8" s="1" t="s">
        <v>164</v>
      </c>
      <c r="F8" s="1" t="str">
        <f>INDEX('Master Plan'!$F$5:$F$130,MATCH(E8,'Master Plan'!$A$5:$A$130,0))</f>
        <v>Daphne Okwaro</v>
      </c>
      <c r="G8" s="1" t="s">
        <v>948</v>
      </c>
      <c r="H8" s="7" t="str">
        <f ca="1">IF(AND(G8&lt;&gt;"Received",TODAY()&gt;D8),TODAY()-D8,"")</f>
        <v/>
      </c>
    </row>
    <row r="9" spans="1:8">
      <c r="A9" s="5" t="s">
        <v>958</v>
      </c>
      <c r="B9" s="1" t="s">
        <v>959</v>
      </c>
      <c r="C9" s="1" t="s">
        <v>960</v>
      </c>
      <c r="D9" s="11">
        <v>46311</v>
      </c>
      <c r="E9" s="1" t="s">
        <v>164</v>
      </c>
      <c r="F9" s="1" t="str">
        <f>INDEX('Master Plan'!$F$5:$F$130,MATCH(E9,'Master Plan'!$A$5:$A$130,0))</f>
        <v>Daphne Okwaro</v>
      </c>
      <c r="G9" s="1" t="s">
        <v>948</v>
      </c>
      <c r="H9" s="7" t="str">
        <f ca="1">IF(AND(G9&lt;&gt;"Received",TODAY()&gt;D9),TODAY()-D9,"")</f>
        <v/>
      </c>
    </row>
    <row r="10" spans="1:8">
      <c r="A10" s="5" t="s">
        <v>961</v>
      </c>
      <c r="B10" s="1" t="s">
        <v>962</v>
      </c>
      <c r="C10" s="1" t="s">
        <v>615</v>
      </c>
      <c r="D10" s="11">
        <v>46311</v>
      </c>
      <c r="E10" s="1" t="s">
        <v>164</v>
      </c>
      <c r="F10" s="1" t="str">
        <f>INDEX('Master Plan'!$F$5:$F$130,MATCH(E10,'Master Plan'!$A$5:$A$130,0))</f>
        <v>Daphne Okwaro</v>
      </c>
      <c r="G10" s="1" t="s">
        <v>948</v>
      </c>
      <c r="H10" s="7" t="str">
        <f ca="1">IF(AND(G10&lt;&gt;"Received",TODAY()&gt;D10),TODAY()-D10,"")</f>
        <v/>
      </c>
    </row>
    <row r="11" spans="1:8">
      <c r="A11" s="5" t="s">
        <v>963</v>
      </c>
      <c r="B11" s="1" t="s">
        <v>964</v>
      </c>
      <c r="C11" s="1" t="s">
        <v>965</v>
      </c>
      <c r="D11" s="11">
        <v>46318</v>
      </c>
      <c r="E11" s="1" t="s">
        <v>164</v>
      </c>
      <c r="F11" s="1" t="str">
        <f>INDEX('Master Plan'!$F$5:$F$130,MATCH(E11,'Master Plan'!$A$5:$A$130,0))</f>
        <v>Daphne Okwaro</v>
      </c>
      <c r="G11" s="1" t="s">
        <v>948</v>
      </c>
      <c r="H11" s="7" t="str">
        <f ca="1">IF(AND(G11&lt;&gt;"Received",TODAY()&gt;D11),TODAY()-D11,"")</f>
        <v/>
      </c>
    </row>
    <row r="12" spans="1:8">
      <c r="A12" s="5" t="s">
        <v>966</v>
      </c>
      <c r="B12" s="1" t="s">
        <v>967</v>
      </c>
      <c r="C12" s="1" t="s">
        <v>965</v>
      </c>
      <c r="D12" s="11">
        <v>46318</v>
      </c>
      <c r="E12" s="1" t="s">
        <v>164</v>
      </c>
      <c r="F12" s="1" t="str">
        <f>INDEX('Master Plan'!$F$5:$F$130,MATCH(E12,'Master Plan'!$A$5:$A$130,0))</f>
        <v>Daphne Okwaro</v>
      </c>
      <c r="G12" s="1" t="s">
        <v>948</v>
      </c>
      <c r="H12" s="7" t="str">
        <f ca="1">IF(AND(G12&lt;&gt;"Received",TODAY()&gt;D12),TODAY()-D12,"")</f>
        <v/>
      </c>
    </row>
    <row r="13" spans="1:8">
      <c r="A13" s="5" t="s">
        <v>968</v>
      </c>
      <c r="B13" s="1" t="s">
        <v>969</v>
      </c>
      <c r="C13" s="1" t="s">
        <v>970</v>
      </c>
      <c r="D13" s="11">
        <v>46318</v>
      </c>
      <c r="E13" s="1" t="s">
        <v>164</v>
      </c>
      <c r="F13" s="1" t="str">
        <f>INDEX('Master Plan'!$F$5:$F$130,MATCH(E13,'Master Plan'!$A$5:$A$130,0))</f>
        <v>Daphne Okwaro</v>
      </c>
      <c r="G13" s="1" t="s">
        <v>948</v>
      </c>
      <c r="H13" s="7" t="str">
        <f ca="1">IF(AND(G13&lt;&gt;"Received",TODAY()&gt;D13),TODAY()-D13,"")</f>
        <v/>
      </c>
    </row>
    <row r="14" spans="1:8" ht="23.85">
      <c r="A14" s="5" t="s">
        <v>971</v>
      </c>
      <c r="B14" s="1" t="s">
        <v>972</v>
      </c>
      <c r="C14" s="1" t="s">
        <v>970</v>
      </c>
      <c r="D14" s="11">
        <v>46311</v>
      </c>
      <c r="E14" s="1" t="s">
        <v>192</v>
      </c>
      <c r="F14" s="1" t="str">
        <f>INDEX('Master Plan'!$F$5:$F$130,MATCH(E14,'Master Plan'!$A$5:$A$130,0))</f>
        <v>Daphne Okwaro</v>
      </c>
      <c r="G14" s="1" t="s">
        <v>948</v>
      </c>
      <c r="H14" s="7" t="str">
        <f ca="1">IF(AND(G14&lt;&gt;"Received",TODAY()&gt;D14),TODAY()-D14,"")</f>
        <v/>
      </c>
    </row>
    <row r="15" spans="1:8" ht="23.85">
      <c r="A15" s="5" t="s">
        <v>973</v>
      </c>
      <c r="B15" s="1" t="s">
        <v>974</v>
      </c>
      <c r="C15" s="1" t="s">
        <v>975</v>
      </c>
      <c r="D15" s="11">
        <v>46309</v>
      </c>
      <c r="E15" s="1" t="s">
        <v>185</v>
      </c>
      <c r="F15" s="1" t="str">
        <f>INDEX('Master Plan'!$F$5:$F$130,MATCH(E15,'Master Plan'!$A$5:$A$130,0))</f>
        <v>Daphne Okwaro</v>
      </c>
      <c r="G15" s="1" t="s">
        <v>948</v>
      </c>
      <c r="H15" s="7" t="str">
        <f ca="1">IF(AND(G15&lt;&gt;"Received",TODAY()&gt;D15),TODAY()-D15,"")</f>
        <v/>
      </c>
    </row>
    <row r="16" spans="1:8">
      <c r="A16" s="5" t="s">
        <v>976</v>
      </c>
      <c r="B16" s="1" t="s">
        <v>977</v>
      </c>
      <c r="C16" s="1" t="s">
        <v>978</v>
      </c>
      <c r="D16" s="11">
        <v>46316</v>
      </c>
      <c r="E16" s="1" t="s">
        <v>309</v>
      </c>
      <c r="F16" s="1" t="str">
        <f>INDEX('Master Plan'!$F$5:$F$130,MATCH(E16,'Master Plan'!$A$5:$A$130,0))</f>
        <v>Denis Otieno</v>
      </c>
      <c r="G16" s="1" t="s">
        <v>948</v>
      </c>
      <c r="H16" s="7" t="str">
        <f ca="1">IF(AND(G16&lt;&gt;"Received",TODAY()&gt;D16),TODAY()-D16,"")</f>
        <v/>
      </c>
    </row>
    <row r="17" spans="1:8">
      <c r="A17" s="5" t="s">
        <v>979</v>
      </c>
      <c r="B17" s="1" t="s">
        <v>980</v>
      </c>
      <c r="C17" s="1" t="s">
        <v>970</v>
      </c>
      <c r="D17" s="11">
        <v>46311</v>
      </c>
      <c r="E17" s="1" t="s">
        <v>298</v>
      </c>
      <c r="F17" s="1" t="str">
        <f>INDEX('Master Plan'!$F$5:$F$130,MATCH(E17,'Master Plan'!$A$5:$A$130,0))</f>
        <v>Moses Masibo</v>
      </c>
      <c r="G17" s="1" t="s">
        <v>948</v>
      </c>
      <c r="H17" s="7" t="str">
        <f ca="1">IF(AND(G17&lt;&gt;"Received",TODAY()&gt;D17),TODAY()-D17,"")</f>
        <v/>
      </c>
    </row>
    <row r="18" spans="1:8">
      <c r="A18" s="5" t="s">
        <v>981</v>
      </c>
      <c r="B18" s="1" t="s">
        <v>982</v>
      </c>
      <c r="C18" s="1" t="s">
        <v>970</v>
      </c>
      <c r="D18" s="11">
        <v>46318</v>
      </c>
      <c r="E18" s="1" t="s">
        <v>205</v>
      </c>
      <c r="F18" s="1" t="str">
        <f>INDEX('Master Plan'!$F$5:$F$130,MATCH(E18,'Master Plan'!$A$5:$A$130,0))</f>
        <v>Moses Masibo</v>
      </c>
      <c r="G18" s="1" t="s">
        <v>948</v>
      </c>
      <c r="H18" s="7" t="str">
        <f ca="1">IF(AND(G18&lt;&gt;"Received",TODAY()&gt;D18),TODAY()-D18,"")</f>
        <v/>
      </c>
    </row>
    <row r="19" spans="1:8">
      <c r="A19" s="5" t="s">
        <v>983</v>
      </c>
      <c r="B19" s="1" t="s">
        <v>984</v>
      </c>
      <c r="C19" s="1" t="s">
        <v>985</v>
      </c>
      <c r="D19" s="11">
        <v>46323</v>
      </c>
      <c r="E19" s="1" t="s">
        <v>336</v>
      </c>
      <c r="F19" s="1" t="str">
        <f>INDEX('Master Plan'!$F$5:$F$130,MATCH(E19,'Master Plan'!$A$5:$A$130,0))</f>
        <v>Nicole Akinyi</v>
      </c>
      <c r="G19" s="1" t="s">
        <v>948</v>
      </c>
      <c r="H19" s="7" t="str">
        <f ca="1">IF(AND(G19&lt;&gt;"Received",TODAY()&gt;D19),TODAY()-D19,"")</f>
        <v/>
      </c>
    </row>
    <row r="20" spans="1:8">
      <c r="A20" s="5" t="s">
        <v>986</v>
      </c>
      <c r="B20" s="1" t="s">
        <v>987</v>
      </c>
      <c r="C20" s="1" t="s">
        <v>988</v>
      </c>
      <c r="D20" s="11">
        <v>46323</v>
      </c>
      <c r="E20" s="1" t="s">
        <v>633</v>
      </c>
      <c r="F20" s="1" t="str">
        <f>INDEX('Master Plan'!$F$5:$F$130,MATCH(E20,'Master Plan'!$A$5:$A$130,0))</f>
        <v>Daphne Okwaro</v>
      </c>
      <c r="G20" s="1" t="s">
        <v>948</v>
      </c>
      <c r="H20" s="7" t="str">
        <f ca="1">IF(AND(G20&lt;&gt;"Received",TODAY()&gt;D20),TODAY()-D20,"")</f>
        <v/>
      </c>
    </row>
    <row r="21" spans="1:8">
      <c r="A21" s="5" t="s">
        <v>989</v>
      </c>
      <c r="B21" s="1" t="s">
        <v>990</v>
      </c>
      <c r="C21" s="1" t="s">
        <v>991</v>
      </c>
      <c r="D21" s="11">
        <v>46318</v>
      </c>
      <c r="E21" s="1" t="s">
        <v>552</v>
      </c>
      <c r="F21" s="1" t="str">
        <f>INDEX('Master Plan'!$F$5:$F$130,MATCH(E21,'Master Plan'!$A$5:$A$130,0))</f>
        <v>Andrew Tanui</v>
      </c>
      <c r="G21" s="1" t="s">
        <v>948</v>
      </c>
      <c r="H21" s="7" t="str">
        <f ca="1">IF(AND(G21&lt;&gt;"Received",TODAY()&gt;D21),TODAY()-D21,"")</f>
        <v/>
      </c>
    </row>
    <row r="22" spans="1:8">
      <c r="A22" s="5" t="s">
        <v>992</v>
      </c>
      <c r="B22" s="1" t="s">
        <v>993</v>
      </c>
      <c r="C22" s="1" t="s">
        <v>994</v>
      </c>
      <c r="D22" s="11">
        <v>46332</v>
      </c>
      <c r="E22" s="1" t="s">
        <v>742</v>
      </c>
      <c r="F22" s="1" t="str">
        <f>INDEX('Master Plan'!$F$5:$F$130,MATCH(E22,'Master Plan'!$A$5:$A$130,0))</f>
        <v>Frankie Omasaja</v>
      </c>
      <c r="G22" s="1" t="s">
        <v>948</v>
      </c>
      <c r="H22" s="7" t="str">
        <f ca="1">IF(AND(G22&lt;&gt;"Received",TODAY()&gt;D22),TODAY()-D22,"")</f>
        <v/>
      </c>
    </row>
    <row r="23" spans="1:8">
      <c r="A23" s="5" t="s">
        <v>995</v>
      </c>
      <c r="B23" s="1" t="s">
        <v>996</v>
      </c>
      <c r="C23" s="1" t="s">
        <v>997</v>
      </c>
      <c r="D23" s="11">
        <v>46339</v>
      </c>
      <c r="E23" s="1" t="s">
        <v>693</v>
      </c>
      <c r="F23" s="1" t="str">
        <f>INDEX('Master Plan'!$F$5:$F$130,MATCH(E23,'Master Plan'!$A$5:$A$130,0))</f>
        <v>Daphne Okwaro</v>
      </c>
      <c r="G23" s="1" t="s">
        <v>948</v>
      </c>
      <c r="H23" s="7" t="str">
        <f ca="1">IF(AND(G23&lt;&gt;"Received",TODAY()&gt;D23),TODAY()-D23,"")</f>
        <v/>
      </c>
    </row>
    <row r="24" spans="1:8">
      <c r="A24" s="5" t="s">
        <v>998</v>
      </c>
      <c r="B24" s="1" t="s">
        <v>999</v>
      </c>
      <c r="C24" s="1" t="s">
        <v>951</v>
      </c>
      <c r="D24" s="11">
        <v>46358</v>
      </c>
      <c r="E24" s="1" t="s">
        <v>796</v>
      </c>
      <c r="F24" s="1" t="str">
        <f>INDEX('Master Plan'!$F$5:$F$130,MATCH(E24,'Master Plan'!$A$5:$A$130,0))</f>
        <v>Denis Otieno</v>
      </c>
      <c r="G24" s="1" t="s">
        <v>948</v>
      </c>
      <c r="H24" s="7" t="str">
        <f ca="1">IF(AND(G24&lt;&gt;"Received",TODAY()&gt;D24),TODAY()-D24,"")</f>
        <v/>
      </c>
    </row>
  </sheetData>
  <dataValidations count="1">
    <dataValidation type="list" sqref="G5:G24" xr:uid="{00000000-0002-0000-0600-000000000000}">
      <formula1>"Requested,Received,Late,Not needed"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4"/>
  <sheetViews>
    <sheetView showGridLines="0" zoomScaleNormal="100" workbookViewId="0"/>
  </sheetViews>
  <sheetFormatPr defaultColWidth="8.7109375" defaultRowHeight="15"/>
  <cols>
    <col min="1" max="1" width="32" customWidth="1"/>
    <col min="2" max="2" width="36" customWidth="1"/>
    <col min="3" max="3" width="22" customWidth="1"/>
    <col min="4" max="5" width="16" customWidth="1"/>
    <col min="6" max="6" width="50" customWidth="1"/>
  </cols>
  <sheetData>
    <row r="1" spans="1:6" ht="19.7">
      <c r="A1" s="2" t="s">
        <v>1000</v>
      </c>
    </row>
    <row r="2" spans="1:6">
      <c r="A2" s="3" t="s">
        <v>1001</v>
      </c>
    </row>
    <row r="4" spans="1:6" ht="30" customHeight="1">
      <c r="A4" s="9" t="s">
        <v>1002</v>
      </c>
      <c r="B4" s="9" t="s">
        <v>1003</v>
      </c>
      <c r="C4" s="9" t="s">
        <v>1004</v>
      </c>
      <c r="D4" s="9" t="s">
        <v>1005</v>
      </c>
      <c r="E4" s="9" t="s">
        <v>1006</v>
      </c>
      <c r="F4" s="9" t="s">
        <v>1007</v>
      </c>
    </row>
    <row r="5" spans="1:6">
      <c r="A5" s="5" t="s">
        <v>1008</v>
      </c>
      <c r="B5" s="1" t="s">
        <v>1009</v>
      </c>
      <c r="C5" s="1" t="s">
        <v>1010</v>
      </c>
      <c r="D5" s="1" t="s">
        <v>27</v>
      </c>
      <c r="E5" s="1" t="s">
        <v>1011</v>
      </c>
      <c r="F5" s="1" t="s">
        <v>1012</v>
      </c>
    </row>
    <row r="6" spans="1:6">
      <c r="A6" s="5" t="s">
        <v>1013</v>
      </c>
      <c r="B6" s="1" t="s">
        <v>1014</v>
      </c>
      <c r="C6" s="1" t="s">
        <v>1015</v>
      </c>
      <c r="D6" s="1" t="s">
        <v>27</v>
      </c>
      <c r="E6" s="1" t="s">
        <v>1016</v>
      </c>
      <c r="F6" s="1" t="s">
        <v>1017</v>
      </c>
    </row>
    <row r="7" spans="1:6">
      <c r="A7" s="5" t="s">
        <v>1018</v>
      </c>
      <c r="B7" s="1" t="s">
        <v>1019</v>
      </c>
      <c r="C7" s="1" t="s">
        <v>1020</v>
      </c>
      <c r="D7" s="1" t="s">
        <v>27</v>
      </c>
      <c r="E7" s="1" t="s">
        <v>61</v>
      </c>
      <c r="F7" s="1" t="s">
        <v>1021</v>
      </c>
    </row>
    <row r="8" spans="1:6">
      <c r="A8" s="5" t="s">
        <v>1022</v>
      </c>
      <c r="B8" s="1" t="s">
        <v>1014</v>
      </c>
      <c r="C8" s="1" t="s">
        <v>1023</v>
      </c>
      <c r="D8" s="1" t="s">
        <v>27</v>
      </c>
      <c r="E8" s="1" t="s">
        <v>1016</v>
      </c>
      <c r="F8" s="1" t="s">
        <v>1024</v>
      </c>
    </row>
    <row r="9" spans="1:6">
      <c r="A9" s="5" t="s">
        <v>1025</v>
      </c>
      <c r="B9" s="1" t="s">
        <v>1026</v>
      </c>
      <c r="C9" s="1" t="s">
        <v>1027</v>
      </c>
      <c r="D9" s="1" t="s">
        <v>30</v>
      </c>
      <c r="E9" s="1" t="s">
        <v>1011</v>
      </c>
      <c r="F9" s="1" t="s">
        <v>1028</v>
      </c>
    </row>
    <row r="10" spans="1:6">
      <c r="A10" s="5" t="s">
        <v>1029</v>
      </c>
      <c r="B10" s="1" t="s">
        <v>1030</v>
      </c>
      <c r="C10" s="1" t="s">
        <v>1010</v>
      </c>
      <c r="D10" s="1" t="s">
        <v>27</v>
      </c>
      <c r="E10" s="1" t="s">
        <v>123</v>
      </c>
      <c r="F10" s="1" t="s">
        <v>1031</v>
      </c>
    </row>
    <row r="11" spans="1:6">
      <c r="A11" s="5" t="s">
        <v>1032</v>
      </c>
      <c r="B11" s="1" t="s">
        <v>1033</v>
      </c>
      <c r="C11" s="1" t="s">
        <v>1034</v>
      </c>
      <c r="D11" s="1" t="s">
        <v>27</v>
      </c>
      <c r="E11" s="1" t="s">
        <v>123</v>
      </c>
      <c r="F11" s="1" t="s">
        <v>1035</v>
      </c>
    </row>
    <row r="12" spans="1:6">
      <c r="A12" s="5" t="s">
        <v>1036</v>
      </c>
      <c r="B12" s="1" t="s">
        <v>1037</v>
      </c>
      <c r="C12" s="1" t="s">
        <v>1038</v>
      </c>
      <c r="D12" s="1" t="s">
        <v>27</v>
      </c>
      <c r="E12" s="1" t="s">
        <v>123</v>
      </c>
      <c r="F12" s="1" t="s">
        <v>1039</v>
      </c>
    </row>
    <row r="13" spans="1:6">
      <c r="A13" s="5" t="s">
        <v>1040</v>
      </c>
      <c r="B13" s="1" t="s">
        <v>1041</v>
      </c>
      <c r="C13" s="1" t="s">
        <v>1042</v>
      </c>
      <c r="D13" s="1" t="s">
        <v>27</v>
      </c>
      <c r="E13" s="1" t="s">
        <v>72</v>
      </c>
      <c r="F13" s="1" t="s">
        <v>1043</v>
      </c>
    </row>
    <row r="14" spans="1:6">
      <c r="A14" s="5" t="s">
        <v>1044</v>
      </c>
      <c r="B14" s="1" t="s">
        <v>1045</v>
      </c>
      <c r="C14" s="1" t="s">
        <v>1046</v>
      </c>
      <c r="D14" s="1" t="s">
        <v>27</v>
      </c>
      <c r="E14" s="1" t="s">
        <v>1047</v>
      </c>
      <c r="F14" s="1" t="s">
        <v>1048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N40"/>
  <sheetViews>
    <sheetView showGridLines="0" zoomScaleNormal="100" workbookViewId="0">
      <pane xSplit="3" ySplit="4" topLeftCell="D5" activePane="bottomRight" state="frozen"/>
      <selection pane="bottomRight"/>
      <selection pane="bottomLeft" activeCell="A5" sqref="A5"/>
      <selection pane="topRight" activeCell="D1" sqref="D1"/>
    </sheetView>
  </sheetViews>
  <sheetFormatPr defaultColWidth="8.7109375" defaultRowHeight="15"/>
  <cols>
    <col min="1" max="1" width="8" customWidth="1"/>
    <col min="2" max="2" width="12" customWidth="1"/>
    <col min="3" max="3" width="34" customWidth="1"/>
    <col min="4" max="4" width="60" customWidth="1"/>
    <col min="5" max="5" width="20" customWidth="1"/>
    <col min="6" max="7" width="12" customWidth="1"/>
    <col min="8" max="8" width="8" customWidth="1"/>
    <col min="9" max="9" width="12" customWidth="1"/>
    <col min="10" max="10" width="24" customWidth="1"/>
    <col min="11" max="11" width="30" customWidth="1"/>
    <col min="12" max="12" width="9" customWidth="1"/>
    <col min="13" max="13" width="12" customWidth="1"/>
    <col min="14" max="14" width="10" customWidth="1"/>
  </cols>
  <sheetData>
    <row r="1" spans="1:14" ht="19.7">
      <c r="A1" s="2" t="s">
        <v>1049</v>
      </c>
    </row>
    <row r="2" spans="1:14">
      <c r="A2" s="3" t="s">
        <v>1050</v>
      </c>
    </row>
    <row r="4" spans="1:14" ht="30" customHeight="1">
      <c r="A4" s="9" t="s">
        <v>99</v>
      </c>
      <c r="B4" s="9" t="s">
        <v>51</v>
      </c>
      <c r="C4" s="9" t="s">
        <v>101</v>
      </c>
      <c r="D4" s="9" t="s">
        <v>102</v>
      </c>
      <c r="E4" s="9" t="s">
        <v>104</v>
      </c>
      <c r="F4" s="9" t="s">
        <v>105</v>
      </c>
      <c r="G4" s="9" t="s">
        <v>106</v>
      </c>
      <c r="H4" s="9" t="s">
        <v>107</v>
      </c>
      <c r="I4" s="9" t="s">
        <v>108</v>
      </c>
      <c r="J4" s="9" t="s">
        <v>1051</v>
      </c>
      <c r="K4" s="9" t="s">
        <v>1052</v>
      </c>
      <c r="L4" s="9" t="s">
        <v>111</v>
      </c>
      <c r="M4" s="9" t="s">
        <v>112</v>
      </c>
      <c r="N4" s="9" t="s">
        <v>114</v>
      </c>
    </row>
    <row r="5" spans="1:14" ht="23.85">
      <c r="A5" s="12" t="str">
        <f>IF('Master Plan'!A5="","",'Master Plan'!A5)</f>
        <v>PM-01</v>
      </c>
      <c r="B5" s="13" t="str">
        <f>IF('Master Plan'!B5="","",'Master Plan'!B5)</f>
        <v>0 Discovery</v>
      </c>
      <c r="C5" s="13" t="str">
        <f>IF('Master Plan'!D5="","",'Master Plan'!D5)</f>
        <v>Project kick-off and warehouse walk-through</v>
      </c>
      <c r="D5" s="13" t="str">
        <f>IF('Master Plan'!E5="","",'Master Plan'!E5)</f>
        <v>Kick-off with NKG; walk the warehouse floor; observe stacking, rows A–G / sections 1–14, bag tags, pockets, lights.</v>
      </c>
      <c r="E5" s="13" t="str">
        <f>IF('Master Plan'!G5="","",'Master Plan'!G5)</f>
        <v>All</v>
      </c>
      <c r="F5" s="14">
        <f>IF('Master Plan'!H5="","",'Master Plan'!H5)</f>
        <v>46296</v>
      </c>
      <c r="G5" s="14">
        <f>IF('Master Plan'!I5="","",'Master Plan'!I5)</f>
        <v>46296</v>
      </c>
      <c r="H5" s="13">
        <f>IF('Master Plan'!J5="","",'Master Plan'!J5)</f>
        <v>1</v>
      </c>
      <c r="I5" s="13" t="str">
        <f>IF('Master Plan'!K5="","",'Master Plan'!K5)</f>
        <v/>
      </c>
      <c r="J5" s="13" t="str">
        <f>IF('Master Plan'!L5="","",'Master Plan'!L5)</f>
        <v>Kick-off notes</v>
      </c>
      <c r="K5" s="13" t="str">
        <f>IF('Master Plan'!M5="","",'Master Plan'!M5)</f>
        <v>Held with NKG stakeholders</v>
      </c>
      <c r="L5" s="13" t="str">
        <f>IF('Master Plan'!N5="","",'Master Plan'!N5)</f>
        <v>—</v>
      </c>
      <c r="M5" s="13" t="str">
        <f>IF('Master Plan'!O5="","",'Master Plan'!O5)</f>
        <v>Complete</v>
      </c>
      <c r="N5" s="13" t="str">
        <f ca="1">IF('Master Plan'!Q5="","",'Master Plan'!Q5)</f>
        <v/>
      </c>
    </row>
    <row r="6" spans="1:14">
      <c r="A6" s="5" t="str">
        <f>IF('Master Plan'!A10="","",'Master Plan'!A10)</f>
        <v>PM-06</v>
      </c>
      <c r="B6" s="1" t="str">
        <f>IF('Master Plan'!B10="","",'Master Plan'!B10)</f>
        <v>0 Discovery</v>
      </c>
      <c r="C6" s="1" t="str">
        <f>IF('Master Plan'!D10="","",'Master Plan'!D10)</f>
        <v>Weekly status report #1</v>
      </c>
      <c r="D6" s="1" t="str">
        <f>IF('Master Plan'!E10="","",'Master Plan'!E10)</f>
        <v>Status email (Word + HTML) to NKG.</v>
      </c>
      <c r="E6" s="1" t="str">
        <f>IF('Master Plan'!G10="","",'Master Plan'!G10)</f>
        <v/>
      </c>
      <c r="F6" s="11">
        <f>IF('Master Plan'!H10="","",'Master Plan'!H10)</f>
        <v>46297</v>
      </c>
      <c r="G6" s="11">
        <f>IF('Master Plan'!I10="","",'Master Plan'!I10)</f>
        <v>46297</v>
      </c>
      <c r="H6" s="1">
        <f>IF('Master Plan'!J10="","",'Master Plan'!J10)</f>
        <v>1</v>
      </c>
      <c r="I6" s="1" t="str">
        <f>IF('Master Plan'!K10="","",'Master Plan'!K10)</f>
        <v/>
      </c>
      <c r="J6" s="1" t="str">
        <f>IF('Master Plan'!L10="","",'Master Plan'!L10)</f>
        <v>Status report</v>
      </c>
      <c r="K6" s="1" t="str">
        <f>IF('Master Plan'!M10="","",'Master Plan'!M10)</f>
        <v>Sent</v>
      </c>
      <c r="L6" s="1" t="str">
        <f>IF('Master Plan'!N10="","",'Master Plan'!N10)</f>
        <v>—</v>
      </c>
      <c r="M6" s="1" t="str">
        <f>IF('Master Plan'!O10="","",'Master Plan'!O10)</f>
        <v>Complete</v>
      </c>
      <c r="N6" s="1" t="str">
        <f ca="1">IF('Master Plan'!Q10="","",'Master Plan'!Q10)</f>
        <v/>
      </c>
    </row>
    <row r="7" spans="1:14" ht="23.85">
      <c r="A7" s="12" t="str">
        <f>IF('Master Plan'!A6="","",'Master Plan'!A6)</f>
        <v>PM-02</v>
      </c>
      <c r="B7" s="13" t="str">
        <f>IF('Master Plan'!B6="","",'Master Plan'!B6)</f>
        <v>0 Discovery</v>
      </c>
      <c r="C7" s="13" t="str">
        <f>IF('Master Plan'!D6="","",'Master Plan'!D6)</f>
        <v>Discovery sessions: Finance, Warehouse &amp; Operations, Trade &amp; QC, Logistics</v>
      </c>
      <c r="D7" s="13" t="str">
        <f>IF('Master Plan'!E6="","",'Master Plan'!E6)</f>
        <v>Run four sessions; record and transcribe; capture process, pain points, reports, data owners.</v>
      </c>
      <c r="E7" s="13" t="str">
        <f>IF('Master Plan'!G6="","",'Master Plan'!G6)</f>
        <v>Moses Masibo, Denis Otieno, Nicole Akinyi</v>
      </c>
      <c r="F7" s="14">
        <f>IF('Master Plan'!H6="","",'Master Plan'!H6)</f>
        <v>46297</v>
      </c>
      <c r="G7" s="14">
        <f>IF('Master Plan'!I6="","",'Master Plan'!I6)</f>
        <v>46303</v>
      </c>
      <c r="H7" s="13">
        <f>IF('Master Plan'!J6="","",'Master Plan'!J6)</f>
        <v>5</v>
      </c>
      <c r="I7" s="13" t="str">
        <f>IF('Master Plan'!K6="","",'Master Plan'!K6)</f>
        <v>PM-01</v>
      </c>
      <c r="J7" s="13" t="str">
        <f>IF('Master Plan'!L6="","",'Master Plan'!L6)</f>
        <v>Recordings + notes</v>
      </c>
      <c r="K7" s="13" t="str">
        <f>IF('Master Plan'!M6="","",'Master Plan'!M6)</f>
        <v>All four sessions held and transcribed</v>
      </c>
      <c r="L7" s="13" t="str">
        <f>IF('Master Plan'!N6="","",'Master Plan'!N6)</f>
        <v>BRD</v>
      </c>
      <c r="M7" s="13" t="str">
        <f>IF('Master Plan'!O6="","",'Master Plan'!O6)</f>
        <v>Complete</v>
      </c>
      <c r="N7" s="13" t="str">
        <f ca="1">IF('Master Plan'!Q6="","",'Master Plan'!Q6)</f>
        <v/>
      </c>
    </row>
    <row r="8" spans="1:14" ht="35.1">
      <c r="A8" s="5" t="str">
        <f>IF('Master Plan'!A9="","",'Master Plan'!A9)</f>
        <v>PM-05</v>
      </c>
      <c r="B8" s="1" t="str">
        <f>IF('Master Plan'!B9="","",'Master Plan'!B9)</f>
        <v>0 Discovery</v>
      </c>
      <c r="C8" s="1" t="str">
        <f>IF('Master Plan'!D9="","",'Master Plan'!D9)</f>
        <v>System access request sent (NKG emails, Power Platform, Git, ITB environment)</v>
      </c>
      <c r="D8" s="1" t="str">
        <f>IF('Master Plan'!E9="","",'Master Plan'!E9)</f>
        <v>Request NKG accounts for all 8 team members, environment maker access, Git, legacy ITB environment.</v>
      </c>
      <c r="E8" s="1" t="str">
        <f>IF('Master Plan'!G9="","",'Master Plan'!G9)</f>
        <v>Moses Masibo</v>
      </c>
      <c r="F8" s="11">
        <f>IF('Master Plan'!H9="","",'Master Plan'!H9)</f>
        <v>46300</v>
      </c>
      <c r="G8" s="11">
        <f>IF('Master Plan'!I9="","",'Master Plan'!I9)</f>
        <v>46301</v>
      </c>
      <c r="H8" s="1">
        <f>IF('Master Plan'!J9="","",'Master Plan'!J9)</f>
        <v>2</v>
      </c>
      <c r="I8" s="1" t="str">
        <f>IF('Master Plan'!K9="","",'Master Plan'!K9)</f>
        <v/>
      </c>
      <c r="J8" s="1" t="str">
        <f>IF('Master Plan'!L9="","",'Master Plan'!L9)</f>
        <v>Access request email</v>
      </c>
      <c r="K8" s="1" t="str">
        <f>IF('Master Plan'!M9="","",'Master Plan'!M9)</f>
        <v>Sent; ITB environment access received</v>
      </c>
      <c r="L8" s="1" t="str">
        <f>IF('Master Plan'!N9="","",'Master Plan'!N9)</f>
        <v>16</v>
      </c>
      <c r="M8" s="1" t="str">
        <f>IF('Master Plan'!O9="","",'Master Plan'!O9)</f>
        <v>Complete</v>
      </c>
      <c r="N8" s="1" t="str">
        <f ca="1">IF('Master Plan'!Q9="","",'Master Plan'!Q9)</f>
        <v/>
      </c>
    </row>
    <row r="9" spans="1:14" ht="23.85">
      <c r="A9" s="12" t="str">
        <f>IF('Master Plan'!A7="","",'Master Plan'!A7)</f>
        <v>PM-03</v>
      </c>
      <c r="B9" s="13" t="str">
        <f>IF('Master Plan'!B7="","",'Master Plan'!B7)</f>
        <v>0 Discovery</v>
      </c>
      <c r="C9" s="13" t="str">
        <f>IF('Master Plan'!D7="","",'Master Plan'!D7)</f>
        <v>BRD V1.1 (red = items to confirm)</v>
      </c>
      <c r="D9" s="13" t="str">
        <f>IF('Master Plan'!E7="","",'Master Plan'!E7)</f>
        <v>Update the BRD from all recordings; mark unconfirmed items in red.</v>
      </c>
      <c r="E9" s="13" t="str">
        <f>IF('Master Plan'!G7="","",'Master Plan'!G7)</f>
        <v>Nicole Akinyi</v>
      </c>
      <c r="F9" s="14">
        <f>IF('Master Plan'!H7="","",'Master Plan'!H7)</f>
        <v>46300</v>
      </c>
      <c r="G9" s="14">
        <f>IF('Master Plan'!I7="","",'Master Plan'!I7)</f>
        <v>46304</v>
      </c>
      <c r="H9" s="13">
        <f>IF('Master Plan'!J7="","",'Master Plan'!J7)</f>
        <v>5</v>
      </c>
      <c r="I9" s="13" t="str">
        <f>IF('Master Plan'!K7="","",'Master Plan'!K7)</f>
        <v>PM-02</v>
      </c>
      <c r="J9" s="13" t="str">
        <f>IF('Master Plan'!L7="","",'Master Plan'!L7)</f>
        <v>STOCKTAKE_BRD_V1.1.docx</v>
      </c>
      <c r="K9" s="13" t="str">
        <f>IF('Master Plan'!M7="","",'Master Plan'!M7)</f>
        <v>Issued to team</v>
      </c>
      <c r="L9" s="13" t="str">
        <f>IF('Master Plan'!N7="","",'Master Plan'!N7)</f>
        <v>BRD</v>
      </c>
      <c r="M9" s="13" t="str">
        <f>IF('Master Plan'!O7="","",'Master Plan'!O7)</f>
        <v>Complete</v>
      </c>
      <c r="N9" s="13" t="str">
        <f ca="1">IF('Master Plan'!Q7="","",'Master Plan'!Q7)</f>
        <v/>
      </c>
    </row>
    <row r="10" spans="1:14" ht="23.85">
      <c r="A10" s="5" t="str">
        <f>IF('Master Plan'!A8="","",'Master Plan'!A8)</f>
        <v>PM-04</v>
      </c>
      <c r="B10" s="1" t="str">
        <f>IF('Master Plan'!B8="","",'Master Plan'!B8)</f>
        <v>0 Discovery</v>
      </c>
      <c r="C10" s="1" t="str">
        <f>IF('Master Plan'!D8="","",'Master Plan'!D8)</f>
        <v>Developer Build Specification V1.0 + screen mockups</v>
      </c>
      <c r="D10" s="1" t="str">
        <f>IF('Master Plan'!E8="","",'Master Plan'!E8)</f>
        <v>Write the build specification (Sections 1–22 + appendices) and 10 screen mockups.</v>
      </c>
      <c r="E10" s="1" t="str">
        <f>IF('Master Plan'!G8="","",'Master Plan'!G8)</f>
        <v>Moses Masibo</v>
      </c>
      <c r="F10" s="11">
        <f>IF('Master Plan'!H8="","",'Master Plan'!H8)</f>
        <v>46302</v>
      </c>
      <c r="G10" s="11">
        <f>IF('Master Plan'!I8="","",'Master Plan'!I8)</f>
        <v>46304</v>
      </c>
      <c r="H10" s="1">
        <f>IF('Master Plan'!J8="","",'Master Plan'!J8)</f>
        <v>3</v>
      </c>
      <c r="I10" s="1" t="str">
        <f>IF('Master Plan'!K8="","",'Master Plan'!K8)</f>
        <v>PM-03</v>
      </c>
      <c r="J10" s="1" t="str">
        <f>IF('Master Plan'!L8="","",'Master Plan'!L8)</f>
        <v>Spec V1.0 + mockups PDF</v>
      </c>
      <c r="K10" s="1" t="str">
        <f>IF('Master Plan'!M8="","",'Master Plan'!M8)</f>
        <v>Issued to team</v>
      </c>
      <c r="L10" s="1" t="str">
        <f>IF('Master Plan'!N8="","",'Master Plan'!N8)</f>
        <v>All</v>
      </c>
      <c r="M10" s="1" t="str">
        <f>IF('Master Plan'!O8="","",'Master Plan'!O8)</f>
        <v>Complete</v>
      </c>
      <c r="N10" s="1" t="str">
        <f ca="1">IF('Master Plan'!Q8="","",'Master Plan'!Q8)</f>
        <v/>
      </c>
    </row>
    <row r="11" spans="1:14" ht="23.85">
      <c r="A11" s="12" t="str">
        <f>IF('Master Plan'!A11="","",'Master Plan'!A11)</f>
        <v>PM-10</v>
      </c>
      <c r="B11" s="13" t="str">
        <f>IF('Master Plan'!B11="","",'Master Plan'!B11)</f>
        <v>1 Design</v>
      </c>
      <c r="C11" s="13" t="str">
        <f>IF('Master Plan'!D11="","",'Master Plan'!D11)</f>
        <v>Weekly status report #2</v>
      </c>
      <c r="D11" s="13" t="str">
        <f>IF('Master Plan'!E11="","",'Master Plan'!E11)</f>
        <v>Progress: discovery complete, BRD V1.1, build spec, mockups; next week: design sign-off, decisions OD1–OD9, sprint 1 start.</v>
      </c>
      <c r="E11" s="13" t="str">
        <f>IF('Master Plan'!G11="","",'Master Plan'!G11)</f>
        <v/>
      </c>
      <c r="F11" s="14">
        <f>IF('Master Plan'!H11="","",'Master Plan'!H11)</f>
        <v>46304</v>
      </c>
      <c r="G11" s="14">
        <f>IF('Master Plan'!I11="","",'Master Plan'!I11)</f>
        <v>46304</v>
      </c>
      <c r="H11" s="13">
        <f>IF('Master Plan'!J11="","",'Master Plan'!J11)</f>
        <v>1</v>
      </c>
      <c r="I11" s="13" t="str">
        <f>IF('Master Plan'!K11="","",'Master Plan'!K11)</f>
        <v>PM-04</v>
      </c>
      <c r="J11" s="13" t="str">
        <f>IF('Master Plan'!L11="","",'Master Plan'!L11)</f>
        <v>Status report</v>
      </c>
      <c r="K11" s="13" t="str">
        <f>IF('Master Plan'!M11="","",'Master Plan'!M11)</f>
        <v>Sent to NKG distribution list</v>
      </c>
      <c r="L11" s="13" t="str">
        <f>IF('Master Plan'!N11="","",'Master Plan'!N11)</f>
        <v>—</v>
      </c>
      <c r="M11" s="13" t="str">
        <f>IF('Master Plan'!O11="","",'Master Plan'!O11)</f>
        <v>In progress</v>
      </c>
      <c r="N11" s="13" t="str">
        <f ca="1">IF('Master Plan'!Q11="","",'Master Plan'!Q11)</f>
        <v/>
      </c>
    </row>
    <row r="12" spans="1:14" ht="23.85">
      <c r="A12" s="5" t="str">
        <f>IF('Master Plan'!A12="","",'Master Plan'!A12)</f>
        <v>PM-11</v>
      </c>
      <c r="B12" s="1" t="str">
        <f>IF('Master Plan'!B12="","",'Master Plan'!B12)</f>
        <v>1 Design</v>
      </c>
      <c r="C12" s="1" t="str">
        <f>IF('Master Plan'!D12="","",'Master Plan'!D12)</f>
        <v>Circulate BRD V1.1, Build Spec and mockups to NKG for review</v>
      </c>
      <c r="D12" s="1" t="str">
        <f>IF('Master Plan'!E12="","",'Master Plan'!E12)</f>
        <v>Email to Carol, Maina, Mathew, Denis Koech, department leads; ask for written comments by Wed 14 Oct; attach mockups PDF.</v>
      </c>
      <c r="E12" s="1" t="str">
        <f>IF('Master Plan'!G12="","",'Master Plan'!G12)</f>
        <v/>
      </c>
      <c r="F12" s="11">
        <f>IF('Master Plan'!H12="","",'Master Plan'!H12)</f>
        <v>46307</v>
      </c>
      <c r="G12" s="11">
        <f>IF('Master Plan'!I12="","",'Master Plan'!I12)</f>
        <v>46307</v>
      </c>
      <c r="H12" s="1">
        <f>IF('Master Plan'!J12="","",'Master Plan'!J12)</f>
        <v>1</v>
      </c>
      <c r="I12" s="1" t="str">
        <f>IF('Master Plan'!K12="","",'Master Plan'!K12)</f>
        <v>PM-04</v>
      </c>
      <c r="J12" s="1" t="str">
        <f>IF('Master Plan'!L12="","",'Master Plan'!L12)</f>
        <v>Review email</v>
      </c>
      <c r="K12" s="1" t="str">
        <f>IF('Master Plan'!M12="","",'Master Plan'!M12)</f>
        <v>Sent; every reviewer acknowledged</v>
      </c>
      <c r="L12" s="1" t="str">
        <f>IF('Master Plan'!N12="","",'Master Plan'!N12)</f>
        <v>—</v>
      </c>
      <c r="M12" s="1" t="str">
        <f>IF('Master Plan'!O12="","",'Master Plan'!O12)</f>
        <v>Not started</v>
      </c>
      <c r="N12" s="1" t="str">
        <f ca="1">IF('Master Plan'!Q12="","",'Master Plan'!Q12)</f>
        <v/>
      </c>
    </row>
    <row r="13" spans="1:14" ht="23.85">
      <c r="A13" s="12" t="str">
        <f>IF('Master Plan'!A32="","",'Master Plan'!A32)</f>
        <v>PM-20</v>
      </c>
      <c r="B13" s="13" t="str">
        <f>IF('Master Plan'!B32="","",'Master Plan'!B32)</f>
        <v>2 Sprint 1</v>
      </c>
      <c r="C13" s="13" t="str">
        <f>IF('Master Plan'!D32="","",'Master Plan'!D32)</f>
        <v>Sprint 1 planning</v>
      </c>
      <c r="D13" s="13" t="str">
        <f>IF('Master Plan'!E32="","",'Master Plan'!E32)</f>
        <v>Assign Sprint 1 stories; confirm capacity (Mashujaa Day Tue 20 Oct is a public holiday).</v>
      </c>
      <c r="E13" s="13" t="str">
        <f>IF('Master Plan'!G32="","",'Master Plan'!G32)</f>
        <v>All</v>
      </c>
      <c r="F13" s="14">
        <f>IF('Master Plan'!H32="","",'Master Plan'!H32)</f>
        <v>46307</v>
      </c>
      <c r="G13" s="14">
        <f>IF('Master Plan'!I32="","",'Master Plan'!I32)</f>
        <v>46307</v>
      </c>
      <c r="H13" s="13">
        <f>IF('Master Plan'!J32="","",'Master Plan'!J32)</f>
        <v>1</v>
      </c>
      <c r="I13" s="13" t="str">
        <f>IF('Master Plan'!K32="","",'Master Plan'!K32)</f>
        <v/>
      </c>
      <c r="J13" s="13" t="str">
        <f>IF('Master Plan'!L32="","",'Master Plan'!L32)</f>
        <v>Sprint 1 board</v>
      </c>
      <c r="K13" s="13" t="str">
        <f>IF('Master Plan'!M32="","",'Master Plan'!M32)</f>
        <v>Every story has owner and estimate</v>
      </c>
      <c r="L13" s="13" t="str">
        <f>IF('Master Plan'!N32="","",'Master Plan'!N32)</f>
        <v>19</v>
      </c>
      <c r="M13" s="13" t="str">
        <f>IF('Master Plan'!O32="","",'Master Plan'!O32)</f>
        <v>Not started</v>
      </c>
      <c r="N13" s="13" t="str">
        <f ca="1">IF('Master Plan'!Q32="","",'Master Plan'!Q32)</f>
        <v/>
      </c>
    </row>
    <row r="14" spans="1:14" ht="35.1">
      <c r="A14" s="5" t="str">
        <f>IF('Master Plan'!A16="","",'Master Plan'!A16)</f>
        <v>PM-15</v>
      </c>
      <c r="B14" s="1" t="str">
        <f>IF('Master Plan'!B16="","",'Master Plan'!B16)</f>
        <v>1 Design</v>
      </c>
      <c r="C14" s="1" t="str">
        <f>IF('Master Plan'!D16="","",'Master Plan'!D16)</f>
        <v>Formal data-feed request to XBS and Comtras/BRIC owners</v>
      </c>
      <c r="D14" s="1" t="str">
        <f>IF('Master Plan'!E16="","",'Master Plan'!E16)</f>
        <v>Request: (1) sample files for every feed S1–S15 by 14 Oct; (2) scheduled daily email to shared mailbox at 07:00 with subject STK|&lt;SOURCE&gt;|&lt;YYYYMMDD&gt;|&lt;HHMM&gt;; (3) named backup sender.</v>
      </c>
      <c r="E14" s="1" t="str">
        <f>IF('Master Plan'!G16="","",'Master Plan'!G16)</f>
        <v>Denis Otieno</v>
      </c>
      <c r="F14" s="11">
        <f>IF('Master Plan'!H16="","",'Master Plan'!H16)</f>
        <v>46307</v>
      </c>
      <c r="G14" s="11">
        <f>IF('Master Plan'!I16="","",'Master Plan'!I16)</f>
        <v>46309</v>
      </c>
      <c r="H14" s="1">
        <f>IF('Master Plan'!J16="","",'Master Plan'!J16)</f>
        <v>3</v>
      </c>
      <c r="I14" s="1" t="str">
        <f>IF('Master Plan'!K16="","",'Master Plan'!K16)</f>
        <v/>
      </c>
      <c r="J14" s="1" t="str">
        <f>IF('Master Plan'!L16="","",'Master Plan'!L16)</f>
        <v>Feed request email + owner list</v>
      </c>
      <c r="K14" s="1" t="str">
        <f>IF('Master Plan'!M16="","",'Master Plan'!M16)</f>
        <v>Every feed has a named owner and a start date</v>
      </c>
      <c r="L14" s="1" t="str">
        <f>IF('Master Plan'!N16="","",'Master Plan'!N16)</f>
        <v>7.1–7.2</v>
      </c>
      <c r="M14" s="1" t="str">
        <f>IF('Master Plan'!O16="","",'Master Plan'!O16)</f>
        <v>Not started</v>
      </c>
      <c r="N14" s="1" t="str">
        <f ca="1">IF('Master Plan'!Q16="","",'Master Plan'!Q16)</f>
        <v/>
      </c>
    </row>
    <row r="15" spans="1:14" ht="68.650000000000006">
      <c r="A15" s="12" t="str">
        <f>IF('Master Plan'!A13="","",'Master Plan'!A13)</f>
        <v>PM-12</v>
      </c>
      <c r="B15" s="13" t="str">
        <f>IF('Master Plan'!B13="","",'Master Plan'!B13)</f>
        <v>1 Design</v>
      </c>
      <c r="C15" s="13" t="str">
        <f>IF('Master Plan'!D13="","",'Master Plan'!D13)</f>
        <v>Open-decision log OD1–OD9 (red items)</v>
      </c>
      <c r="D15" s="13" t="str">
        <f>IF('Master Plan'!E13="","",'Master Plan'!E13)</f>
        <v>Create decision log (decision, options, recommendation, owner, needed-by). Book 30-min calls per owner. Chase daily until closed.
OD1 cut-off rule; OD2 unit rule (pocket, lights); OD3 Low Grade posting; OD4 provisional stock location; OD5 count tolerance; OD6 write-off thresholds; OD7 sign-off order; OD8 Copilot approval; OD9 licensing/environments.</v>
      </c>
      <c r="E15" s="13" t="str">
        <f>IF('Master Plan'!G13="","",'Master Plan'!G13)</f>
        <v>Moses Masibo</v>
      </c>
      <c r="F15" s="14">
        <f>IF('Master Plan'!H13="","",'Master Plan'!H13)</f>
        <v>46307</v>
      </c>
      <c r="G15" s="14">
        <f>IF('Master Plan'!I13="","",'Master Plan'!I13)</f>
        <v>46311</v>
      </c>
      <c r="H15" s="13">
        <f>IF('Master Plan'!J13="","",'Master Plan'!J13)</f>
        <v>5</v>
      </c>
      <c r="I15" s="13" t="str">
        <f>IF('Master Plan'!K13="","",'Master Plan'!K13)</f>
        <v>PM-11</v>
      </c>
      <c r="J15" s="13" t="str">
        <f>IF('Master Plan'!L13="","",'Master Plan'!L13)</f>
        <v>Decision log</v>
      </c>
      <c r="K15" s="13" t="str">
        <f>IF('Master Plan'!M13="","",'Master Plan'!M13)</f>
        <v>OD1–OD5 and OD9 closed by 16 Oct; OD6–OD8 by 23 Oct</v>
      </c>
      <c r="L15" s="13" t="str">
        <f>IF('Master Plan'!N13="","",'Master Plan'!N13)</f>
        <v>22.3</v>
      </c>
      <c r="M15" s="13" t="str">
        <f>IF('Master Plan'!O13="","",'Master Plan'!O13)</f>
        <v>Not started</v>
      </c>
      <c r="N15" s="13" t="str">
        <f ca="1">IF('Master Plan'!Q13="","",'Master Plan'!Q13)</f>
        <v/>
      </c>
    </row>
    <row r="16" spans="1:14" ht="35.1">
      <c r="A16" s="5" t="str">
        <f>IF('Master Plan'!A17="","",'Master Plan'!A17)</f>
        <v>PM-16</v>
      </c>
      <c r="B16" s="1" t="str">
        <f>IF('Master Plan'!B17="","",'Master Plan'!B17)</f>
        <v>1 Design</v>
      </c>
      <c r="C16" s="1" t="str">
        <f>IF('Master Plan'!D17="","",'Master Plan'!D17)</f>
        <v>Licensing and environment confirmation with NKG IT</v>
      </c>
      <c r="D16" s="1" t="str">
        <f>IF('Master Plan'!E17="","",'Master Plan'!E17)</f>
        <v>Confirm Power Apps Premium for Hub/Control Centre users, service account stk.svc, shared mailbox, DEV/UAT/PROD Dataverse environments, Copilot Studio availability.</v>
      </c>
      <c r="E16" s="1" t="str">
        <f>IF('Master Plan'!G17="","",'Master Plan'!G17)</f>
        <v>Moses Masibo</v>
      </c>
      <c r="F16" s="11">
        <f>IF('Master Plan'!H17="","",'Master Plan'!H17)</f>
        <v>46307</v>
      </c>
      <c r="G16" s="11">
        <f>IF('Master Plan'!I17="","",'Master Plan'!I17)</f>
        <v>46311</v>
      </c>
      <c r="H16" s="1">
        <f>IF('Master Plan'!J17="","",'Master Plan'!J17)</f>
        <v>5</v>
      </c>
      <c r="I16" s="1" t="str">
        <f>IF('Master Plan'!K17="","",'Master Plan'!K17)</f>
        <v/>
      </c>
      <c r="J16" s="1" t="str">
        <f>IF('Master Plan'!L17="","",'Master Plan'!L17)</f>
        <v>Confirmation email from NKG IT</v>
      </c>
      <c r="K16" s="1" t="str">
        <f>IF('Master Plan'!M17="","",'Master Plan'!M17)</f>
        <v>Licences and environments confirmed in writing</v>
      </c>
      <c r="L16" s="1" t="str">
        <f>IF('Master Plan'!N17="","",'Master Plan'!N17)</f>
        <v>15, 16</v>
      </c>
      <c r="M16" s="1" t="str">
        <f>IF('Master Plan'!O17="","",'Master Plan'!O17)</f>
        <v>Not started</v>
      </c>
      <c r="N16" s="1" t="str">
        <f ca="1">IF('Master Plan'!Q17="","",'Master Plan'!Q17)</f>
        <v/>
      </c>
    </row>
    <row r="17" spans="1:14" ht="35.1">
      <c r="A17" s="12" t="str">
        <f>IF('Master Plan'!A14="","",'Master Plan'!A14)</f>
        <v>PM-13</v>
      </c>
      <c r="B17" s="13" t="str">
        <f>IF('Master Plan'!B14="","",'Master Plan'!B14)</f>
        <v>1 Design</v>
      </c>
      <c r="C17" s="13" t="str">
        <f>IF('Master Plan'!D14="","",'Master Plan'!D14)</f>
        <v>Design walkthrough with NKG (mockups + zero-variance model)</v>
      </c>
      <c r="D17" s="13" t="str">
        <f>IF('Master Plan'!E14="","",'Master Plan'!E14)</f>
        <v>2-hour session, Digitization Project Team Boardroom / Teams. Demo mockups screen by screen; explain residual = 0 gate; collect feedback.</v>
      </c>
      <c r="E17" s="13" t="str">
        <f>IF('Master Plan'!G14="","",'Master Plan'!G14)</f>
        <v>Moses Masibo, William Imo, Andrew Tanui, Jones Alukwe</v>
      </c>
      <c r="F17" s="14">
        <f>IF('Master Plan'!H14="","",'Master Plan'!H14)</f>
        <v>46308</v>
      </c>
      <c r="G17" s="14">
        <f>IF('Master Plan'!I14="","",'Master Plan'!I14)</f>
        <v>46308</v>
      </c>
      <c r="H17" s="13">
        <f>IF('Master Plan'!J14="","",'Master Plan'!J14)</f>
        <v>1</v>
      </c>
      <c r="I17" s="13" t="str">
        <f>IF('Master Plan'!K14="","",'Master Plan'!K14)</f>
        <v>PM-11</v>
      </c>
      <c r="J17" s="13" t="str">
        <f>IF('Master Plan'!L14="","",'Master Plan'!L14)</f>
        <v>Feedback list</v>
      </c>
      <c r="K17" s="13" t="str">
        <f>IF('Master Plan'!M14="","",'Master Plan'!M14)</f>
        <v>Feedback logged and triaged into backlog</v>
      </c>
      <c r="L17" s="13" t="str">
        <f>IF('Master Plan'!N14="","",'Master Plan'!N14)</f>
        <v>3, 4, 9–14</v>
      </c>
      <c r="M17" s="13" t="str">
        <f>IF('Master Plan'!O14="","",'Master Plan'!O14)</f>
        <v>Not started</v>
      </c>
      <c r="N17" s="13" t="str">
        <f ca="1">IF('Master Plan'!Q14="","",'Master Plan'!Q14)</f>
        <v/>
      </c>
    </row>
    <row r="18" spans="1:14" ht="23.85">
      <c r="A18" s="5" t="str">
        <f>IF('Master Plan'!A15="","",'Master Plan'!A15)</f>
        <v>PM-14</v>
      </c>
      <c r="B18" s="1" t="str">
        <f>IF('Master Plan'!B15="","",'Master Plan'!B15)</f>
        <v>1 Design</v>
      </c>
      <c r="C18" s="1" t="str">
        <f>IF('Master Plan'!D15="","",'Master Plan'!D15)</f>
        <v>Obtain BRD and design sign-off</v>
      </c>
      <c r="D18" s="1" t="str">
        <f>IF('Master Plan'!E15="","",'Master Plan'!E15)</f>
        <v>Update BRD/spec for walkthrough feedback (V1.2); obtain written sign-off from the approval table.</v>
      </c>
      <c r="E18" s="1" t="str">
        <f>IF('Master Plan'!G15="","",'Master Plan'!G15)</f>
        <v>Moses Masibo</v>
      </c>
      <c r="F18" s="11">
        <f>IF('Master Plan'!H15="","",'Master Plan'!H15)</f>
        <v>46309</v>
      </c>
      <c r="G18" s="11">
        <f>IF('Master Plan'!I15="","",'Master Plan'!I15)</f>
        <v>46311</v>
      </c>
      <c r="H18" s="1">
        <f>IF('Master Plan'!J15="","",'Master Plan'!J15)</f>
        <v>3</v>
      </c>
      <c r="I18" s="1" t="str">
        <f>IF('Master Plan'!K15="","",'Master Plan'!K15)</f>
        <v>PM-13, PM-12</v>
      </c>
      <c r="J18" s="1" t="str">
        <f>IF('Master Plan'!L15="","",'Master Plan'!L15)</f>
        <v>Signed BRD V1.2 + Spec V1.1</v>
      </c>
      <c r="K18" s="1" t="str">
        <f>IF('Master Plan'!M15="","",'Master Plan'!M15)</f>
        <v>Signatures/approval emails received</v>
      </c>
      <c r="L18" s="1" t="str">
        <f>IF('Master Plan'!N15="","",'Master Plan'!N15)</f>
        <v>Doc control</v>
      </c>
      <c r="M18" s="1" t="str">
        <f>IF('Master Plan'!O15="","",'Master Plan'!O15)</f>
        <v>Not started</v>
      </c>
      <c r="N18" s="1" t="str">
        <f ca="1">IF('Master Plan'!Q15="","",'Master Plan'!Q15)</f>
        <v/>
      </c>
    </row>
    <row r="19" spans="1:14">
      <c r="A19" s="12" t="str">
        <f>IF('Master Plan'!A52="","",'Master Plan'!A52)</f>
        <v>PM-21</v>
      </c>
      <c r="B19" s="13" t="str">
        <f>IF('Master Plan'!B52="","",'Master Plan'!B52)</f>
        <v>2 Sprint 1</v>
      </c>
      <c r="C19" s="13" t="str">
        <f>IF('Master Plan'!D52="","",'Master Plan'!D52)</f>
        <v>Sprint 1 review / demo to NKG</v>
      </c>
      <c r="D19" s="13" t="str">
        <f>IF('Master Plan'!E52="","",'Master Plan'!E52)</f>
        <v>Demo intake, master data, Stock Take app capture, wizard, mapping BPF.</v>
      </c>
      <c r="E19" s="13" t="str">
        <f>IF('Master Plan'!G52="","",'Master Plan'!G52)</f>
        <v>All</v>
      </c>
      <c r="F19" s="14">
        <f>IF('Master Plan'!H52="","",'Master Plan'!H52)</f>
        <v>46318</v>
      </c>
      <c r="G19" s="14">
        <f>IF('Master Plan'!I52="","",'Master Plan'!I52)</f>
        <v>46318</v>
      </c>
      <c r="H19" s="13">
        <f>IF('Master Plan'!J52="","",'Master Plan'!J52)</f>
        <v>1</v>
      </c>
      <c r="I19" s="13" t="str">
        <f>IF('Master Plan'!K52="","",'Master Plan'!K52)</f>
        <v/>
      </c>
      <c r="J19" s="13" t="str">
        <f>IF('Master Plan'!L52="","",'Master Plan'!L52)</f>
        <v>Demo + feedback</v>
      </c>
      <c r="K19" s="13" t="str">
        <f>IF('Master Plan'!M52="","",'Master Plan'!M52)</f>
        <v>NKG feedback logged</v>
      </c>
      <c r="L19" s="13" t="str">
        <f>IF('Master Plan'!N52="","",'Master Plan'!N52)</f>
        <v>19</v>
      </c>
      <c r="M19" s="13" t="str">
        <f>IF('Master Plan'!O52="","",'Master Plan'!O52)</f>
        <v>Not started</v>
      </c>
      <c r="N19" s="13" t="str">
        <f ca="1">IF('Master Plan'!Q52="","",'Master Plan'!Q52)</f>
        <v/>
      </c>
    </row>
    <row r="20" spans="1:14">
      <c r="A20" s="5" t="str">
        <f>IF('Master Plan'!A53="","",'Master Plan'!A53)</f>
        <v>PM-30</v>
      </c>
      <c r="B20" s="1" t="str">
        <f>IF('Master Plan'!B53="","",'Master Plan'!B53)</f>
        <v>3 Sprint 2</v>
      </c>
      <c r="C20" s="1" t="str">
        <f>IF('Master Plan'!D53="","",'Master Plan'!D53)</f>
        <v>Sprint 2 planning</v>
      </c>
      <c r="D20" s="1" t="str">
        <f>IF('Master Plan'!E53="","",'Master Plan'!E53)</f>
        <v>Carry-over from Sprint 1; confirm parallel-run plan.</v>
      </c>
      <c r="E20" s="1" t="str">
        <f>IF('Master Plan'!G53="","",'Master Plan'!G53)</f>
        <v>All</v>
      </c>
      <c r="F20" s="11">
        <f>IF('Master Plan'!H53="","",'Master Plan'!H53)</f>
        <v>46321</v>
      </c>
      <c r="G20" s="11">
        <f>IF('Master Plan'!I53="","",'Master Plan'!I53)</f>
        <v>46321</v>
      </c>
      <c r="H20" s="1">
        <f>IF('Master Plan'!J53="","",'Master Plan'!J53)</f>
        <v>1</v>
      </c>
      <c r="I20" s="1" t="str">
        <f>IF('Master Plan'!K53="","",'Master Plan'!K53)</f>
        <v>PM-21</v>
      </c>
      <c r="J20" s="1" t="str">
        <f>IF('Master Plan'!L53="","",'Master Plan'!L53)</f>
        <v>Sprint 2 board</v>
      </c>
      <c r="K20" s="1" t="str">
        <f>IF('Master Plan'!M53="","",'Master Plan'!M53)</f>
        <v>Stories assigned</v>
      </c>
      <c r="L20" s="1" t="str">
        <f>IF('Master Plan'!N53="","",'Master Plan'!N53)</f>
        <v>19</v>
      </c>
      <c r="M20" s="1" t="str">
        <f>IF('Master Plan'!O53="","",'Master Plan'!O53)</f>
        <v>Not started</v>
      </c>
      <c r="N20" s="1" t="str">
        <f ca="1">IF('Master Plan'!Q53="","",'Master Plan'!Q53)</f>
        <v/>
      </c>
    </row>
    <row r="21" spans="1:14" ht="23.85">
      <c r="A21" s="12" t="str">
        <f>IF('Master Plan'!A88="","",'Master Plan'!A88)</f>
        <v>PM-31</v>
      </c>
      <c r="B21" s="13" t="str">
        <f>IF('Master Plan'!B88="","",'Master Plan'!B88)</f>
        <v>4 SIT</v>
      </c>
      <c r="C21" s="13" t="str">
        <f>IF('Master Plan'!D88="","",'Master Plan'!D88)</f>
        <v>Plan October month-end parallel run</v>
      </c>
      <c r="D21" s="13" t="str">
        <f>IF('Master Plan'!E88="","",'Master Plan'!E88)</f>
        <v>Agree with Operations: counters, zones, dates (count Mon 2 – Wed 4 Nov), devices, QR labels on bays, fallback to current process.</v>
      </c>
      <c r="E21" s="13" t="str">
        <f>IF('Master Plan'!G88="","",'Master Plan'!G88)</f>
        <v>Andrew Tanui, William Imo</v>
      </c>
      <c r="F21" s="14">
        <f>IF('Master Plan'!H88="","",'Master Plan'!H88)</f>
        <v>46321</v>
      </c>
      <c r="G21" s="14">
        <f>IF('Master Plan'!I88="","",'Master Plan'!I88)</f>
        <v>46325</v>
      </c>
      <c r="H21" s="13">
        <f>IF('Master Plan'!J88="","",'Master Plan'!J88)</f>
        <v>5</v>
      </c>
      <c r="I21" s="13" t="str">
        <f>IF('Master Plan'!K88="","",'Master Plan'!K88)</f>
        <v>PM-30</v>
      </c>
      <c r="J21" s="13" t="str">
        <f>IF('Master Plan'!L88="","",'Master Plan'!L88)</f>
        <v>Parallel-run plan</v>
      </c>
      <c r="K21" s="13" t="str">
        <f>IF('Master Plan'!M88="","",'Master Plan'!M88)</f>
        <v>Ops manager agreed</v>
      </c>
      <c r="L21" s="13" t="str">
        <f>IF('Master Plan'!N88="","",'Master Plan'!N88)</f>
        <v>18.1</v>
      </c>
      <c r="M21" s="13" t="str">
        <f>IF('Master Plan'!O88="","",'Master Plan'!O88)</f>
        <v>Not started</v>
      </c>
      <c r="N21" s="13" t="str">
        <f ca="1">IF('Master Plan'!Q88="","",'Master Plan'!Q88)</f>
        <v/>
      </c>
    </row>
    <row r="22" spans="1:14" ht="23.85">
      <c r="A22" s="5" t="str">
        <f>IF('Master Plan'!A98="","",'Master Plan'!A98)</f>
        <v>PM-40</v>
      </c>
      <c r="B22" s="1" t="str">
        <f>IF('Master Plan'!B98="","",'Master Plan'!B98)</f>
        <v>5 Training</v>
      </c>
      <c r="C22" s="1" t="str">
        <f>IF('Master Plan'!D98="","",'Master Plan'!D98)</f>
        <v>Training plan, schedule and invites</v>
      </c>
      <c r="D22" s="1" t="str">
        <f>IF('Master Plan'!E98="","",'Master Plan'!E98)</f>
        <v>Sessions per audience; Digitization Project Team Boardroom / Teams; attendance list.</v>
      </c>
      <c r="E22" s="1" t="str">
        <f>IF('Master Plan'!G98="","",'Master Plan'!G98)</f>
        <v>Frankie Omasaja</v>
      </c>
      <c r="F22" s="11">
        <f>IF('Master Plan'!H98="","",'Master Plan'!H98)</f>
        <v>46324</v>
      </c>
      <c r="G22" s="11">
        <f>IF('Master Plan'!I98="","",'Master Plan'!I98)</f>
        <v>46332</v>
      </c>
      <c r="H22" s="1">
        <f>IF('Master Plan'!J98="","",'Master Plan'!J98)</f>
        <v>7</v>
      </c>
      <c r="I22" s="1" t="str">
        <f>IF('Master Plan'!K98="","",'Master Plan'!K98)</f>
        <v/>
      </c>
      <c r="J22" s="1" t="str">
        <f>IF('Master Plan'!L98="","",'Master Plan'!L98)</f>
        <v>Training schedule + invites</v>
      </c>
      <c r="K22" s="1" t="str">
        <f>IF('Master Plan'!M98="","",'Master Plan'!M98)</f>
        <v>Invites accepted</v>
      </c>
      <c r="L22" s="1" t="str">
        <f>IF('Master Plan'!N98="","",'Master Plan'!N98)</f>
        <v>21</v>
      </c>
      <c r="M22" s="1" t="str">
        <f>IF('Master Plan'!O98="","",'Master Plan'!O98)</f>
        <v>Not started</v>
      </c>
      <c r="N22" s="1" t="str">
        <f ca="1">IF('Master Plan'!Q98="","",'Master Plan'!Q98)</f>
        <v/>
      </c>
    </row>
    <row r="23" spans="1:14">
      <c r="A23" s="12" t="str">
        <f>IF('Master Plan'!A97="","",'Master Plan'!A97)</f>
        <v>PM-32</v>
      </c>
      <c r="B23" s="13" t="str">
        <f>IF('Master Plan'!B97="","",'Master Plan'!B97)</f>
        <v>4 SIT</v>
      </c>
      <c r="C23" s="13" t="str">
        <f>IF('Master Plan'!D97="","",'Master Plan'!D97)</f>
        <v>Sprint 2 review / SIT exit</v>
      </c>
      <c r="D23" s="13" t="str">
        <f>IF('Master Plan'!E97="","",'Master Plan'!E97)</f>
        <v>Demo full flow; review SIT and parallel-run results; go/no-go for UAT.</v>
      </c>
      <c r="E23" s="13" t="str">
        <f>IF('Master Plan'!G97="","",'Master Plan'!G97)</f>
        <v>All</v>
      </c>
      <c r="F23" s="14">
        <f>IF('Master Plan'!H97="","",'Master Plan'!H97)</f>
        <v>46332</v>
      </c>
      <c r="G23" s="14">
        <f>IF('Master Plan'!I97="","",'Master Plan'!I97)</f>
        <v>46332</v>
      </c>
      <c r="H23" s="13">
        <f>IF('Master Plan'!J97="","",'Master Plan'!J97)</f>
        <v>1</v>
      </c>
      <c r="I23" s="13" t="str">
        <f>IF('Master Plan'!K97="","",'Master Plan'!K97)</f>
        <v>FR-03</v>
      </c>
      <c r="J23" s="13" t="str">
        <f>IF('Master Plan'!L97="","",'Master Plan'!L97)</f>
        <v>SIT exit note</v>
      </c>
      <c r="K23" s="13" t="str">
        <f>IF('Master Plan'!M97="","",'Master Plan'!M97)</f>
        <v>UAT entry approved</v>
      </c>
      <c r="L23" s="13" t="str">
        <f>IF('Master Plan'!N97="","",'Master Plan'!N97)</f>
        <v>18.4</v>
      </c>
      <c r="M23" s="13" t="str">
        <f>IF('Master Plan'!O97="","",'Master Plan'!O97)</f>
        <v>Not started</v>
      </c>
      <c r="N23" s="13" t="str">
        <f ca="1">IF('Master Plan'!Q97="","",'Master Plan'!Q97)</f>
        <v/>
      </c>
    </row>
    <row r="24" spans="1:14" ht="23.85">
      <c r="A24" s="5" t="str">
        <f>IF('Master Plan'!A108="","",'Master Plan'!A108)</f>
        <v>PM-50</v>
      </c>
      <c r="B24" s="1" t="str">
        <f>IF('Master Plan'!B108="","",'Master Plan'!B108)</f>
        <v>6 UAT</v>
      </c>
      <c r="C24" s="1" t="str">
        <f>IF('Master Plan'!D108="","",'Master Plan'!D108)</f>
        <v>Run UAT and daily defect triage</v>
      </c>
      <c r="D24" s="1" t="str">
        <f>IF('Master Plan'!E108="","",'Master Plan'!E108)</f>
        <v>Kick-off Mon 16 Nov; daily 16:00 triage; track progress per department.</v>
      </c>
      <c r="E24" s="1" t="str">
        <f>IF('Master Plan'!G108="","",'Master Plan'!G108)</f>
        <v>Frankie Omasaja, Moses Masibo</v>
      </c>
      <c r="F24" s="11">
        <f>IF('Master Plan'!H108="","",'Master Plan'!H108)</f>
        <v>46342</v>
      </c>
      <c r="G24" s="11">
        <f>IF('Master Plan'!I108="","",'Master Plan'!I108)</f>
        <v>46353</v>
      </c>
      <c r="H24" s="1">
        <f>IF('Master Plan'!J108="","",'Master Plan'!J108)</f>
        <v>10</v>
      </c>
      <c r="I24" s="1" t="str">
        <f>IF('Master Plan'!K108="","",'Master Plan'!K108)</f>
        <v>MO-14, FR-05</v>
      </c>
      <c r="J24" s="1" t="str">
        <f>IF('Master Plan'!L108="","",'Master Plan'!L108)</f>
        <v>UAT tracker</v>
      </c>
      <c r="K24" s="1" t="str">
        <f>IF('Master Plan'!M108="","",'Master Plan'!M108)</f>
        <v>All scenarios executed</v>
      </c>
      <c r="L24" s="1" t="str">
        <f>IF('Master Plan'!N108="","",'Master Plan'!N108)</f>
        <v>18.3</v>
      </c>
      <c r="M24" s="1" t="str">
        <f>IF('Master Plan'!O108="","",'Master Plan'!O108)</f>
        <v>Not started</v>
      </c>
      <c r="N24" s="1" t="str">
        <f ca="1">IF('Master Plan'!Q108="","",'Master Plan'!Q108)</f>
        <v/>
      </c>
    </row>
    <row r="25" spans="1:14">
      <c r="A25" s="12" t="str">
        <f>IF('Master Plan'!A114="","",'Master Plan'!A114)</f>
        <v>PM-51</v>
      </c>
      <c r="B25" s="13" t="str">
        <f>IF('Master Plan'!B114="","",'Master Plan'!B114)</f>
        <v>6 UAT</v>
      </c>
      <c r="C25" s="13" t="str">
        <f>IF('Master Plan'!D114="","",'Master Plan'!D114)</f>
        <v>UAT sign-off by department leads</v>
      </c>
      <c r="D25" s="13" t="str">
        <f>IF('Master Plan'!E114="","",'Master Plan'!E114)</f>
        <v>Sign-off sheet per department.</v>
      </c>
      <c r="E25" s="13" t="str">
        <f>IF('Master Plan'!G114="","",'Master Plan'!G114)</f>
        <v/>
      </c>
      <c r="F25" s="14">
        <f>IF('Master Plan'!H114="","",'Master Plan'!H114)</f>
        <v>46353</v>
      </c>
      <c r="G25" s="14">
        <f>IF('Master Plan'!I114="","",'Master Plan'!I114)</f>
        <v>46353</v>
      </c>
      <c r="H25" s="13">
        <f>IF('Master Plan'!J114="","",'Master Plan'!J114)</f>
        <v>1</v>
      </c>
      <c r="I25" s="13" t="str">
        <f>IF('Master Plan'!K114="","",'Master Plan'!K114)</f>
        <v>PM-50</v>
      </c>
      <c r="J25" s="13" t="str">
        <f>IF('Master Plan'!L114="","",'Master Plan'!L114)</f>
        <v>Signed UAT</v>
      </c>
      <c r="K25" s="13" t="str">
        <f>IF('Master Plan'!M114="","",'Master Plan'!M114)</f>
        <v>All departments signed</v>
      </c>
      <c r="L25" s="13" t="str">
        <f>IF('Master Plan'!N114="","",'Master Plan'!N114)</f>
        <v>18.4</v>
      </c>
      <c r="M25" s="13" t="str">
        <f>IF('Master Plan'!O114="","",'Master Plan'!O114)</f>
        <v>Not started</v>
      </c>
      <c r="N25" s="13" t="str">
        <f ca="1">IF('Master Plan'!Q114="","",'Master Plan'!Q114)</f>
        <v/>
      </c>
    </row>
    <row r="26" spans="1:14" ht="23.85">
      <c r="A26" s="5" t="str">
        <f>IF('Master Plan'!A120="","",'Master Plan'!A120)</f>
        <v>PM-60</v>
      </c>
      <c r="B26" s="1" t="str">
        <f>IF('Master Plan'!B120="","",'Master Plan'!B120)</f>
        <v>7 Cutover</v>
      </c>
      <c r="C26" s="1" t="str">
        <f>IF('Master Plan'!D120="","",'Master Plan'!D120)</f>
        <v>Go / no-go meeting</v>
      </c>
      <c r="D26" s="1" t="str">
        <f>IF('Master Plan'!E120="","",'Master Plan'!E120)</f>
        <v>Criteria: UAT signed, parallel run residual 0, feeds live, ≥ 90% trained, support rota.</v>
      </c>
      <c r="E26" s="1" t="str">
        <f>IF('Master Plan'!G120="","",'Master Plan'!G120)</f>
        <v>Moses Masibo</v>
      </c>
      <c r="F26" s="11">
        <f>IF('Master Plan'!H120="","",'Master Plan'!H120)</f>
        <v>46353</v>
      </c>
      <c r="G26" s="11">
        <f>IF('Master Plan'!I120="","",'Master Plan'!I120)</f>
        <v>46353</v>
      </c>
      <c r="H26" s="1">
        <f>IF('Master Plan'!J120="","",'Master Plan'!J120)</f>
        <v>1</v>
      </c>
      <c r="I26" s="1" t="str">
        <f>IF('Master Plan'!K120="","",'Master Plan'!K120)</f>
        <v>PM-51, DO-20</v>
      </c>
      <c r="J26" s="1" t="str">
        <f>IF('Master Plan'!L120="","",'Master Plan'!L120)</f>
        <v>Go/no-go decision</v>
      </c>
      <c r="K26" s="1" t="str">
        <f>IF('Master Plan'!M120="","",'Master Plan'!M120)</f>
        <v>Decision minuted</v>
      </c>
      <c r="L26" s="1" t="str">
        <f>IF('Master Plan'!N120="","",'Master Plan'!N120)</f>
        <v>20.2</v>
      </c>
      <c r="M26" s="1" t="str">
        <f>IF('Master Plan'!O120="","",'Master Plan'!O120)</f>
        <v>Not started</v>
      </c>
      <c r="N26" s="1" t="str">
        <f ca="1">IF('Master Plan'!Q120="","",'Master Plan'!Q120)</f>
        <v/>
      </c>
    </row>
    <row r="27" spans="1:14" ht="23.85">
      <c r="A27" s="12" t="str">
        <f>IF('Master Plan'!A122="","",'Master Plan'!A122)</f>
        <v>PM-61</v>
      </c>
      <c r="B27" s="13" t="str">
        <f>IF('Master Plan'!B122="","",'Master Plan'!B122)</f>
        <v>7 Cutover</v>
      </c>
      <c r="C27" s="13" t="str">
        <f>IF('Master Plan'!D122="","",'Master Plan'!D122)</f>
        <v>First live month-end count (November) in PROD</v>
      </c>
      <c r="D27" s="13" t="str">
        <f>IF('Master Plan'!E122="","",'Master Plan'!E122)</f>
        <v>Count Tue 1 – Thu 3 Dec; whole team on call; floor support William/Andrew.</v>
      </c>
      <c r="E27" s="13" t="str">
        <f>IF('Master Plan'!G122="","",'Master Plan'!G122)</f>
        <v>All</v>
      </c>
      <c r="F27" s="14">
        <f>IF('Master Plan'!H122="","",'Master Plan'!H122)</f>
        <v>46357</v>
      </c>
      <c r="G27" s="14">
        <f>IF('Master Plan'!I122="","",'Master Plan'!I122)</f>
        <v>46359</v>
      </c>
      <c r="H27" s="13">
        <f>IF('Master Plan'!J122="","",'Master Plan'!J122)</f>
        <v>3</v>
      </c>
      <c r="I27" s="13" t="str">
        <f>IF('Master Plan'!K122="","",'Master Plan'!K122)</f>
        <v>MO-17</v>
      </c>
      <c r="J27" s="13" t="str">
        <f>IF('Master Plan'!L122="","",'Master Plan'!L122)</f>
        <v>Live count</v>
      </c>
      <c r="K27" s="13" t="str">
        <f>IF('Master Plan'!M122="","",'Master Plan'!M122)</f>
        <v>Count closed in PROD</v>
      </c>
      <c r="L27" s="13" t="str">
        <f>IF('Master Plan'!N122="","",'Master Plan'!N122)</f>
        <v>5.2</v>
      </c>
      <c r="M27" s="13" t="str">
        <f>IF('Master Plan'!O122="","",'Master Plan'!O122)</f>
        <v>Not started</v>
      </c>
      <c r="N27" s="13" t="str">
        <f ca="1">IF('Master Plan'!Q122="","",'Master Plan'!Q122)</f>
        <v/>
      </c>
    </row>
    <row r="28" spans="1:14" ht="23.85">
      <c r="A28" s="5" t="str">
        <f>IF('Master Plan'!A125="","",'Master Plan'!A125)</f>
        <v>PM-63</v>
      </c>
      <c r="B28" s="1" t="str">
        <f>IF('Master Plan'!B125="","",'Master Plan'!B125)</f>
        <v>8 Hypercare</v>
      </c>
      <c r="C28" s="1" t="str">
        <f>IF('Master Plan'!D125="","",'Master Plan'!D125)</f>
        <v>Hypercare: daily stand-up with NKG super users</v>
      </c>
      <c r="D28" s="1" t="str">
        <f>IF('Master Plan'!E125="","",'Master Plan'!E125)</f>
        <v>Sev1 4 h, Sev2 1 day; daily issue review.</v>
      </c>
      <c r="E28" s="1" t="str">
        <f>IF('Master Plan'!G125="","",'Master Plan'!G125)</f>
        <v>All</v>
      </c>
      <c r="F28" s="11">
        <f>IF('Master Plan'!H125="","",'Master Plan'!H125)</f>
        <v>46357</v>
      </c>
      <c r="G28" s="11">
        <f>IF('Master Plan'!I125="","",'Master Plan'!I125)</f>
        <v>46367</v>
      </c>
      <c r="H28" s="1">
        <f>IF('Master Plan'!J125="","",'Master Plan'!J125)</f>
        <v>9</v>
      </c>
      <c r="I28" s="1" t="str">
        <f>IF('Master Plan'!K125="","",'Master Plan'!K125)</f>
        <v>MO-17</v>
      </c>
      <c r="J28" s="1" t="str">
        <f>IF('Master Plan'!L125="","",'Master Plan'!L125)</f>
        <v>Hypercare log</v>
      </c>
      <c r="K28" s="1" t="str">
        <f>IF('Master Plan'!M125="","",'Master Plan'!M125)</f>
        <v>Issues closed or handed over</v>
      </c>
      <c r="L28" s="1" t="str">
        <f>IF('Master Plan'!N125="","",'Master Plan'!N125)</f>
        <v>20.4</v>
      </c>
      <c r="M28" s="1" t="str">
        <f>IF('Master Plan'!O125="","",'Master Plan'!O125)</f>
        <v>Not started</v>
      </c>
      <c r="N28" s="1" t="str">
        <f ca="1">IF('Master Plan'!Q125="","",'Master Plan'!Q125)</f>
        <v/>
      </c>
    </row>
    <row r="29" spans="1:14">
      <c r="A29" s="12" t="str">
        <f>IF('Master Plan'!A124="","",'Master Plan'!A124)</f>
        <v>PM-62</v>
      </c>
      <c r="B29" s="13" t="str">
        <f>IF('Master Plan'!B124="","",'Master Plan'!B124)</f>
        <v>8 Hypercare</v>
      </c>
      <c r="C29" s="13" t="str">
        <f>IF('Master Plan'!D124="","",'Master Plan'!D124)</f>
        <v>First live sign-off (residual = 0 gate)</v>
      </c>
      <c r="D29" s="13" t="str">
        <f>IF('Master Plan'!E124="","",'Master Plan'!E124)</f>
        <v>Walk signatories through BPF; pack generated and distributed.</v>
      </c>
      <c r="E29" s="13" t="str">
        <f>IF('Master Plan'!G124="","",'Master Plan'!G124)</f>
        <v>Jones Alukwe</v>
      </c>
      <c r="F29" s="14">
        <f>IF('Master Plan'!H124="","",'Master Plan'!H124)</f>
        <v>46365</v>
      </c>
      <c r="G29" s="14">
        <f>IF('Master Plan'!I124="","",'Master Plan'!I124)</f>
        <v>46365</v>
      </c>
      <c r="H29" s="13">
        <f>IF('Master Plan'!J124="","",'Master Plan'!J124)</f>
        <v>1</v>
      </c>
      <c r="I29" s="13" t="str">
        <f>IF('Master Plan'!K124="","",'Master Plan'!K124)</f>
        <v>DO-22</v>
      </c>
      <c r="J29" s="13" t="str">
        <f>IF('Master Plan'!L124="","",'Master Plan'!L124)</f>
        <v>Signed period</v>
      </c>
      <c r="K29" s="13" t="str">
        <f>IF('Master Plan'!M124="","",'Master Plan'!M124)</f>
        <v>Period locked</v>
      </c>
      <c r="L29" s="13" t="str">
        <f>IF('Master Plan'!N124="","",'Master Plan'!N124)</f>
        <v>11.11</v>
      </c>
      <c r="M29" s="13" t="str">
        <f>IF('Master Plan'!O124="","",'Master Plan'!O124)</f>
        <v>Not started</v>
      </c>
      <c r="N29" s="13" t="str">
        <f ca="1">IF('Master Plan'!Q124="","",'Master Plan'!Q124)</f>
        <v/>
      </c>
    </row>
    <row r="30" spans="1:14">
      <c r="A30" s="5" t="str">
        <f>IF('Master Plan'!A129="","",'Master Plan'!A129)</f>
        <v>PM-64</v>
      </c>
      <c r="B30" s="1" t="str">
        <f>IF('Master Plan'!B129="","",'Master Plan'!B129)</f>
        <v>8 Hypercare</v>
      </c>
      <c r="C30" s="1" t="str">
        <f>IF('Master Plan'!D129="","",'Master Plan'!D129)</f>
        <v>Hypercare exit report</v>
      </c>
      <c r="D30" s="1" t="str">
        <f>IF('Master Plan'!E129="","",'Master Plan'!E129)</f>
        <v>Issues, fixes, open items, recommendations.</v>
      </c>
      <c r="E30" s="1" t="str">
        <f>IF('Master Plan'!G129="","",'Master Plan'!G129)</f>
        <v/>
      </c>
      <c r="F30" s="11">
        <f>IF('Master Plan'!H129="","",'Master Plan'!H129)</f>
        <v>46367</v>
      </c>
      <c r="G30" s="11">
        <f>IF('Master Plan'!I129="","",'Master Plan'!I129)</f>
        <v>46367</v>
      </c>
      <c r="H30" s="1">
        <f>IF('Master Plan'!J129="","",'Master Plan'!J129)</f>
        <v>1</v>
      </c>
      <c r="I30" s="1" t="str">
        <f>IF('Master Plan'!K129="","",'Master Plan'!K129)</f>
        <v>PM-63</v>
      </c>
      <c r="J30" s="1" t="str">
        <f>IF('Master Plan'!L129="","",'Master Plan'!L129)</f>
        <v>Exit report</v>
      </c>
      <c r="K30" s="1" t="str">
        <f>IF('Master Plan'!M129="","",'Master Plan'!M129)</f>
        <v>Sent to sponsors</v>
      </c>
      <c r="L30" s="1" t="str">
        <f>IF('Master Plan'!N129="","",'Master Plan'!N129)</f>
        <v>20.4</v>
      </c>
      <c r="M30" s="1" t="str">
        <f>IF('Master Plan'!O129="","",'Master Plan'!O129)</f>
        <v>Not started</v>
      </c>
      <c r="N30" s="1" t="str">
        <f ca="1">IF('Master Plan'!Q129="","",'Master Plan'!Q129)</f>
        <v/>
      </c>
    </row>
    <row r="31" spans="1:14">
      <c r="A31" s="12" t="str">
        <f>IF('Master Plan'!A130="","",'Master Plan'!A130)</f>
        <v>PM-70</v>
      </c>
      <c r="B31" s="13" t="str">
        <f>IF('Master Plan'!B130="","",'Master Plan'!B130)</f>
        <v>9 Acceptance</v>
      </c>
      <c r="C31" s="13" t="str">
        <f>IF('Master Plan'!D130="","",'Master Plan'!D130)</f>
        <v>Final acceptance and project close</v>
      </c>
      <c r="D31" s="13" t="str">
        <f>IF('Master Plan'!E130="","",'Master Plan'!E130)</f>
        <v>Formal acceptance meeting; lessons learned; budget close (USD 24,753).</v>
      </c>
      <c r="E31" s="13" t="str">
        <f>IF('Master Plan'!G130="","",'Master Plan'!G130)</f>
        <v>Moses Masibo</v>
      </c>
      <c r="F31" s="14">
        <f>IF('Master Plan'!H130="","",'Master Plan'!H130)</f>
        <v>46370</v>
      </c>
      <c r="G31" s="14">
        <f>IF('Master Plan'!I130="","",'Master Plan'!I130)</f>
        <v>46373</v>
      </c>
      <c r="H31" s="13">
        <f>IF('Master Plan'!J130="","",'Master Plan'!J130)</f>
        <v>4</v>
      </c>
      <c r="I31" s="13" t="str">
        <f>IF('Master Plan'!K130="","",'Master Plan'!K130)</f>
        <v>PM-64</v>
      </c>
      <c r="J31" s="13" t="str">
        <f>IF('Master Plan'!L130="","",'Master Plan'!L130)</f>
        <v>Acceptance certificate</v>
      </c>
      <c r="K31" s="13" t="str">
        <f>IF('Master Plan'!M130="","",'Master Plan'!M130)</f>
        <v>Signed by NKG sponsor</v>
      </c>
      <c r="L31" s="13" t="str">
        <f>IF('Master Plan'!N130="","",'Master Plan'!N130)</f>
        <v>19.1</v>
      </c>
      <c r="M31" s="13" t="str">
        <f>IF('Master Plan'!O130="","",'Master Plan'!O130)</f>
        <v>Not started</v>
      </c>
      <c r="N31" s="13" t="str">
        <f ca="1">IF('Master Plan'!Q130="","",'Master Plan'!Q130)</f>
        <v/>
      </c>
    </row>
    <row r="33" spans="1:6">
      <c r="A33" s="4" t="s">
        <v>1053</v>
      </c>
    </row>
    <row r="34" spans="1:6" ht="30" customHeight="1">
      <c r="A34" s="9" t="s">
        <v>99</v>
      </c>
      <c r="B34" s="9" t="s">
        <v>51</v>
      </c>
      <c r="C34" s="9" t="s">
        <v>101</v>
      </c>
      <c r="D34" s="9" t="s">
        <v>103</v>
      </c>
      <c r="E34" s="9" t="s">
        <v>105</v>
      </c>
      <c r="F34" s="9" t="s">
        <v>106</v>
      </c>
    </row>
    <row r="35" spans="1:6" ht="23.85">
      <c r="A35" s="1" t="str">
        <f>IF('Master Plan'!A20="","",'Master Plan'!A20)</f>
        <v>MO-03</v>
      </c>
      <c r="B35" s="1" t="str">
        <f>IF('Master Plan'!B20="","",'Master Plan'!B20)</f>
        <v>1 Design</v>
      </c>
      <c r="C35" s="1" t="str">
        <f>IF('Master Plan'!D20="","",'Master Plan'!D20)</f>
        <v>Request/confirm DEV, UAT, PROD environments and DLP policy</v>
      </c>
      <c r="D35" s="1" t="str">
        <f>IF('Master Plan'!F20="","",'Master Plan'!F20)</f>
        <v>Moses Masibo</v>
      </c>
      <c r="E35" s="11">
        <f>IF('Master Plan'!H20="","",'Master Plan'!H20)</f>
        <v>46307</v>
      </c>
      <c r="F35" s="11">
        <f>IF('Master Plan'!I20="","",'Master Plan'!I20)</f>
        <v>46311</v>
      </c>
    </row>
    <row r="36" spans="1:6">
      <c r="A36" s="1" t="str">
        <f>IF('Master Plan'!A31="","",'Master Plan'!A31)</f>
        <v>FR-01</v>
      </c>
      <c r="B36" s="1" t="str">
        <f>IF('Master Plan'!B31="","",'Master Plan'!B31)</f>
        <v>1 Design</v>
      </c>
      <c r="C36" s="1" t="str">
        <f>IF('Master Plan'!D31="","",'Master Plan'!D31)</f>
        <v>Test strategy and defect process</v>
      </c>
      <c r="D36" s="1" t="str">
        <f>IF('Master Plan'!F31="","",'Master Plan'!F31)</f>
        <v>Frankie Omasaja</v>
      </c>
      <c r="E36" s="11">
        <f>IF('Master Plan'!H31="","",'Master Plan'!H31)</f>
        <v>46308</v>
      </c>
      <c r="F36" s="11">
        <f>IF('Master Plan'!I31="","",'Master Plan'!I31)</f>
        <v>46311</v>
      </c>
    </row>
    <row r="37" spans="1:6">
      <c r="A37" s="1" t="str">
        <f>IF('Master Plan'!A93="","",'Master Plan'!A93)</f>
        <v>NI-09</v>
      </c>
      <c r="B37" s="1" t="str">
        <f>IF('Master Plan'!B93="","",'Master Plan'!B93)</f>
        <v>4 SIT</v>
      </c>
      <c r="C37" s="1" t="str">
        <f>IF('Master Plan'!D93="","",'Master Plan'!D93)</f>
        <v>Parallel-run comparison report</v>
      </c>
      <c r="D37" s="1" t="str">
        <f>IF('Master Plan'!F93="","",'Master Plan'!F93)</f>
        <v>Nicole Akinyi</v>
      </c>
      <c r="E37" s="11">
        <f>IF('Master Plan'!H93="","",'Master Plan'!H93)</f>
        <v>46330</v>
      </c>
      <c r="F37" s="11">
        <f>IF('Master Plan'!I93="","",'Master Plan'!I93)</f>
        <v>46332</v>
      </c>
    </row>
    <row r="38" spans="1:6">
      <c r="A38" s="1" t="str">
        <f>IF('Master Plan'!A107="","",'Master Plan'!A107)</f>
        <v>FR-05</v>
      </c>
      <c r="B38" s="1" t="str">
        <f>IF('Master Plan'!B107="","",'Master Plan'!B107)</f>
        <v>5 Training</v>
      </c>
      <c r="C38" s="1" t="str">
        <f>IF('Master Plan'!D107="","",'Master Plan'!D107)</f>
        <v>UAT scripts and UAT participant packs</v>
      </c>
      <c r="D38" s="1" t="str">
        <f>IF('Master Plan'!F107="","",'Master Plan'!F107)</f>
        <v>Frankie Omasaja</v>
      </c>
      <c r="E38" s="11">
        <f>IF('Master Plan'!H107="","",'Master Plan'!H107)</f>
        <v>46335</v>
      </c>
      <c r="F38" s="11">
        <f>IF('Master Plan'!I107="","",'Master Plan'!I107)</f>
        <v>46339</v>
      </c>
    </row>
    <row r="39" spans="1:6" ht="23.85">
      <c r="A39" s="1" t="str">
        <f>IF('Master Plan'!A104="","",'Master Plan'!A104)</f>
        <v>JO-13</v>
      </c>
      <c r="B39" s="1" t="str">
        <f>IF('Master Plan'!B104="","",'Master Plan'!B104)</f>
        <v>5 Training</v>
      </c>
      <c r="C39" s="1" t="str">
        <f>IF('Master Plan'!D104="","",'Master Plan'!D104)</f>
        <v>Train Trade, QC, Logistics, Finance, Management (Control Centre + Copilot)</v>
      </c>
      <c r="D39" s="1" t="str">
        <f>IF('Master Plan'!F104="","",'Master Plan'!F104)</f>
        <v>Jones Alukwe</v>
      </c>
      <c r="E39" s="11">
        <f>IF('Master Plan'!H104="","",'Master Plan'!H104)</f>
        <v>46337</v>
      </c>
      <c r="F39" s="11">
        <f>IF('Master Plan'!I104="","",'Master Plan'!I104)</f>
        <v>46339</v>
      </c>
    </row>
    <row r="40" spans="1:6">
      <c r="A40" s="1" t="str">
        <f>IF('Master Plan'!A115="","",'Master Plan'!A115)</f>
        <v>MO-15</v>
      </c>
      <c r="B40" s="1" t="str">
        <f>IF('Master Plan'!B115="","",'Master Plan'!B115)</f>
        <v>7 Cutover</v>
      </c>
      <c r="C40" s="1" t="str">
        <f>IF('Master Plan'!D115="","",'Master Plan'!D115)</f>
        <v>PROD readiness</v>
      </c>
      <c r="D40" s="1" t="str">
        <f>IF('Master Plan'!F115="","",'Master Plan'!F115)</f>
        <v>Moses Masibo</v>
      </c>
      <c r="E40" s="11">
        <f>IF('Master Plan'!H115="","",'Master Plan'!H115)</f>
        <v>46342</v>
      </c>
      <c r="F40" s="11">
        <f>IF('Master Plan'!I115="","",'Master Plan'!I115)</f>
        <v>46346</v>
      </c>
    </row>
  </sheetData>
  <conditionalFormatting sqref="M5:M31">
    <cfRule type="cellIs" dxfId="31" priority="2" operator="equal">
      <formula>"Complete"</formula>
    </cfRule>
    <cfRule type="cellIs" dxfId="30" priority="3" operator="equal">
      <formula>"In progress"</formula>
    </cfRule>
    <cfRule type="cellIs" dxfId="29" priority="4" operator="equal">
      <formula>"Blocked"</formula>
    </cfRule>
    <cfRule type="cellIs" dxfId="28" priority="5" operator="equal">
      <formula>"At risk"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N49"/>
  <sheetViews>
    <sheetView showGridLines="0" zoomScaleNormal="100" workbookViewId="0">
      <pane xSplit="3" ySplit="4" topLeftCell="D5" activePane="bottomRight" state="frozen"/>
      <selection pane="bottomRight"/>
      <selection pane="bottomLeft" activeCell="A5" sqref="A5"/>
      <selection pane="topRight" activeCell="D1" sqref="D1"/>
    </sheetView>
  </sheetViews>
  <sheetFormatPr defaultColWidth="8.7109375" defaultRowHeight="15"/>
  <cols>
    <col min="1" max="1" width="8" customWidth="1"/>
    <col min="2" max="2" width="12" customWidth="1"/>
    <col min="3" max="3" width="34" customWidth="1"/>
    <col min="4" max="4" width="60" customWidth="1"/>
    <col min="5" max="5" width="20" customWidth="1"/>
    <col min="6" max="7" width="12" customWidth="1"/>
    <col min="8" max="8" width="8" customWidth="1"/>
    <col min="9" max="9" width="12" customWidth="1"/>
    <col min="10" max="10" width="24" customWidth="1"/>
    <col min="11" max="11" width="30" customWidth="1"/>
    <col min="12" max="12" width="9" customWidth="1"/>
    <col min="13" max="13" width="12" customWidth="1"/>
    <col min="14" max="14" width="10" customWidth="1"/>
  </cols>
  <sheetData>
    <row r="1" spans="1:14" ht="19.7">
      <c r="A1" s="2" t="s">
        <v>1054</v>
      </c>
    </row>
    <row r="2" spans="1:14">
      <c r="A2" s="3" t="s">
        <v>1055</v>
      </c>
    </row>
    <row r="4" spans="1:14" ht="30" customHeight="1">
      <c r="A4" s="9" t="s">
        <v>99</v>
      </c>
      <c r="B4" s="9" t="s">
        <v>51</v>
      </c>
      <c r="C4" s="9" t="s">
        <v>101</v>
      </c>
      <c r="D4" s="9" t="s">
        <v>102</v>
      </c>
      <c r="E4" s="9" t="s">
        <v>104</v>
      </c>
      <c r="F4" s="9" t="s">
        <v>105</v>
      </c>
      <c r="G4" s="9" t="s">
        <v>106</v>
      </c>
      <c r="H4" s="9" t="s">
        <v>107</v>
      </c>
      <c r="I4" s="9" t="s">
        <v>108</v>
      </c>
      <c r="J4" s="9" t="s">
        <v>1051</v>
      </c>
      <c r="K4" s="9" t="s">
        <v>1052</v>
      </c>
      <c r="L4" s="9" t="s">
        <v>111</v>
      </c>
      <c r="M4" s="9" t="s">
        <v>112</v>
      </c>
      <c r="N4" s="9" t="s">
        <v>114</v>
      </c>
    </row>
    <row r="5" spans="1:14" ht="35.1">
      <c r="A5" s="12" t="str">
        <f>IF('Master Plan'!A18="","",'Master Plan'!A18)</f>
        <v>MO-01</v>
      </c>
      <c r="B5" s="13" t="str">
        <f>IF('Master Plan'!B18="","",'Master Plan'!B18)</f>
        <v>1 Design</v>
      </c>
      <c r="C5" s="13" t="str">
        <f>IF('Master Plan'!D18="","",'Master Plan'!D18)</f>
        <v>Inventory the ITB (John Nyongesa) solution</v>
      </c>
      <c r="D5" s="13" t="str">
        <f>IF('Master Plan'!E18="","",'Master Plan'!E18)</f>
        <v>Export managed solution "NKG Stock Solution" and all flows; list every app, flow, dataflow, table, SharePoint list, connection and owner; note what to keep/rebuild/retire.</v>
      </c>
      <c r="E5" s="13" t="str">
        <f>IF('Master Plan'!G18="","",'Master Plan'!G18)</f>
        <v>Denis Otieno</v>
      </c>
      <c r="F5" s="14">
        <f>IF('Master Plan'!H18="","",'Master Plan'!H18)</f>
        <v>46307</v>
      </c>
      <c r="G5" s="14">
        <f>IF('Master Plan'!I18="","",'Master Plan'!I18)</f>
        <v>46308</v>
      </c>
      <c r="H5" s="13">
        <f>IF('Master Plan'!J18="","",'Master Plan'!J18)</f>
        <v>2</v>
      </c>
      <c r="I5" s="13" t="str">
        <f>IF('Master Plan'!K18="","",'Master Plan'!K18)</f>
        <v>PM-05</v>
      </c>
      <c r="J5" s="13" t="str">
        <f>IF('Master Plan'!L18="","",'Master Plan'!L18)</f>
        <v>ITB inventory sheet + exported zip in Git /legacy</v>
      </c>
      <c r="K5" s="13" t="str">
        <f>IF('Master Plan'!M18="","",'Master Plan'!M18)</f>
        <v>Inventory reviewed with team</v>
      </c>
      <c r="L5" s="13" t="str">
        <f>IF('Master Plan'!N18="","",'Master Plan'!N18)</f>
        <v>2, 16.4</v>
      </c>
      <c r="M5" s="13" t="str">
        <f>IF('Master Plan'!O18="","",'Master Plan'!O18)</f>
        <v>Not started</v>
      </c>
      <c r="N5" s="13" t="str">
        <f ca="1">IF('Master Plan'!Q18="","",'Master Plan'!Q18)</f>
        <v/>
      </c>
    </row>
    <row r="6" spans="1:14" ht="23.85">
      <c r="A6" s="5" t="str">
        <f>IF('Master Plan'!A20="","",'Master Plan'!A20)</f>
        <v>MO-03</v>
      </c>
      <c r="B6" s="1" t="str">
        <f>IF('Master Plan'!B20="","",'Master Plan'!B20)</f>
        <v>1 Design</v>
      </c>
      <c r="C6" s="1" t="str">
        <f>IF('Master Plan'!D20="","",'Master Plan'!D20)</f>
        <v>Request/confirm DEV, UAT, PROD environments and DLP policy</v>
      </c>
      <c r="D6" s="1" t="str">
        <f>IF('Master Plan'!E20="","",'Master Plan'!E20)</f>
        <v>Dataverse in each; DLP Business group: Dataverse, SharePoint, Outlook, Teams, Approvals, Power BI; block consumer connectors.</v>
      </c>
      <c r="E6" s="1" t="str">
        <f>IF('Master Plan'!G20="","",'Master Plan'!G20)</f>
        <v>Daphne Okwaro</v>
      </c>
      <c r="F6" s="11">
        <f>IF('Master Plan'!H20="","",'Master Plan'!H20)</f>
        <v>46307</v>
      </c>
      <c r="G6" s="11">
        <f>IF('Master Plan'!I20="","",'Master Plan'!I20)</f>
        <v>46311</v>
      </c>
      <c r="H6" s="1">
        <f>IF('Master Plan'!J20="","",'Master Plan'!J20)</f>
        <v>5</v>
      </c>
      <c r="I6" s="1" t="str">
        <f>IF('Master Plan'!K20="","",'Master Plan'!K20)</f>
        <v>PM-16</v>
      </c>
      <c r="J6" s="1" t="str">
        <f>IF('Master Plan'!L20="","",'Master Plan'!L20)</f>
        <v>Environments live</v>
      </c>
      <c r="K6" s="1" t="str">
        <f>IF('Master Plan'!M20="","",'Master Plan'!M20)</f>
        <v>Team can open DEV as makers</v>
      </c>
      <c r="L6" s="1" t="str">
        <f>IF('Master Plan'!N20="","",'Master Plan'!N20)</f>
        <v>16.1, 15.2</v>
      </c>
      <c r="M6" s="1" t="str">
        <f>IF('Master Plan'!O20="","",'Master Plan'!O20)</f>
        <v>Not started</v>
      </c>
      <c r="N6" s="1" t="str">
        <f ca="1">IF('Master Plan'!Q20="","",'Master Plan'!Q20)</f>
        <v/>
      </c>
    </row>
    <row r="7" spans="1:14" ht="23.85">
      <c r="A7" s="12" t="str">
        <f>IF('Master Plan'!A86="","",'Master Plan'!A86)</f>
        <v>MO-12</v>
      </c>
      <c r="B7" s="13" t="str">
        <f>IF('Master Plan'!B86="","",'Master Plan'!B86)</f>
        <v>3 Sprint 2</v>
      </c>
      <c r="C7" s="13" t="str">
        <f>IF('Master Plan'!D86="","",'Master Plan'!D86)</f>
        <v>Pull-request reviews (ongoing)</v>
      </c>
      <c r="D7" s="13" t="str">
        <f>IF('Master Plan'!E86="","",'Master Plan'!E86)</f>
        <v>Review every PR within 1 working day; enforce naming, no hard-coded values, error handling.</v>
      </c>
      <c r="E7" s="13" t="str">
        <f>IF('Master Plan'!G86="","",'Master Plan'!G86)</f>
        <v/>
      </c>
      <c r="F7" s="14">
        <f>IF('Master Plan'!H86="","",'Master Plan'!H86)</f>
        <v>46307</v>
      </c>
      <c r="G7" s="14">
        <f>IF('Master Plan'!I86="","",'Master Plan'!I86)</f>
        <v>46332</v>
      </c>
      <c r="H7" s="13">
        <f>IF('Master Plan'!J86="","",'Master Plan'!J86)</f>
        <v>19</v>
      </c>
      <c r="I7" s="13" t="str">
        <f>IF('Master Plan'!K86="","",'Master Plan'!K86)</f>
        <v>MO-05</v>
      </c>
      <c r="J7" s="13" t="str">
        <f>IF('Master Plan'!L86="","",'Master Plan'!L86)</f>
        <v>Merged PRs</v>
      </c>
      <c r="K7" s="13" t="str">
        <f>IF('Master Plan'!M86="","",'Master Plan'!M86)</f>
        <v>No PR older than 1 day</v>
      </c>
      <c r="L7" s="13" t="str">
        <f>IF('Master Plan'!N86="","",'Master Plan'!N86)</f>
        <v>16.3, App. D</v>
      </c>
      <c r="M7" s="13" t="str">
        <f>IF('Master Plan'!O86="","",'Master Plan'!O86)</f>
        <v>Not started</v>
      </c>
      <c r="N7" s="13" t="str">
        <f ca="1">IF('Master Plan'!Q86="","",'Master Plan'!Q86)</f>
        <v/>
      </c>
    </row>
    <row r="8" spans="1:14" ht="23.85">
      <c r="A8" s="5" t="str">
        <f>IF('Master Plan'!A19="","",'Master Plan'!A19)</f>
        <v>MO-02</v>
      </c>
      <c r="B8" s="1" t="str">
        <f>IF('Master Plan'!B19="","",'Master Plan'!B19)</f>
        <v>1 Design</v>
      </c>
      <c r="C8" s="1" t="str">
        <f>IF('Master Plan'!D19="","",'Master Plan'!D19)</f>
        <v>Ownership-transfer plan for ITB apps and flows</v>
      </c>
      <c r="D8" s="1" t="str">
        <f>IF('Master Plan'!E19="","",'Master Plan'!E19)</f>
        <v>Plan transfer of flows/apps from the external account to stk.svc so nothing stops when the external account is removed; agree date with NKG IT.</v>
      </c>
      <c r="E8" s="1" t="str">
        <f>IF('Master Plan'!G19="","",'Master Plan'!G19)</f>
        <v/>
      </c>
      <c r="F8" s="11">
        <f>IF('Master Plan'!H19="","",'Master Plan'!H19)</f>
        <v>46308</v>
      </c>
      <c r="G8" s="11">
        <f>IF('Master Plan'!I19="","",'Master Plan'!I19)</f>
        <v>46309</v>
      </c>
      <c r="H8" s="1">
        <f>IF('Master Plan'!J19="","",'Master Plan'!J19)</f>
        <v>2</v>
      </c>
      <c r="I8" s="1" t="str">
        <f>IF('Master Plan'!K19="","",'Master Plan'!K19)</f>
        <v>MO-01</v>
      </c>
      <c r="J8" s="1" t="str">
        <f>IF('Master Plan'!L19="","",'Master Plan'!L19)</f>
        <v>Transfer plan</v>
      </c>
      <c r="K8" s="1" t="str">
        <f>IF('Master Plan'!M19="","",'Master Plan'!M19)</f>
        <v>NKG IT agreed date</v>
      </c>
      <c r="L8" s="1" t="str">
        <f>IF('Master Plan'!N19="","",'Master Plan'!N19)</f>
        <v>16.4</v>
      </c>
      <c r="M8" s="1" t="str">
        <f>IF('Master Plan'!O19="","",'Master Plan'!O19)</f>
        <v>Not started</v>
      </c>
      <c r="N8" s="1" t="str">
        <f ca="1">IF('Master Plan'!Q19="","",'Master Plan'!Q19)</f>
        <v/>
      </c>
    </row>
    <row r="9" spans="1:14" ht="23.85">
      <c r="A9" s="12" t="str">
        <f>IF('Master Plan'!A22="","",'Master Plan'!A22)</f>
        <v>MO-05</v>
      </c>
      <c r="B9" s="13" t="str">
        <f>IF('Master Plan'!B22="","",'Master Plan'!B22)</f>
        <v>1 Design</v>
      </c>
      <c r="C9" s="13" t="str">
        <f>IF('Master Plan'!D22="","",'Master Plan'!D22)</f>
        <v>Git repository and branching</v>
      </c>
      <c r="D9" s="13" t="str">
        <f>IF('Master Plan'!E22="","",'Master Plan'!E22)</f>
        <v>Create repo (/solutions, /powerbi, /docs, /test, /legacy); main/develop/feature branches; PR rule (Moses reviews); access for all 8.</v>
      </c>
      <c r="E9" s="13" t="str">
        <f>IF('Master Plan'!G22="","",'Master Plan'!G22)</f>
        <v/>
      </c>
      <c r="F9" s="14">
        <f>IF('Master Plan'!H22="","",'Master Plan'!H22)</f>
        <v>46308</v>
      </c>
      <c r="G9" s="14">
        <f>IF('Master Plan'!I22="","",'Master Plan'!I22)</f>
        <v>46310</v>
      </c>
      <c r="H9" s="13">
        <f>IF('Master Plan'!J22="","",'Master Plan'!J22)</f>
        <v>3</v>
      </c>
      <c r="I9" s="13" t="str">
        <f>IF('Master Plan'!K22="","",'Master Plan'!K22)</f>
        <v>PM-05</v>
      </c>
      <c r="J9" s="13" t="str">
        <f>IF('Master Plan'!L22="","",'Master Plan'!L22)</f>
        <v>Git repo</v>
      </c>
      <c r="K9" s="13" t="str">
        <f>IF('Master Plan'!M22="","",'Master Plan'!M22)</f>
        <v>First commit by every developer</v>
      </c>
      <c r="L9" s="13" t="str">
        <f>IF('Master Plan'!N22="","",'Master Plan'!N22)</f>
        <v>16.3</v>
      </c>
      <c r="M9" s="13" t="str">
        <f>IF('Master Plan'!O22="","",'Master Plan'!O22)</f>
        <v>Not started</v>
      </c>
      <c r="N9" s="13" t="str">
        <f ca="1">IF('Master Plan'!Q22="","",'Master Plan'!Q22)</f>
        <v/>
      </c>
    </row>
    <row r="10" spans="1:14" ht="23.85">
      <c r="A10" s="5" t="str">
        <f>IF('Master Plan'!A21="","",'Master Plan'!A21)</f>
        <v>MO-04</v>
      </c>
      <c r="B10" s="1" t="str">
        <f>IF('Master Plan'!B21="","",'Master Plan'!B21)</f>
        <v>1 Design</v>
      </c>
      <c r="C10" s="1" t="str">
        <f>IF('Master Plan'!D21="","",'Master Plan'!D21)</f>
        <v>Create publisher (prefix stk) and solutions in DEV</v>
      </c>
      <c r="D10" s="1" t="str">
        <f>IF('Master Plan'!E21="","",'Master Plan'!E21)</f>
        <v>STK Core, STK Apps, STK Automation, STK Copilot; environment-variable and connection-reference standards.</v>
      </c>
      <c r="E10" s="1" t="str">
        <f>IF('Master Plan'!G21="","",'Master Plan'!G21)</f>
        <v/>
      </c>
      <c r="F10" s="11">
        <f>IF('Master Plan'!H21="","",'Master Plan'!H21)</f>
        <v>46309</v>
      </c>
      <c r="G10" s="11">
        <f>IF('Master Plan'!I21="","",'Master Plan'!I21)</f>
        <v>46310</v>
      </c>
      <c r="H10" s="1">
        <f>IF('Master Plan'!J21="","",'Master Plan'!J21)</f>
        <v>2</v>
      </c>
      <c r="I10" s="1" t="str">
        <f>IF('Master Plan'!K21="","",'Master Plan'!K21)</f>
        <v>MO-03</v>
      </c>
      <c r="J10" s="1" t="str">
        <f>IF('Master Plan'!L21="","",'Master Plan'!L21)</f>
        <v>Solutions in DEV</v>
      </c>
      <c r="K10" s="1" t="str">
        <f>IF('Master Plan'!M21="","",'Master Plan'!M21)</f>
        <v>All devs building inside solutions</v>
      </c>
      <c r="L10" s="1" t="str">
        <f>IF('Master Plan'!N21="","",'Master Plan'!N21)</f>
        <v>16.2, App. D</v>
      </c>
      <c r="M10" s="1" t="str">
        <f>IF('Master Plan'!O21="","",'Master Plan'!O21)</f>
        <v>Not started</v>
      </c>
      <c r="N10" s="1" t="str">
        <f ca="1">IF('Master Plan'!Q21="","",'Master Plan'!Q21)</f>
        <v/>
      </c>
    </row>
    <row r="11" spans="1:14" ht="23.85">
      <c r="A11" s="12" t="str">
        <f>IF('Master Plan'!A23="","",'Master Plan'!A23)</f>
        <v>MO-06</v>
      </c>
      <c r="B11" s="13" t="str">
        <f>IF('Master Plan'!B23="","",'Master Plan'!B23)</f>
        <v>1 Design</v>
      </c>
      <c r="C11" s="13" t="str">
        <f>IF('Master Plan'!D23="","",'Master Plan'!D23)</f>
        <v>Data-model review (34 tables, keys, alternate keys)</v>
      </c>
      <c r="D11" s="13" t="str">
        <f>IF('Master Plan'!E23="","",'Master Plan'!E23)</f>
        <v>Review with Denis: columns, choice sets, relationships, alternate keys (stk_localid, rule+key), audit settings.</v>
      </c>
      <c r="E11" s="13" t="str">
        <f>IF('Master Plan'!G23="","",'Master Plan'!G23)</f>
        <v>Denis Otieno</v>
      </c>
      <c r="F11" s="14">
        <f>IF('Master Plan'!H23="","",'Master Plan'!H23)</f>
        <v>46309</v>
      </c>
      <c r="G11" s="14">
        <f>IF('Master Plan'!I23="","",'Master Plan'!I23)</f>
        <v>46311</v>
      </c>
      <c r="H11" s="13">
        <f>IF('Master Plan'!J23="","",'Master Plan'!J23)</f>
        <v>3</v>
      </c>
      <c r="I11" s="13" t="str">
        <f>IF('Master Plan'!K23="","",'Master Plan'!K23)</f>
        <v>MO-04</v>
      </c>
      <c r="J11" s="13" t="str">
        <f>IF('Master Plan'!L23="","",'Master Plan'!L23)</f>
        <v>Approved ERD</v>
      </c>
      <c r="K11" s="13" t="str">
        <f>IF('Master Plan'!M23="","",'Master Plan'!M23)</f>
        <v>Signed off by Moses</v>
      </c>
      <c r="L11" s="13" t="str">
        <f>IF('Master Plan'!N23="","",'Master Plan'!N23)</f>
        <v>6</v>
      </c>
      <c r="M11" s="13" t="str">
        <f>IF('Master Plan'!O23="","",'Master Plan'!O23)</f>
        <v>Not started</v>
      </c>
      <c r="N11" s="13" t="str">
        <f ca="1">IF('Master Plan'!Q23="","",'Master Plan'!Q23)</f>
        <v/>
      </c>
    </row>
    <row r="12" spans="1:14" ht="35.1">
      <c r="A12" s="5" t="str">
        <f>IF('Master Plan'!A33="","",'Master Plan'!A33)</f>
        <v>MO-07</v>
      </c>
      <c r="B12" s="1" t="str">
        <f>IF('Master Plan'!B33="","",'Master Plan'!B33)</f>
        <v>2 Sprint 1</v>
      </c>
      <c r="C12" s="1" t="str">
        <f>IF('Master Plan'!D33="","",'Master Plan'!D33)</f>
        <v>Shared mailbox and SharePoint STK-Intake site</v>
      </c>
      <c r="D12" s="7" t="str">
        <f>IF('Master Plan'!E33="","",'Master Plan'!E33)</f>
        <v>With NKG IT: create mailbox stocktake.data@nkg.coffee; library STK-Intake with Incoming/Rejected/Processed/Templates; permissions for stk.svc.</v>
      </c>
      <c r="E12" s="7" t="str">
        <f>IF('Master Plan'!G33="","",'Master Plan'!G33)</f>
        <v>Denis Otieno</v>
      </c>
      <c r="F12" s="11">
        <f>IF('Master Plan'!H33="","",'Master Plan'!H33)</f>
        <v>46310</v>
      </c>
      <c r="G12" s="11">
        <f>IF('Master Plan'!I33="","",'Master Plan'!I33)</f>
        <v>46311</v>
      </c>
      <c r="H12" s="1">
        <f>IF('Master Plan'!J33="","",'Master Plan'!J33)</f>
        <v>2</v>
      </c>
      <c r="I12" s="1" t="str">
        <f>IF('Master Plan'!K33="","",'Master Plan'!K33)</f>
        <v>PM-16</v>
      </c>
      <c r="J12" s="1" t="str">
        <f>IF('Master Plan'!L33="","",'Master Plan'!L33)</f>
        <v>Mailbox + library</v>
      </c>
      <c r="K12" s="1" t="str">
        <f>IF('Master Plan'!M33="","",'Master Plan'!M33)</f>
        <v>Test email lands and is readable by flow</v>
      </c>
      <c r="L12" s="1" t="str">
        <f>IF('Master Plan'!N33="","",'Master Plan'!N33)</f>
        <v>7.1</v>
      </c>
      <c r="M12" s="1" t="str">
        <f>IF('Master Plan'!O33="","",'Master Plan'!O33)</f>
        <v>Not started</v>
      </c>
      <c r="N12" s="1" t="str">
        <f ca="1">IF('Master Plan'!Q33="","",'Master Plan'!Q33)</f>
        <v/>
      </c>
    </row>
    <row r="13" spans="1:14" ht="23.85">
      <c r="A13" s="12" t="str">
        <f>IF('Master Plan'!A49="","",'Master Plan'!A49)</f>
        <v>MO-08</v>
      </c>
      <c r="B13" s="13" t="str">
        <f>IF('Master Plan'!B49="","",'Master Plan'!B49)</f>
        <v>2 Sprint 1</v>
      </c>
      <c r="C13" s="13" t="str">
        <f>IF('Master Plan'!D49="","",'Master Plan'!D49)</f>
        <v>Security model build</v>
      </c>
      <c r="D13" s="13" t="str">
        <f>IF('Master Plan'!E49="","",'Master Plan'!E49)</f>
        <v>Entra groups SG-STK-&lt;Role&gt;; 10 Dataverse roles; team mapping; field security (expected qty hidden from Counter, approvals, config).</v>
      </c>
      <c r="E13" s="13" t="str">
        <f>IF('Master Plan'!G49="","",'Master Plan'!G49)</f>
        <v/>
      </c>
      <c r="F13" s="14">
        <f>IF('Master Plan'!H49="","",'Master Plan'!H49)</f>
        <v>46314</v>
      </c>
      <c r="G13" s="14">
        <f>IF('Master Plan'!I49="","",'Master Plan'!I49)</f>
        <v>46318</v>
      </c>
      <c r="H13" s="13">
        <f>IF('Master Plan'!J49="","",'Master Plan'!J49)</f>
        <v>4</v>
      </c>
      <c r="I13" s="13" t="str">
        <f>IF('Master Plan'!K49="","",'Master Plan'!K49)</f>
        <v>DO-03</v>
      </c>
      <c r="J13" s="13" t="str">
        <f>IF('Master Plan'!L49="","",'Master Plan'!L49)</f>
        <v>Roles + groups</v>
      </c>
      <c r="K13" s="13" t="str">
        <f>IF('Master Plan'!M49="","",'Master Plan'!M49)</f>
        <v>Role test: counter cannot read expected qty</v>
      </c>
      <c r="L13" s="13" t="str">
        <f>IF('Master Plan'!N49="","",'Master Plan'!N49)</f>
        <v>15</v>
      </c>
      <c r="M13" s="13" t="str">
        <f>IF('Master Plan'!O49="","",'Master Plan'!O49)</f>
        <v>Not started</v>
      </c>
      <c r="N13" s="13" t="str">
        <f ca="1">IF('Master Plan'!Q49="","",'Master Plan'!Q49)</f>
        <v/>
      </c>
    </row>
    <row r="14" spans="1:14" ht="23.85">
      <c r="A14" s="5" t="str">
        <f>IF('Master Plan'!A50="","",'Master Plan'!A50)</f>
        <v>MO-09</v>
      </c>
      <c r="B14" s="1" t="str">
        <f>IF('Master Plan'!B50="","",'Master Plan'!B50)</f>
        <v>2 Sprint 1</v>
      </c>
      <c r="C14" s="1" t="str">
        <f>IF('Master Plan'!D50="","",'Master Plan'!D50)</f>
        <v>Build and deploy pipeline DEV → UAT</v>
      </c>
      <c r="D14" s="1" t="str">
        <f>IF('Master Plan'!E50="","",'Master Plan'!E50)</f>
        <v>pac CLI export/unpack/commit; managed build; deployment settings per environment.</v>
      </c>
      <c r="E14" s="1" t="str">
        <f>IF('Master Plan'!G50="","",'Master Plan'!G50)</f>
        <v/>
      </c>
      <c r="F14" s="11">
        <f>IF('Master Plan'!H50="","",'Master Plan'!H50)</f>
        <v>46316</v>
      </c>
      <c r="G14" s="11">
        <f>IF('Master Plan'!I50="","",'Master Plan'!I50)</f>
        <v>46318</v>
      </c>
      <c r="H14" s="1">
        <f>IF('Master Plan'!J50="","",'Master Plan'!J50)</f>
        <v>3</v>
      </c>
      <c r="I14" s="1" t="str">
        <f>IF('Master Plan'!K50="","",'Master Plan'!K50)</f>
        <v>MO-05</v>
      </c>
      <c r="J14" s="1" t="str">
        <f>IF('Master Plan'!L50="","",'Master Plan'!L50)</f>
        <v>Pipeline</v>
      </c>
      <c r="K14" s="1" t="str">
        <f>IF('Master Plan'!M50="","",'Master Plan'!M50)</f>
        <v>First managed deploy to UAT succeeds</v>
      </c>
      <c r="L14" s="1" t="str">
        <f>IF('Master Plan'!N50="","",'Master Plan'!N50)</f>
        <v>16.3</v>
      </c>
      <c r="M14" s="1" t="str">
        <f>IF('Master Plan'!O50="","",'Master Plan'!O50)</f>
        <v>Not started</v>
      </c>
      <c r="N14" s="1" t="str">
        <f ca="1">IF('Master Plan'!Q50="","",'Master Plan'!Q50)</f>
        <v/>
      </c>
    </row>
    <row r="15" spans="1:14" ht="23.85">
      <c r="A15" s="12" t="str">
        <f>IF('Master Plan'!A84="","",'Master Plan'!A84)</f>
        <v>MO-10</v>
      </c>
      <c r="B15" s="13" t="str">
        <f>IF('Master Plan'!B84="","",'Master Plan'!B84)</f>
        <v>3 Sprint 2</v>
      </c>
      <c r="C15" s="13" t="str">
        <f>IF('Master Plan'!D84="","",'Master Plan'!D84)</f>
        <v>Engine design review</v>
      </c>
      <c r="D15" s="13" t="str">
        <f>IF('Master Plan'!E84="","",'Master Plan'!E84)</f>
        <v>Review L1–L3 order, RI taxonomy implementation and idempotency with Denis.</v>
      </c>
      <c r="E15" s="13" t="str">
        <f>IF('Master Plan'!G84="","",'Master Plan'!G84)</f>
        <v>Denis Otieno</v>
      </c>
      <c r="F15" s="14">
        <f>IF('Master Plan'!H84="","",'Master Plan'!H84)</f>
        <v>46323</v>
      </c>
      <c r="G15" s="14">
        <f>IF('Master Plan'!I84="","",'Master Plan'!I84)</f>
        <v>46324</v>
      </c>
      <c r="H15" s="13">
        <f>IF('Master Plan'!J84="","",'Master Plan'!J84)</f>
        <v>2</v>
      </c>
      <c r="I15" s="13" t="str">
        <f>IF('Master Plan'!K84="","",'Master Plan'!K84)</f>
        <v>DO-10</v>
      </c>
      <c r="J15" s="13" t="str">
        <f>IF('Master Plan'!L84="","",'Master Plan'!L84)</f>
        <v>Review notes</v>
      </c>
      <c r="K15" s="13" t="str">
        <f>IF('Master Plan'!M84="","",'Master Plan'!M84)</f>
        <v>Issues fixed before SIT</v>
      </c>
      <c r="L15" s="13" t="str">
        <f>IF('Master Plan'!N84="","",'Master Plan'!N84)</f>
        <v>4, 8.3</v>
      </c>
      <c r="M15" s="13" t="str">
        <f>IF('Master Plan'!O84="","",'Master Plan'!O84)</f>
        <v>Not started</v>
      </c>
      <c r="N15" s="13" t="str">
        <f ca="1">IF('Master Plan'!Q84="","",'Master Plan'!Q84)</f>
        <v/>
      </c>
    </row>
    <row r="16" spans="1:14" ht="23.85">
      <c r="A16" s="5" t="str">
        <f>IF('Master Plan'!A85="","",'Master Plan'!A85)</f>
        <v>MO-11</v>
      </c>
      <c r="B16" s="1" t="str">
        <f>IF('Master Plan'!B85="","",'Master Plan'!B85)</f>
        <v>3 Sprint 2</v>
      </c>
      <c r="C16" s="1" t="str">
        <f>IF('Master Plan'!D85="","",'Master Plan'!D85)</f>
        <v>F40 health check, F41 housekeeping, Teams STK Support channel</v>
      </c>
      <c r="D16" s="1" t="str">
        <f>IF('Master Plan'!E85="","",'Master Plan'!E85)</f>
        <v>Hourly health check; weekly archive; alert channel.</v>
      </c>
      <c r="E16" s="1" t="str">
        <f>IF('Master Plan'!G85="","",'Master Plan'!G85)</f>
        <v/>
      </c>
      <c r="F16" s="11">
        <f>IF('Master Plan'!H85="","",'Master Plan'!H85)</f>
        <v>46328</v>
      </c>
      <c r="G16" s="11">
        <f>IF('Master Plan'!I85="","",'Master Plan'!I85)</f>
        <v>46330</v>
      </c>
      <c r="H16" s="1">
        <f>IF('Master Plan'!J85="","",'Master Plan'!J85)</f>
        <v>3</v>
      </c>
      <c r="I16" s="1" t="str">
        <f>IF('Master Plan'!K85="","",'Master Plan'!K85)</f>
        <v>MO-09</v>
      </c>
      <c r="J16" s="1" t="str">
        <f>IF('Master Plan'!L85="","",'Master Plan'!L85)</f>
        <v>Flows F40–F41</v>
      </c>
      <c r="K16" s="1" t="str">
        <f>IF('Master Plan'!M85="","",'Master Plan'!M85)</f>
        <v>Turned-off test flow raises alert</v>
      </c>
      <c r="L16" s="1" t="str">
        <f>IF('Master Plan'!N85="","",'Master Plan'!N85)</f>
        <v>12.2</v>
      </c>
      <c r="M16" s="1" t="str">
        <f>IF('Master Plan'!O85="","",'Master Plan'!O85)</f>
        <v>Not started</v>
      </c>
      <c r="N16" s="1" t="str">
        <f ca="1">IF('Master Plan'!Q85="","",'Master Plan'!Q85)</f>
        <v/>
      </c>
    </row>
    <row r="17" spans="1:14">
      <c r="A17" s="12" t="str">
        <f>IF('Master Plan'!A96="","",'Master Plan'!A96)</f>
        <v>MO-13</v>
      </c>
      <c r="B17" s="13" t="str">
        <f>IF('Master Plan'!B96="","",'Master Plan'!B96)</f>
        <v>4 SIT</v>
      </c>
      <c r="C17" s="13" t="str">
        <f>IF('Master Plan'!D96="","",'Master Plan'!D96)</f>
        <v>Performance and security tests</v>
      </c>
      <c r="D17" s="13" t="str">
        <f>IF('Master Plan'!E96="","",'Master Plan'!E96)</f>
        <v>Volume test (50k XBS lines, 20k count lines); SEC-01..05 role tests.</v>
      </c>
      <c r="E17" s="13" t="str">
        <f>IF('Master Plan'!G96="","",'Master Plan'!G96)</f>
        <v>Frankie Omasaja</v>
      </c>
      <c r="F17" s="14">
        <f>IF('Master Plan'!H96="","",'Master Plan'!H96)</f>
        <v>46329</v>
      </c>
      <c r="G17" s="14">
        <f>IF('Master Plan'!I96="","",'Master Plan'!I96)</f>
        <v>46332</v>
      </c>
      <c r="H17" s="13">
        <f>IF('Master Plan'!J96="","",'Master Plan'!J96)</f>
        <v>4</v>
      </c>
      <c r="I17" s="13" t="str">
        <f>IF('Master Plan'!K96="","",'Master Plan'!K96)</f>
        <v>MO-08</v>
      </c>
      <c r="J17" s="13" t="str">
        <f>IF('Master Plan'!L96="","",'Master Plan'!L96)</f>
        <v>Test results</v>
      </c>
      <c r="K17" s="13" t="str">
        <f>IF('Master Plan'!M96="","",'Master Plan'!M96)</f>
        <v>NFR-01/02/03 met; roles pass</v>
      </c>
      <c r="L17" s="13" t="str">
        <f>IF('Master Plan'!N96="","",'Master Plan'!N96)</f>
        <v>17, 18</v>
      </c>
      <c r="M17" s="13" t="str">
        <f>IF('Master Plan'!O96="","",'Master Plan'!O96)</f>
        <v>Not started</v>
      </c>
      <c r="N17" s="13" t="str">
        <f ca="1">IF('Master Plan'!Q96="","",'Master Plan'!Q96)</f>
        <v/>
      </c>
    </row>
    <row r="18" spans="1:14" ht="23.85">
      <c r="A18" s="5" t="str">
        <f>IF('Master Plan'!A106="","",'Master Plan'!A106)</f>
        <v>MO-14</v>
      </c>
      <c r="B18" s="1" t="str">
        <f>IF('Master Plan'!B106="","",'Master Plan'!B106)</f>
        <v>5 Training</v>
      </c>
      <c r="C18" s="1" t="str">
        <f>IF('Master Plan'!D106="","",'Master Plan'!D106)</f>
        <v>Deploy release candidate to UAT</v>
      </c>
      <c r="D18" s="1" t="str">
        <f>IF('Master Plan'!E106="","",'Master Plan'!E106)</f>
        <v>Managed deployment; environment variables; connections; users added to groups.</v>
      </c>
      <c r="E18" s="1" t="str">
        <f>IF('Master Plan'!G106="","",'Master Plan'!G106)</f>
        <v/>
      </c>
      <c r="F18" s="11">
        <f>IF('Master Plan'!H106="","",'Master Plan'!H106)</f>
        <v>46338</v>
      </c>
      <c r="G18" s="11">
        <f>IF('Master Plan'!I106="","",'Master Plan'!I106)</f>
        <v>46339</v>
      </c>
      <c r="H18" s="1">
        <f>IF('Master Plan'!J106="","",'Master Plan'!J106)</f>
        <v>2</v>
      </c>
      <c r="I18" s="1" t="str">
        <f>IF('Master Plan'!K106="","",'Master Plan'!K106)</f>
        <v>PM-32</v>
      </c>
      <c r="J18" s="1" t="str">
        <f>IF('Master Plan'!L106="","",'Master Plan'!L106)</f>
        <v>UAT RC</v>
      </c>
      <c r="K18" s="1" t="str">
        <f>IF('Master Plan'!M106="","",'Master Plan'!M106)</f>
        <v>Smoke test passes</v>
      </c>
      <c r="L18" s="1" t="str">
        <f>IF('Master Plan'!N106="","",'Master Plan'!N106)</f>
        <v>16</v>
      </c>
      <c r="M18" s="1" t="str">
        <f>IF('Master Plan'!O106="","",'Master Plan'!O106)</f>
        <v>Not started</v>
      </c>
      <c r="N18" s="1" t="str">
        <f ca="1">IF('Master Plan'!Q106="","",'Master Plan'!Q106)</f>
        <v/>
      </c>
    </row>
    <row r="19" spans="1:14" ht="23.85">
      <c r="A19" s="12" t="str">
        <f>IF('Master Plan'!A115="","",'Master Plan'!A115)</f>
        <v>MO-15</v>
      </c>
      <c r="B19" s="13" t="str">
        <f>IF('Master Plan'!B115="","",'Master Plan'!B115)</f>
        <v>7 Cutover</v>
      </c>
      <c r="C19" s="13" t="str">
        <f>IF('Master Plan'!D115="","",'Master Plan'!D115)</f>
        <v>PROD readiness</v>
      </c>
      <c r="D19" s="13" t="str">
        <f>IF('Master Plan'!E115="","",'Master Plan'!E115)</f>
        <v>Environment, DLP, groups, service account licensed, mailbox and library in PROD.</v>
      </c>
      <c r="E19" s="13" t="str">
        <f>IF('Master Plan'!G115="","",'Master Plan'!G115)</f>
        <v>Daphne Okwaro</v>
      </c>
      <c r="F19" s="14">
        <f>IF('Master Plan'!H115="","",'Master Plan'!H115)</f>
        <v>46342</v>
      </c>
      <c r="G19" s="14">
        <f>IF('Master Plan'!I115="","",'Master Plan'!I115)</f>
        <v>46346</v>
      </c>
      <c r="H19" s="13">
        <f>IF('Master Plan'!J115="","",'Master Plan'!J115)</f>
        <v>5</v>
      </c>
      <c r="I19" s="13" t="str">
        <f>IF('Master Plan'!K115="","",'Master Plan'!K115)</f>
        <v>MO-03</v>
      </c>
      <c r="J19" s="13" t="str">
        <f>IF('Master Plan'!L115="","",'Master Plan'!L115)</f>
        <v>PROD ready</v>
      </c>
      <c r="K19" s="13" t="str">
        <f>IF('Master Plan'!M115="","",'Master Plan'!M115)</f>
        <v>Checklist items 1 and 5 done</v>
      </c>
      <c r="L19" s="13" t="str">
        <f>IF('Master Plan'!N115="","",'Master Plan'!N115)</f>
        <v>20.1</v>
      </c>
      <c r="M19" s="13" t="str">
        <f>IF('Master Plan'!O115="","",'Master Plan'!O115)</f>
        <v>Not started</v>
      </c>
      <c r="N19" s="13" t="str">
        <f ca="1">IF('Master Plan'!Q115="","",'Master Plan'!Q115)</f>
        <v/>
      </c>
    </row>
    <row r="20" spans="1:14">
      <c r="A20" s="5" t="str">
        <f>IF('Master Plan'!A116="","",'Master Plan'!A116)</f>
        <v>MO-16</v>
      </c>
      <c r="B20" s="1" t="str">
        <f>IF('Master Plan'!B116="","",'Master Plan'!B116)</f>
        <v>7 Cutover</v>
      </c>
      <c r="C20" s="1" t="str">
        <f>IF('Master Plan'!D116="","",'Master Plan'!D116)</f>
        <v>Deploy release candidate to PROD</v>
      </c>
      <c r="D20" s="1" t="str">
        <f>IF('Master Plan'!E116="","",'Master Plan'!E116)</f>
        <v>Managed solutions; settings file; connections; share apps.</v>
      </c>
      <c r="E20" s="1" t="str">
        <f>IF('Master Plan'!G116="","",'Master Plan'!G116)</f>
        <v/>
      </c>
      <c r="F20" s="11">
        <f>IF('Master Plan'!H116="","",'Master Plan'!H116)</f>
        <v>46350</v>
      </c>
      <c r="G20" s="11">
        <f>IF('Master Plan'!I116="","",'Master Plan'!I116)</f>
        <v>46350</v>
      </c>
      <c r="H20" s="1">
        <f>IF('Master Plan'!J116="","",'Master Plan'!J116)</f>
        <v>1</v>
      </c>
      <c r="I20" s="1" t="str">
        <f>IF('Master Plan'!K116="","",'Master Plan'!K116)</f>
        <v>MO-15</v>
      </c>
      <c r="J20" s="1" t="str">
        <f>IF('Master Plan'!L116="","",'Master Plan'!L116)</f>
        <v>PROD RC</v>
      </c>
      <c r="K20" s="1" t="str">
        <f>IF('Master Plan'!M116="","",'Master Plan'!M116)</f>
        <v>Smoke test passes</v>
      </c>
      <c r="L20" s="1" t="str">
        <f>IF('Master Plan'!N116="","",'Master Plan'!N116)</f>
        <v>20.1</v>
      </c>
      <c r="M20" s="1" t="str">
        <f>IF('Master Plan'!O116="","",'Master Plan'!O116)</f>
        <v>Not started</v>
      </c>
      <c r="N20" s="1" t="str">
        <f ca="1">IF('Master Plan'!Q116="","",'Master Plan'!Q116)</f>
        <v/>
      </c>
    </row>
    <row r="21" spans="1:14" ht="23.85">
      <c r="A21" s="12" t="str">
        <f>IF('Master Plan'!A121="","",'Master Plan'!A121)</f>
        <v>MO-17</v>
      </c>
      <c r="B21" s="13" t="str">
        <f>IF('Master Plan'!B121="","",'Master Plan'!B121)</f>
        <v>7 Cutover</v>
      </c>
      <c r="C21" s="13" t="str">
        <f>IF('Master Plan'!D121="","",'Master Plan'!D121)</f>
        <v>Final patch deploy to PROD after UAT fixes</v>
      </c>
      <c r="D21" s="13" t="str">
        <f>IF('Master Plan'!E121="","",'Master Plan'!E121)</f>
        <v>Deploy last fixes; set legacy ITB apps read-only after first live count.</v>
      </c>
      <c r="E21" s="13" t="str">
        <f>IF('Master Plan'!G121="","",'Master Plan'!G121)</f>
        <v/>
      </c>
      <c r="F21" s="14">
        <f>IF('Master Plan'!H121="","",'Master Plan'!H121)</f>
        <v>46356</v>
      </c>
      <c r="G21" s="14">
        <f>IF('Master Plan'!I121="","",'Master Plan'!I121)</f>
        <v>46356</v>
      </c>
      <c r="H21" s="13">
        <f>IF('Master Plan'!J121="","",'Master Plan'!J121)</f>
        <v>1</v>
      </c>
      <c r="I21" s="13" t="str">
        <f>IF('Master Plan'!K121="","",'Master Plan'!K121)</f>
        <v>PM-60</v>
      </c>
      <c r="J21" s="13" t="str">
        <f>IF('Master Plan'!L121="","",'Master Plan'!L121)</f>
        <v>PROD final</v>
      </c>
      <c r="K21" s="13" t="str">
        <f>IF('Master Plan'!M121="","",'Master Plan'!M121)</f>
        <v>Smoke test passes</v>
      </c>
      <c r="L21" s="13" t="str">
        <f>IF('Master Plan'!N121="","",'Master Plan'!N121)</f>
        <v>20.1</v>
      </c>
      <c r="M21" s="13" t="str">
        <f>IF('Master Plan'!O121="","",'Master Plan'!O121)</f>
        <v>Not started</v>
      </c>
      <c r="N21" s="13" t="str">
        <f ca="1">IF('Master Plan'!Q121="","",'Master Plan'!Q121)</f>
        <v/>
      </c>
    </row>
    <row r="22" spans="1:14">
      <c r="A22" s="5" t="str">
        <f>IF('Master Plan'!A126="","",'Master Plan'!A126)</f>
        <v>MO-18</v>
      </c>
      <c r="B22" s="1" t="str">
        <f>IF('Master Plan'!B126="","",'Master Plan'!B126)</f>
        <v>8 Hypercare</v>
      </c>
      <c r="C22" s="1" t="str">
        <f>IF('Master Plan'!D126="","",'Master Plan'!D126)</f>
        <v>Knowledge transfer to NKG IT (2 × 2 h)</v>
      </c>
      <c r="D22" s="1" t="str">
        <f>IF('Master Plan'!E126="","",'Master Plan'!E126)</f>
        <v>ALM, flows, monitoring, support runbook.</v>
      </c>
      <c r="E22" s="1" t="str">
        <f>IF('Master Plan'!G126="","",'Master Plan'!G126)</f>
        <v>Denis Otieno</v>
      </c>
      <c r="F22" s="11">
        <f>IF('Master Plan'!H126="","",'Master Plan'!H126)</f>
        <v>46363</v>
      </c>
      <c r="G22" s="11">
        <f>IF('Master Plan'!I126="","",'Master Plan'!I126)</f>
        <v>46365</v>
      </c>
      <c r="H22" s="1">
        <f>IF('Master Plan'!J126="","",'Master Plan'!J126)</f>
        <v>3</v>
      </c>
      <c r="I22" s="1" t="str">
        <f>IF('Master Plan'!K126="","",'Master Plan'!K126)</f>
        <v/>
      </c>
      <c r="J22" s="1" t="str">
        <f>IF('Master Plan'!L126="","",'Master Plan'!L126)</f>
        <v>KT attendance</v>
      </c>
      <c r="K22" s="1" t="str">
        <f>IF('Master Plan'!M126="","",'Master Plan'!M126)</f>
        <v>NKG IT can deploy and monitor</v>
      </c>
      <c r="L22" s="1" t="str">
        <f>IF('Master Plan'!N126="","",'Master Plan'!N126)</f>
        <v>20.4</v>
      </c>
      <c r="M22" s="1" t="str">
        <f>IF('Master Plan'!O126="","",'Master Plan'!O126)</f>
        <v>Not started</v>
      </c>
      <c r="N22" s="1" t="str">
        <f ca="1">IF('Master Plan'!Q126="","",'Master Plan'!Q126)</f>
        <v/>
      </c>
    </row>
    <row r="24" spans="1:14">
      <c r="A24" s="4" t="s">
        <v>1056</v>
      </c>
    </row>
    <row r="25" spans="1:14" ht="30" customHeight="1">
      <c r="A25" s="9" t="s">
        <v>99</v>
      </c>
      <c r="B25" s="9" t="s">
        <v>51</v>
      </c>
      <c r="C25" s="9" t="s">
        <v>101</v>
      </c>
      <c r="D25" s="9" t="s">
        <v>103</v>
      </c>
      <c r="E25" s="9" t="s">
        <v>105</v>
      </c>
      <c r="F25" s="9" t="s">
        <v>106</v>
      </c>
    </row>
    <row r="26" spans="1:14" ht="23.85">
      <c r="A26" s="1" t="str">
        <f>IF('Master Plan'!A5="","",'Master Plan'!A5)</f>
        <v>PM-01</v>
      </c>
      <c r="B26" s="1" t="str">
        <f>IF('Master Plan'!B5="","",'Master Plan'!B5)</f>
        <v>0 Discovery</v>
      </c>
      <c r="C26" s="1" t="str">
        <f>IF('Master Plan'!D5="","",'Master Plan'!D5)</f>
        <v>Project kick-off and warehouse walk-through</v>
      </c>
      <c r="D26" s="1" t="str">
        <f>IF('Master Plan'!F5="","",'Master Plan'!F5)</f>
        <v>Daphne Okwaro</v>
      </c>
      <c r="E26" s="11">
        <f>IF('Master Plan'!H5="","",'Master Plan'!H5)</f>
        <v>46296</v>
      </c>
      <c r="F26" s="11">
        <f>IF('Master Plan'!I5="","",'Master Plan'!I5)</f>
        <v>46296</v>
      </c>
    </row>
    <row r="27" spans="1:14" ht="23.85">
      <c r="A27" s="1" t="str">
        <f>IF('Master Plan'!A6="","",'Master Plan'!A6)</f>
        <v>PM-02</v>
      </c>
      <c r="B27" s="1" t="str">
        <f>IF('Master Plan'!B6="","",'Master Plan'!B6)</f>
        <v>0 Discovery</v>
      </c>
      <c r="C27" s="1" t="str">
        <f>IF('Master Plan'!D6="","",'Master Plan'!D6)</f>
        <v>Discovery sessions: Finance, Warehouse &amp; Operations, Trade &amp; QC, Logistics</v>
      </c>
      <c r="D27" s="1" t="str">
        <f>IF('Master Plan'!F6="","",'Master Plan'!F6)</f>
        <v>Daphne Okwaro</v>
      </c>
      <c r="E27" s="11">
        <f>IF('Master Plan'!H6="","",'Master Plan'!H6)</f>
        <v>46297</v>
      </c>
      <c r="F27" s="11">
        <f>IF('Master Plan'!I6="","",'Master Plan'!I6)</f>
        <v>46303</v>
      </c>
    </row>
    <row r="28" spans="1:14" ht="35.1">
      <c r="A28" s="1" t="str">
        <f>IF('Master Plan'!A9="","",'Master Plan'!A9)</f>
        <v>PM-05</v>
      </c>
      <c r="B28" s="1" t="str">
        <f>IF('Master Plan'!B9="","",'Master Plan'!B9)</f>
        <v>0 Discovery</v>
      </c>
      <c r="C28" s="1" t="str">
        <f>IF('Master Plan'!D9="","",'Master Plan'!D9)</f>
        <v>System access request sent (NKG emails, Power Platform, Git, ITB environment)</v>
      </c>
      <c r="D28" s="1" t="str">
        <f>IF('Master Plan'!F9="","",'Master Plan'!F9)</f>
        <v>Daphne Okwaro</v>
      </c>
      <c r="E28" s="11">
        <f>IF('Master Plan'!H9="","",'Master Plan'!H9)</f>
        <v>46300</v>
      </c>
      <c r="F28" s="11">
        <f>IF('Master Plan'!I9="","",'Master Plan'!I9)</f>
        <v>46301</v>
      </c>
    </row>
    <row r="29" spans="1:14" ht="23.85">
      <c r="A29" s="1" t="str">
        <f>IF('Master Plan'!A8="","",'Master Plan'!A8)</f>
        <v>PM-04</v>
      </c>
      <c r="B29" s="1" t="str">
        <f>IF('Master Plan'!B8="","",'Master Plan'!B8)</f>
        <v>0 Discovery</v>
      </c>
      <c r="C29" s="1" t="str">
        <f>IF('Master Plan'!D8="","",'Master Plan'!D8)</f>
        <v>Developer Build Specification V1.0 + screen mockups</v>
      </c>
      <c r="D29" s="1" t="str">
        <f>IF('Master Plan'!F8="","",'Master Plan'!F8)</f>
        <v>Daphne Okwaro</v>
      </c>
      <c r="E29" s="11">
        <f>IF('Master Plan'!H8="","",'Master Plan'!H8)</f>
        <v>46302</v>
      </c>
      <c r="F29" s="11">
        <f>IF('Master Plan'!I8="","",'Master Plan'!I8)</f>
        <v>46304</v>
      </c>
    </row>
    <row r="30" spans="1:14">
      <c r="A30" s="1" t="str">
        <f>IF('Master Plan'!A13="","",'Master Plan'!A13)</f>
        <v>PM-12</v>
      </c>
      <c r="B30" s="1" t="str">
        <f>IF('Master Plan'!B13="","",'Master Plan'!B13)</f>
        <v>1 Design</v>
      </c>
      <c r="C30" s="1" t="str">
        <f>IF('Master Plan'!D13="","",'Master Plan'!D13)</f>
        <v>Open-decision log OD1–OD9 (red items)</v>
      </c>
      <c r="D30" s="1" t="str">
        <f>IF('Master Plan'!F13="","",'Master Plan'!F13)</f>
        <v>Daphne Okwaro</v>
      </c>
      <c r="E30" s="11">
        <f>IF('Master Plan'!H13="","",'Master Plan'!H13)</f>
        <v>46307</v>
      </c>
      <c r="F30" s="11">
        <f>IF('Master Plan'!I13="","",'Master Plan'!I13)</f>
        <v>46311</v>
      </c>
    </row>
    <row r="31" spans="1:14" ht="23.85">
      <c r="A31" s="1" t="str">
        <f>IF('Master Plan'!A17="","",'Master Plan'!A17)</f>
        <v>PM-16</v>
      </c>
      <c r="B31" s="1" t="str">
        <f>IF('Master Plan'!B17="","",'Master Plan'!B17)</f>
        <v>1 Design</v>
      </c>
      <c r="C31" s="1" t="str">
        <f>IF('Master Plan'!D17="","",'Master Plan'!D17)</f>
        <v>Licensing and environment confirmation with NKG IT</v>
      </c>
      <c r="D31" s="1" t="str">
        <f>IF('Master Plan'!F17="","",'Master Plan'!F17)</f>
        <v>Daphne Okwaro</v>
      </c>
      <c r="E31" s="11">
        <f>IF('Master Plan'!H17="","",'Master Plan'!H17)</f>
        <v>46307</v>
      </c>
      <c r="F31" s="11">
        <f>IF('Master Plan'!I17="","",'Master Plan'!I17)</f>
        <v>46311</v>
      </c>
    </row>
    <row r="32" spans="1:14">
      <c r="A32" s="1" t="str">
        <f>IF('Master Plan'!A25="","",'Master Plan'!A25)</f>
        <v>DO-01</v>
      </c>
      <c r="B32" s="1" t="str">
        <f>IF('Master Plan'!B25="","",'Master Plan'!B25)</f>
        <v>1 Design</v>
      </c>
      <c r="C32" s="1" t="str">
        <f>IF('Master Plan'!D25="","",'Master Plan'!D25)</f>
        <v>Review ITB dataflows and staging</v>
      </c>
      <c r="D32" s="1" t="str">
        <f>IF('Master Plan'!F25="","",'Master Plan'!F25)</f>
        <v>Denis Otieno</v>
      </c>
      <c r="E32" s="11">
        <f>IF('Master Plan'!H25="","",'Master Plan'!H25)</f>
        <v>46307</v>
      </c>
      <c r="F32" s="11">
        <f>IF('Master Plan'!I25="","",'Master Plan'!I25)</f>
        <v>46308</v>
      </c>
    </row>
    <row r="33" spans="1:6" ht="23.85">
      <c r="A33" s="1" t="str">
        <f>IF('Master Plan'!A29="","",'Master Plan'!A29)</f>
        <v>JO-01</v>
      </c>
      <c r="B33" s="1" t="str">
        <f>IF('Master Plan'!B29="","",'Master Plan'!B29)</f>
        <v>1 Design</v>
      </c>
      <c r="C33" s="1" t="str">
        <f>IF('Master Plan'!D29="","",'Master Plan'!D29)</f>
        <v>Copilot Studio and model-driven readiness check</v>
      </c>
      <c r="D33" s="1" t="str">
        <f>IF('Master Plan'!F29="","",'Master Plan'!F29)</f>
        <v>Jones Alukwe</v>
      </c>
      <c r="E33" s="11">
        <f>IF('Master Plan'!H29="","",'Master Plan'!H29)</f>
        <v>46307</v>
      </c>
      <c r="F33" s="11">
        <f>IF('Master Plan'!I29="","",'Master Plan'!I29)</f>
        <v>46308</v>
      </c>
    </row>
    <row r="34" spans="1:6">
      <c r="A34" s="1" t="str">
        <f>IF('Master Plan'!A32="","",'Master Plan'!A32)</f>
        <v>PM-20</v>
      </c>
      <c r="B34" s="1" t="str">
        <f>IF('Master Plan'!B32="","",'Master Plan'!B32)</f>
        <v>2 Sprint 1</v>
      </c>
      <c r="C34" s="1" t="str">
        <f>IF('Master Plan'!D32="","",'Master Plan'!D32)</f>
        <v>Sprint 1 planning</v>
      </c>
      <c r="D34" s="1" t="str">
        <f>IF('Master Plan'!F32="","",'Master Plan'!F32)</f>
        <v>Daphne Okwaro</v>
      </c>
      <c r="E34" s="11">
        <f>IF('Master Plan'!H32="","",'Master Plan'!H32)</f>
        <v>46307</v>
      </c>
      <c r="F34" s="11">
        <f>IF('Master Plan'!I32="","",'Master Plan'!I32)</f>
        <v>46307</v>
      </c>
    </row>
    <row r="35" spans="1:6" ht="23.85">
      <c r="A35" s="1" t="str">
        <f>IF('Master Plan'!A14="","",'Master Plan'!A14)</f>
        <v>PM-13</v>
      </c>
      <c r="B35" s="1" t="str">
        <f>IF('Master Plan'!B14="","",'Master Plan'!B14)</f>
        <v>1 Design</v>
      </c>
      <c r="C35" s="1" t="str">
        <f>IF('Master Plan'!D14="","",'Master Plan'!D14)</f>
        <v>Design walkthrough with NKG (mockups + zero-variance model)</v>
      </c>
      <c r="D35" s="1" t="str">
        <f>IF('Master Plan'!F14="","",'Master Plan'!F14)</f>
        <v>Daphne Okwaro</v>
      </c>
      <c r="E35" s="11">
        <f>IF('Master Plan'!H14="","",'Master Plan'!H14)</f>
        <v>46308</v>
      </c>
      <c r="F35" s="11">
        <f>IF('Master Plan'!I14="","",'Master Plan'!I14)</f>
        <v>46308</v>
      </c>
    </row>
    <row r="36" spans="1:6">
      <c r="A36" s="1" t="str">
        <f>IF('Master Plan'!A15="","",'Master Plan'!A15)</f>
        <v>PM-14</v>
      </c>
      <c r="B36" s="1" t="str">
        <f>IF('Master Plan'!B15="","",'Master Plan'!B15)</f>
        <v>1 Design</v>
      </c>
      <c r="C36" s="1" t="str">
        <f>IF('Master Plan'!D15="","",'Master Plan'!D15)</f>
        <v>Obtain BRD and design sign-off</v>
      </c>
      <c r="D36" s="1" t="str">
        <f>IF('Master Plan'!F15="","",'Master Plan'!F15)</f>
        <v>Daphne Okwaro</v>
      </c>
      <c r="E36" s="11">
        <f>IF('Master Plan'!H15="","",'Master Plan'!H15)</f>
        <v>46309</v>
      </c>
      <c r="F36" s="11">
        <f>IF('Master Plan'!I15="","",'Master Plan'!I15)</f>
        <v>46311</v>
      </c>
    </row>
    <row r="37" spans="1:6">
      <c r="A37" s="1" t="str">
        <f>IF('Master Plan'!A34="","",'Master Plan'!A34)</f>
        <v>DO-03</v>
      </c>
      <c r="B37" s="1" t="str">
        <f>IF('Master Plan'!B34="","",'Master Plan'!B34)</f>
        <v>2 Sprint 1</v>
      </c>
      <c r="C37" s="1" t="str">
        <f>IF('Master Plan'!D34="","",'Master Plan'!D34)</f>
        <v>Create Dataverse tables in STK Core</v>
      </c>
      <c r="D37" s="1" t="str">
        <f>IF('Master Plan'!F34="","",'Master Plan'!F34)</f>
        <v>Denis Otieno</v>
      </c>
      <c r="E37" s="11">
        <f>IF('Master Plan'!H34="","",'Master Plan'!H34)</f>
        <v>46310</v>
      </c>
      <c r="F37" s="11">
        <f>IF('Master Plan'!I34="","",'Master Plan'!I34)</f>
        <v>46316</v>
      </c>
    </row>
    <row r="38" spans="1:6">
      <c r="A38" s="1" t="str">
        <f>IF('Master Plan'!A52="","",'Master Plan'!A52)</f>
        <v>PM-21</v>
      </c>
      <c r="B38" s="1" t="str">
        <f>IF('Master Plan'!B52="","",'Master Plan'!B52)</f>
        <v>2 Sprint 1</v>
      </c>
      <c r="C38" s="1" t="str">
        <f>IF('Master Plan'!D52="","",'Master Plan'!D52)</f>
        <v>Sprint 1 review / demo to NKG</v>
      </c>
      <c r="D38" s="1" t="str">
        <f>IF('Master Plan'!F52="","",'Master Plan'!F52)</f>
        <v>Daphne Okwaro</v>
      </c>
      <c r="E38" s="11">
        <f>IF('Master Plan'!H52="","",'Master Plan'!H52)</f>
        <v>46318</v>
      </c>
      <c r="F38" s="11">
        <f>IF('Master Plan'!I52="","",'Master Plan'!I52)</f>
        <v>46318</v>
      </c>
    </row>
    <row r="39" spans="1:6">
      <c r="A39" s="1" t="str">
        <f>IF('Master Plan'!A53="","",'Master Plan'!A53)</f>
        <v>PM-30</v>
      </c>
      <c r="B39" s="1" t="str">
        <f>IF('Master Plan'!B53="","",'Master Plan'!B53)</f>
        <v>3 Sprint 2</v>
      </c>
      <c r="C39" s="1" t="str">
        <f>IF('Master Plan'!D53="","",'Master Plan'!D53)</f>
        <v>Sprint 2 planning</v>
      </c>
      <c r="D39" s="1" t="str">
        <f>IF('Master Plan'!F53="","",'Master Plan'!F53)</f>
        <v>Daphne Okwaro</v>
      </c>
      <c r="E39" s="11">
        <f>IF('Master Plan'!H53="","",'Master Plan'!H53)</f>
        <v>46321</v>
      </c>
      <c r="F39" s="11">
        <f>IF('Master Plan'!I53="","",'Master Plan'!I53)</f>
        <v>46321</v>
      </c>
    </row>
    <row r="40" spans="1:6">
      <c r="A40" s="1" t="str">
        <f>IF('Master Plan'!A55="","",'Master Plan'!A55)</f>
        <v>DO-09</v>
      </c>
      <c r="B40" s="1" t="str">
        <f>IF('Master Plan'!B55="","",'Master Plan'!B55)</f>
        <v>3 Sprint 2</v>
      </c>
      <c r="C40" s="1" t="str">
        <f>IF('Master Plan'!D55="","",'Master Plan'!D55)</f>
        <v>Normalisation and mass balance</v>
      </c>
      <c r="D40" s="1" t="str">
        <f>IF('Master Plan'!F55="","",'Master Plan'!F55)</f>
        <v>Denis Otieno</v>
      </c>
      <c r="E40" s="11">
        <f>IF('Master Plan'!H55="","",'Master Plan'!H55)</f>
        <v>46321</v>
      </c>
      <c r="F40" s="11">
        <f>IF('Master Plan'!I55="","",'Master Plan'!I55)</f>
        <v>46323</v>
      </c>
    </row>
    <row r="41" spans="1:6">
      <c r="A41" s="1" t="str">
        <f>IF('Master Plan'!A67="","",'Master Plan'!A67)</f>
        <v>WI-07</v>
      </c>
      <c r="B41" s="1" t="str">
        <f>IF('Master Plan'!B67="","",'Master Plan'!B67)</f>
        <v>3 Sprint 2</v>
      </c>
      <c r="C41" s="1" t="str">
        <f>IF('Master Plan'!D67="","",'Master Plan'!D67)</f>
        <v>Offline queue and sync (S9)</v>
      </c>
      <c r="D41" s="1" t="str">
        <f>IF('Master Plan'!F67="","",'Master Plan'!F67)</f>
        <v>William Imo</v>
      </c>
      <c r="E41" s="11">
        <f>IF('Master Plan'!H67="","",'Master Plan'!H67)</f>
        <v>46322</v>
      </c>
      <c r="F41" s="11">
        <f>IF('Master Plan'!I67="","",'Master Plan'!I67)</f>
        <v>46324</v>
      </c>
    </row>
    <row r="42" spans="1:6">
      <c r="A42" s="1" t="str">
        <f>IF('Master Plan'!A97="","",'Master Plan'!A97)</f>
        <v>PM-32</v>
      </c>
      <c r="B42" s="1" t="str">
        <f>IF('Master Plan'!B97="","",'Master Plan'!B97)</f>
        <v>4 SIT</v>
      </c>
      <c r="C42" s="1" t="str">
        <f>IF('Master Plan'!D97="","",'Master Plan'!D97)</f>
        <v>Sprint 2 review / SIT exit</v>
      </c>
      <c r="D42" s="1" t="str">
        <f>IF('Master Plan'!F97="","",'Master Plan'!F97)</f>
        <v>Daphne Okwaro</v>
      </c>
      <c r="E42" s="11">
        <f>IF('Master Plan'!H97="","",'Master Plan'!H97)</f>
        <v>46332</v>
      </c>
      <c r="F42" s="11">
        <f>IF('Master Plan'!I97="","",'Master Plan'!I97)</f>
        <v>46332</v>
      </c>
    </row>
    <row r="43" spans="1:6">
      <c r="A43" s="1" t="str">
        <f>IF('Master Plan'!A101="","",'Master Plan'!A101)</f>
        <v>JO-12</v>
      </c>
      <c r="B43" s="1" t="str">
        <f>IF('Master Plan'!B101="","",'Master Plan'!B101)</f>
        <v>5 Training</v>
      </c>
      <c r="C43" s="1" t="str">
        <f>IF('Master Plan'!D101="","",'Master Plan'!D101)</f>
        <v>Publish Stock Assistant to Teams (UAT)</v>
      </c>
      <c r="D43" s="1" t="str">
        <f>IF('Master Plan'!F101="","",'Master Plan'!F101)</f>
        <v>Jones Alukwe</v>
      </c>
      <c r="E43" s="11">
        <f>IF('Master Plan'!H101="","",'Master Plan'!H101)</f>
        <v>46338</v>
      </c>
      <c r="F43" s="11">
        <f>IF('Master Plan'!I101="","",'Master Plan'!I101)</f>
        <v>46339</v>
      </c>
    </row>
    <row r="44" spans="1:6">
      <c r="A44" s="1" t="str">
        <f>IF('Master Plan'!A108="","",'Master Plan'!A108)</f>
        <v>PM-50</v>
      </c>
      <c r="B44" s="1" t="str">
        <f>IF('Master Plan'!B108="","",'Master Plan'!B108)</f>
        <v>6 UAT</v>
      </c>
      <c r="C44" s="1" t="str">
        <f>IF('Master Plan'!D108="","",'Master Plan'!D108)</f>
        <v>Run UAT and daily defect triage</v>
      </c>
      <c r="D44" s="1" t="str">
        <f>IF('Master Plan'!F108="","",'Master Plan'!F108)</f>
        <v>Daphne Okwaro</v>
      </c>
      <c r="E44" s="11">
        <f>IF('Master Plan'!H108="","",'Master Plan'!H108)</f>
        <v>46342</v>
      </c>
      <c r="F44" s="11">
        <f>IF('Master Plan'!I108="","",'Master Plan'!I108)</f>
        <v>46353</v>
      </c>
    </row>
    <row r="45" spans="1:6">
      <c r="A45" s="1" t="str">
        <f>IF('Master Plan'!A120="","",'Master Plan'!A120)</f>
        <v>PM-60</v>
      </c>
      <c r="B45" s="1" t="str">
        <f>IF('Master Plan'!B120="","",'Master Plan'!B120)</f>
        <v>7 Cutover</v>
      </c>
      <c r="C45" s="1" t="str">
        <f>IF('Master Plan'!D120="","",'Master Plan'!D120)</f>
        <v>Go / no-go meeting</v>
      </c>
      <c r="D45" s="1" t="str">
        <f>IF('Master Plan'!F120="","",'Master Plan'!F120)</f>
        <v>Daphne Okwaro</v>
      </c>
      <c r="E45" s="11">
        <f>IF('Master Plan'!H120="","",'Master Plan'!H120)</f>
        <v>46353</v>
      </c>
      <c r="F45" s="11">
        <f>IF('Master Plan'!I120="","",'Master Plan'!I120)</f>
        <v>46353</v>
      </c>
    </row>
    <row r="46" spans="1:6" ht="23.85">
      <c r="A46" s="1" t="str">
        <f>IF('Master Plan'!A122="","",'Master Plan'!A122)</f>
        <v>PM-61</v>
      </c>
      <c r="B46" s="1" t="str">
        <f>IF('Master Plan'!B122="","",'Master Plan'!B122)</f>
        <v>7 Cutover</v>
      </c>
      <c r="C46" s="1" t="str">
        <f>IF('Master Plan'!D122="","",'Master Plan'!D122)</f>
        <v>First live month-end count (November) in PROD</v>
      </c>
      <c r="D46" s="1" t="str">
        <f>IF('Master Plan'!F122="","",'Master Plan'!F122)</f>
        <v>Daphne Okwaro</v>
      </c>
      <c r="E46" s="11">
        <f>IF('Master Plan'!H122="","",'Master Plan'!H122)</f>
        <v>46357</v>
      </c>
      <c r="F46" s="11">
        <f>IF('Master Plan'!I122="","",'Master Plan'!I122)</f>
        <v>46359</v>
      </c>
    </row>
    <row r="47" spans="1:6" ht="23.85">
      <c r="A47" s="1" t="str">
        <f>IF('Master Plan'!A125="","",'Master Plan'!A125)</f>
        <v>PM-63</v>
      </c>
      <c r="B47" s="1" t="str">
        <f>IF('Master Plan'!B125="","",'Master Plan'!B125)</f>
        <v>8 Hypercare</v>
      </c>
      <c r="C47" s="1" t="str">
        <f>IF('Master Plan'!D125="","",'Master Plan'!D125)</f>
        <v>Hypercare: daily stand-up with NKG super users</v>
      </c>
      <c r="D47" s="1" t="str">
        <f>IF('Master Plan'!F125="","",'Master Plan'!F125)</f>
        <v>Daphne Okwaro</v>
      </c>
      <c r="E47" s="11">
        <f>IF('Master Plan'!H125="","",'Master Plan'!H125)</f>
        <v>46357</v>
      </c>
      <c r="F47" s="11">
        <f>IF('Master Plan'!I125="","",'Master Plan'!I125)</f>
        <v>46367</v>
      </c>
    </row>
    <row r="48" spans="1:6">
      <c r="A48" s="1" t="str">
        <f>IF('Master Plan'!A128="","",'Master Plan'!A128)</f>
        <v>FR-06</v>
      </c>
      <c r="B48" s="1" t="str">
        <f>IF('Master Plan'!B128="","",'Master Plan'!B128)</f>
        <v>8 Hypercare</v>
      </c>
      <c r="C48" s="1" t="str">
        <f>IF('Master Plan'!D128="","",'Master Plan'!D128)</f>
        <v>As-built documentation pack</v>
      </c>
      <c r="D48" s="1" t="str">
        <f>IF('Master Plan'!F128="","",'Master Plan'!F128)</f>
        <v>Frankie Omasaja</v>
      </c>
      <c r="E48" s="11">
        <f>IF('Master Plan'!H128="","",'Master Plan'!H128)</f>
        <v>46363</v>
      </c>
      <c r="F48" s="11">
        <f>IF('Master Plan'!I128="","",'Master Plan'!I128)</f>
        <v>46367</v>
      </c>
    </row>
    <row r="49" spans="1:6">
      <c r="A49" s="1" t="str">
        <f>IF('Master Plan'!A130="","",'Master Plan'!A130)</f>
        <v>PM-70</v>
      </c>
      <c r="B49" s="1" t="str">
        <f>IF('Master Plan'!B130="","",'Master Plan'!B130)</f>
        <v>9 Acceptance</v>
      </c>
      <c r="C49" s="1" t="str">
        <f>IF('Master Plan'!D130="","",'Master Plan'!D130)</f>
        <v>Final acceptance and project close</v>
      </c>
      <c r="D49" s="1" t="str">
        <f>IF('Master Plan'!F130="","",'Master Plan'!F130)</f>
        <v>Daphne Okwaro</v>
      </c>
      <c r="E49" s="11">
        <f>IF('Master Plan'!H130="","",'Master Plan'!H130)</f>
        <v>46370</v>
      </c>
      <c r="F49" s="11">
        <f>IF('Master Plan'!I130="","",'Master Plan'!I130)</f>
        <v>46373</v>
      </c>
    </row>
  </sheetData>
  <conditionalFormatting sqref="M5:M22">
    <cfRule type="cellIs" dxfId="27" priority="2" operator="equal">
      <formula>"Complete"</formula>
    </cfRule>
    <cfRule type="cellIs" dxfId="26" priority="3" operator="equal">
      <formula>"In progress"</formula>
    </cfRule>
    <cfRule type="cellIs" dxfId="25" priority="4" operator="equal">
      <formula>"Blocked"</formula>
    </cfRule>
    <cfRule type="cellIs" dxfId="24" priority="5" operator="equal">
      <formula>"At risk"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N51"/>
  <sheetViews>
    <sheetView showGridLines="0" zoomScaleNormal="100" workbookViewId="0">
      <pane xSplit="3" ySplit="4" topLeftCell="D5" activePane="bottomRight" state="frozen"/>
      <selection pane="bottomRight"/>
      <selection pane="bottomLeft" activeCell="A5" sqref="A5"/>
      <selection pane="topRight" activeCell="D1" sqref="D1"/>
    </sheetView>
  </sheetViews>
  <sheetFormatPr defaultColWidth="8.7109375" defaultRowHeight="15"/>
  <cols>
    <col min="1" max="1" width="8" customWidth="1"/>
    <col min="2" max="2" width="12" customWidth="1"/>
    <col min="3" max="3" width="34" customWidth="1"/>
    <col min="4" max="4" width="60" customWidth="1"/>
    <col min="5" max="5" width="20" customWidth="1"/>
    <col min="6" max="7" width="12" customWidth="1"/>
    <col min="8" max="8" width="8" customWidth="1"/>
    <col min="9" max="9" width="12" customWidth="1"/>
    <col min="10" max="10" width="24" customWidth="1"/>
    <col min="11" max="11" width="30" customWidth="1"/>
    <col min="12" max="12" width="9" customWidth="1"/>
    <col min="13" max="13" width="12" customWidth="1"/>
    <col min="14" max="14" width="10" customWidth="1"/>
  </cols>
  <sheetData>
    <row r="1" spans="1:14" ht="19.7">
      <c r="A1" s="2" t="s">
        <v>1057</v>
      </c>
    </row>
    <row r="2" spans="1:14">
      <c r="A2" s="3" t="s">
        <v>1058</v>
      </c>
    </row>
    <row r="4" spans="1:14" ht="30" customHeight="1">
      <c r="A4" s="9" t="s">
        <v>99</v>
      </c>
      <c r="B4" s="9" t="s">
        <v>51</v>
      </c>
      <c r="C4" s="9" t="s">
        <v>101</v>
      </c>
      <c r="D4" s="9" t="s">
        <v>102</v>
      </c>
      <c r="E4" s="9" t="s">
        <v>104</v>
      </c>
      <c r="F4" s="9" t="s">
        <v>105</v>
      </c>
      <c r="G4" s="9" t="s">
        <v>106</v>
      </c>
      <c r="H4" s="9" t="s">
        <v>107</v>
      </c>
      <c r="I4" s="9" t="s">
        <v>108</v>
      </c>
      <c r="J4" s="9" t="s">
        <v>1051</v>
      </c>
      <c r="K4" s="9" t="s">
        <v>1052</v>
      </c>
      <c r="L4" s="9" t="s">
        <v>111</v>
      </c>
      <c r="M4" s="9" t="s">
        <v>112</v>
      </c>
      <c r="N4" s="9" t="s">
        <v>114</v>
      </c>
    </row>
    <row r="5" spans="1:14" ht="23.85">
      <c r="A5" s="12" t="str">
        <f>IF('Master Plan'!A25="","",'Master Plan'!A25)</f>
        <v>DO-01</v>
      </c>
      <c r="B5" s="13" t="str">
        <f>IF('Master Plan'!B25="","",'Master Plan'!B25)</f>
        <v>1 Design</v>
      </c>
      <c r="C5" s="13" t="str">
        <f>IF('Master Plan'!D25="","",'Master Plan'!D25)</f>
        <v>Review ITB dataflows and staging</v>
      </c>
      <c r="D5" s="13" t="str">
        <f>IF('Master Plan'!E25="","",'Master Plan'!E25)</f>
        <v>Understand current dataflows → Dataverse staging → SharePoint lists; note reusable logic and known failures.</v>
      </c>
      <c r="E5" s="13" t="str">
        <f>IF('Master Plan'!G25="","",'Master Plan'!G25)</f>
        <v>Moses Masibo</v>
      </c>
      <c r="F5" s="14">
        <f>IF('Master Plan'!H25="","",'Master Plan'!H25)</f>
        <v>46307</v>
      </c>
      <c r="G5" s="14">
        <f>IF('Master Plan'!I25="","",'Master Plan'!I25)</f>
        <v>46308</v>
      </c>
      <c r="H5" s="13">
        <f>IF('Master Plan'!J25="","",'Master Plan'!J25)</f>
        <v>2</v>
      </c>
      <c r="I5" s="13" t="str">
        <f>IF('Master Plan'!K25="","",'Master Plan'!K25)</f>
        <v>PM-05</v>
      </c>
      <c r="J5" s="13" t="str">
        <f>IF('Master Plan'!L25="","",'Master Plan'!L25)</f>
        <v>Notes in Git /docs</v>
      </c>
      <c r="K5" s="13" t="str">
        <f>IF('Master Plan'!M25="","",'Master Plan'!M25)</f>
        <v>Reviewed with Moses</v>
      </c>
      <c r="L5" s="13" t="str">
        <f>IF('Master Plan'!N25="","",'Master Plan'!N25)</f>
        <v>2</v>
      </c>
      <c r="M5" s="13" t="str">
        <f>IF('Master Plan'!O25="","",'Master Plan'!O25)</f>
        <v>Not started</v>
      </c>
      <c r="N5" s="13" t="str">
        <f ca="1">IF('Master Plan'!Q25="","",'Master Plan'!Q25)</f>
        <v/>
      </c>
    </row>
    <row r="6" spans="1:14" ht="23.85">
      <c r="A6" s="5" t="str">
        <f>IF('Master Plan'!A26="","",'Master Plan'!A26)</f>
        <v>DO-02</v>
      </c>
      <c r="B6" s="1" t="str">
        <f>IF('Master Plan'!B26="","",'Master Plan'!B26)</f>
        <v>1 Design</v>
      </c>
      <c r="C6" s="1" t="str">
        <f>IF('Master Plan'!D26="","",'Master Plan'!D26)</f>
        <v>Finalise intake file templates and column mappings</v>
      </c>
      <c r="D6" s="1" t="str">
        <f>IF('Master Plan'!E26="","",'Master Plan'!E26)</f>
        <v>Agree exact column names per feed with owners; publish templates in STK-Intake/Templates.</v>
      </c>
      <c r="E6" s="1" t="str">
        <f>IF('Master Plan'!G26="","",'Master Plan'!G26)</f>
        <v>Nicole Akinyi</v>
      </c>
      <c r="F6" s="11">
        <f>IF('Master Plan'!H26="","",'Master Plan'!H26)</f>
        <v>46309</v>
      </c>
      <c r="G6" s="11">
        <f>IF('Master Plan'!I26="","",'Master Plan'!I26)</f>
        <v>46311</v>
      </c>
      <c r="H6" s="1">
        <f>IF('Master Plan'!J26="","",'Master Plan'!J26)</f>
        <v>3</v>
      </c>
      <c r="I6" s="1" t="str">
        <f>IF('Master Plan'!K26="","",'Master Plan'!K26)</f>
        <v>NI-01</v>
      </c>
      <c r="J6" s="1" t="str">
        <f>IF('Master Plan'!L26="","",'Master Plan'!L26)</f>
        <v>Templates S1–S15</v>
      </c>
      <c r="K6" s="1" t="str">
        <f>IF('Master Plan'!M26="","",'Master Plan'!M26)</f>
        <v>Owners confirm they can produce them</v>
      </c>
      <c r="L6" s="1" t="str">
        <f>IF('Master Plan'!N26="","",'Master Plan'!N26)</f>
        <v>App. E</v>
      </c>
      <c r="M6" s="1" t="str">
        <f>IF('Master Plan'!O26="","",'Master Plan'!O26)</f>
        <v>Not started</v>
      </c>
      <c r="N6" s="1" t="str">
        <f ca="1">IF('Master Plan'!Q26="","",'Master Plan'!Q26)</f>
        <v/>
      </c>
    </row>
    <row r="7" spans="1:14" ht="23.85">
      <c r="A7" s="12" t="str">
        <f>IF('Master Plan'!A34="","",'Master Plan'!A34)</f>
        <v>DO-03</v>
      </c>
      <c r="B7" s="13" t="str">
        <f>IF('Master Plan'!B34="","",'Master Plan'!B34)</f>
        <v>2 Sprint 1</v>
      </c>
      <c r="C7" s="13" t="str">
        <f>IF('Master Plan'!D34="","",'Master Plan'!D34)</f>
        <v>Create Dataverse tables in STK Core</v>
      </c>
      <c r="D7" s="13" t="str">
        <f>IF('Master Plan'!E34="","",'Master Plan'!E34)</f>
        <v>Build 34 stk_ tables with columns, choices, alternate keys, relationships, auditing; stk_config seeded with keys.</v>
      </c>
      <c r="E7" s="13" t="str">
        <f>IF('Master Plan'!G34="","",'Master Plan'!G34)</f>
        <v>Moses Masibo</v>
      </c>
      <c r="F7" s="14">
        <f>IF('Master Plan'!H34="","",'Master Plan'!H34)</f>
        <v>46310</v>
      </c>
      <c r="G7" s="14">
        <f>IF('Master Plan'!I34="","",'Master Plan'!I34)</f>
        <v>46316</v>
      </c>
      <c r="H7" s="13">
        <f>IF('Master Plan'!J34="","",'Master Plan'!J34)</f>
        <v>4</v>
      </c>
      <c r="I7" s="13" t="str">
        <f>IF('Master Plan'!K34="","",'Master Plan'!K34)</f>
        <v>MO-06</v>
      </c>
      <c r="J7" s="13" t="str">
        <f>IF('Master Plan'!L34="","",'Master Plan'!L34)</f>
        <v>Tables in DEV</v>
      </c>
      <c r="K7" s="13" t="str">
        <f>IF('Master Plan'!M34="","",'Master Plan'!M34)</f>
        <v>ERD = DEV schema; solution exported to Git</v>
      </c>
      <c r="L7" s="13" t="str">
        <f>IF('Master Plan'!N34="","",'Master Plan'!N34)</f>
        <v>6</v>
      </c>
      <c r="M7" s="13" t="str">
        <f>IF('Master Plan'!O34="","",'Master Plan'!O34)</f>
        <v>Not started</v>
      </c>
      <c r="N7" s="13" t="str">
        <f ca="1">IF('Master Plan'!Q34="","",'Master Plan'!Q34)</f>
        <v/>
      </c>
    </row>
    <row r="8" spans="1:14" ht="35.1">
      <c r="A8" s="5" t="str">
        <f>IF('Master Plan'!A35="","",'Master Plan'!A35)</f>
        <v>DO-04</v>
      </c>
      <c r="B8" s="1" t="str">
        <f>IF('Master Plan'!B35="","",'Master Plan'!B35)</f>
        <v>2 Sprint 1</v>
      </c>
      <c r="C8" s="1" t="str">
        <f>IF('Master Plan'!D35="","",'Master Plan'!D35)</f>
        <v>F01 Receive intake email</v>
      </c>
      <c r="D8" s="1" t="str">
        <f>IF('Master Plan'!E35="","",'Master Plan'!E35)</f>
        <v>Trigger on shared mailbox; parse subject; sender allow-list; save attachment as &lt;SOURCE&gt;_&lt;YYYYMMDD&gt;_&lt;HHMM&gt;.&lt;ext&gt;; log to stk_loadlog.</v>
      </c>
      <c r="E8" s="1" t="str">
        <f>IF('Master Plan'!G35="","",'Master Plan'!G35)</f>
        <v/>
      </c>
      <c r="F8" s="11">
        <f>IF('Master Plan'!H35="","",'Master Plan'!H35)</f>
        <v>46314</v>
      </c>
      <c r="G8" s="11">
        <f>IF('Master Plan'!I35="","",'Master Plan'!I35)</f>
        <v>46316</v>
      </c>
      <c r="H8" s="1">
        <f>IF('Master Plan'!J35="","",'Master Plan'!J35)</f>
        <v>2</v>
      </c>
      <c r="I8" s="1" t="str">
        <f>IF('Master Plan'!K35="","",'Master Plan'!K35)</f>
        <v>MO-07, DO-03</v>
      </c>
      <c r="J8" s="1" t="str">
        <f>IF('Master Plan'!L35="","",'Master Plan'!L35)</f>
        <v>Flow F01</v>
      </c>
      <c r="K8" s="1" t="str">
        <f>IF('Master Plan'!M35="","",'Master Plan'!M35)</f>
        <v>10 test emails processed correctly, bad sender rejected</v>
      </c>
      <c r="L8" s="1" t="str">
        <f>IF('Master Plan'!N35="","",'Master Plan'!N35)</f>
        <v>12.2</v>
      </c>
      <c r="M8" s="1" t="str">
        <f>IF('Master Plan'!O35="","",'Master Plan'!O35)</f>
        <v>Not started</v>
      </c>
      <c r="N8" s="1" t="str">
        <f ca="1">IF('Master Plan'!Q35="","",'Master Plan'!Q35)</f>
        <v/>
      </c>
    </row>
    <row r="9" spans="1:14" ht="35.1">
      <c r="A9" s="12" t="str">
        <f>IF('Master Plan'!A37="","",'Master Plan'!A37)</f>
        <v>DO-06</v>
      </c>
      <c r="B9" s="13" t="str">
        <f>IF('Master Plan'!B37="","",'Master Plan'!B37)</f>
        <v>2 Sprint 1</v>
      </c>
      <c r="C9" s="13" t="str">
        <f>IF('Master Plan'!D37="","",'Master Plan'!D37)</f>
        <v>Dataflows to staging + F03 load</v>
      </c>
      <c r="D9" s="13" t="str">
        <f>IF('Master Plan'!E37="","",'Master Plan'!E37)</f>
        <v>One dataflow per source (XBS stock, XBS movements, 526, 537, contracts, SNI, provisional, third-party); F03 refresh, poll, snapshot header, row-count check.</v>
      </c>
      <c r="E9" s="13" t="str">
        <f>IF('Master Plan'!G37="","",'Master Plan'!G37)</f>
        <v/>
      </c>
      <c r="F9" s="14">
        <f>IF('Master Plan'!H37="","",'Master Plan'!H37)</f>
        <v>46314</v>
      </c>
      <c r="G9" s="14">
        <f>IF('Master Plan'!I37="","",'Master Plan'!I37)</f>
        <v>46318</v>
      </c>
      <c r="H9" s="13">
        <f>IF('Master Plan'!J37="","",'Master Plan'!J37)</f>
        <v>4</v>
      </c>
      <c r="I9" s="13" t="str">
        <f>IF('Master Plan'!K37="","",'Master Plan'!K37)</f>
        <v>DO-03</v>
      </c>
      <c r="J9" s="13" t="str">
        <f>IF('Master Plan'!L37="","",'Master Plan'!L37)</f>
        <v>Dataflows + F03</v>
      </c>
      <c r="K9" s="13" t="str">
        <f>IF('Master Plan'!M37="","",'Master Plan'!M37)</f>
        <v>T1 completeness passes for every sample file</v>
      </c>
      <c r="L9" s="13" t="str">
        <f>IF('Master Plan'!N37="","",'Master Plan'!N37)</f>
        <v>7, 12.2</v>
      </c>
      <c r="M9" s="13" t="str">
        <f>IF('Master Plan'!O37="","",'Master Plan'!O37)</f>
        <v>Not started</v>
      </c>
      <c r="N9" s="13" t="str">
        <f ca="1">IF('Master Plan'!Q37="","",'Master Plan'!Q37)</f>
        <v/>
      </c>
    </row>
    <row r="10" spans="1:14" ht="23.85">
      <c r="A10" s="5" t="str">
        <f>IF('Master Plan'!A36="","",'Master Plan'!A36)</f>
        <v>DO-05</v>
      </c>
      <c r="B10" s="1" t="str">
        <f>IF('Master Plan'!B36="","",'Master Plan'!B36)</f>
        <v>2 Sprint 1</v>
      </c>
      <c r="C10" s="1" t="str">
        <f>IF('Master Plan'!D36="","",'Master Plan'!D36)</f>
        <v>F02 Validate file (V1–V7)</v>
      </c>
      <c r="D10" s="1" t="str">
        <f>IF('Master Plan'!E36="","",'Master Plan'!E36)</f>
        <v>Columns, types, dates, row counts, duplicates, control totals, period; move to Rejected + reply with reason, or Processed + trigger load.</v>
      </c>
      <c r="E10" s="1" t="str">
        <f>IF('Master Plan'!G36="","",'Master Plan'!G36)</f>
        <v>Nicole Akinyi</v>
      </c>
      <c r="F10" s="11">
        <f>IF('Master Plan'!H36="","",'Master Plan'!H36)</f>
        <v>46316</v>
      </c>
      <c r="G10" s="11">
        <f>IF('Master Plan'!I36="","",'Master Plan'!I36)</f>
        <v>46318</v>
      </c>
      <c r="H10" s="1">
        <f>IF('Master Plan'!J36="","",'Master Plan'!J36)</f>
        <v>3</v>
      </c>
      <c r="I10" s="1" t="str">
        <f>IF('Master Plan'!K36="","",'Master Plan'!K36)</f>
        <v>DO-04</v>
      </c>
      <c r="J10" s="1" t="str">
        <f>IF('Master Plan'!L36="","",'Master Plan'!L36)</f>
        <v>Flow F02</v>
      </c>
      <c r="K10" s="1" t="str">
        <f>IF('Master Plan'!M36="","",'Master Plan'!M36)</f>
        <v>Each V-rule has a failing test file that is rejected with the right reason</v>
      </c>
      <c r="L10" s="1" t="str">
        <f>IF('Master Plan'!N36="","",'Master Plan'!N36)</f>
        <v>7.3</v>
      </c>
      <c r="M10" s="1" t="str">
        <f>IF('Master Plan'!O36="","",'Master Plan'!O36)</f>
        <v>Not started</v>
      </c>
      <c r="N10" s="1" t="str">
        <f ca="1">IF('Master Plan'!Q36="","",'Master Plan'!Q36)</f>
        <v/>
      </c>
    </row>
    <row r="11" spans="1:14" ht="35.1">
      <c r="A11" s="12" t="str">
        <f>IF('Master Plan'!A38="","",'Master Plan'!A38)</f>
        <v>DO-07</v>
      </c>
      <c r="B11" s="13" t="str">
        <f>IF('Master Plan'!B38="","",'Master Plan'!B38)</f>
        <v>2 Sprint 1</v>
      </c>
      <c r="C11" s="13" t="str">
        <f>IF('Master Plan'!D38="","",'Master Plan'!D38)</f>
        <v>Master-data migration</v>
      </c>
      <c r="D11" s="13" t="str">
        <f>IF('Master Plan'!E38="","",'Master Plan'!E38)</f>
        <v>Load warehouses, locations, zones, grades, quality codes, packing types, secondary/primary baskets, contracts, mappings from ITB lists and Comtras.</v>
      </c>
      <c r="E11" s="13" t="str">
        <f>IF('Master Plan'!G38="","",'Master Plan'!G38)</f>
        <v>Nicole Akinyi</v>
      </c>
      <c r="F11" s="14">
        <f>IF('Master Plan'!H38="","",'Master Plan'!H38)</f>
        <v>46316</v>
      </c>
      <c r="G11" s="14">
        <f>IF('Master Plan'!I38="","",'Master Plan'!I38)</f>
        <v>46318</v>
      </c>
      <c r="H11" s="13">
        <f>IF('Master Plan'!J38="","",'Master Plan'!J38)</f>
        <v>3</v>
      </c>
      <c r="I11" s="13" t="str">
        <f>IF('Master Plan'!K38="","",'Master Plan'!K38)</f>
        <v>DO-03</v>
      </c>
      <c r="J11" s="13" t="str">
        <f>IF('Master Plan'!L38="","",'Master Plan'!L38)</f>
        <v>Master data in DEV</v>
      </c>
      <c r="K11" s="13" t="str">
        <f>IF('Master Plan'!M38="","",'Master Plan'!M38)</f>
        <v>Counts tie to sources; T2 coverage report produced</v>
      </c>
      <c r="L11" s="13" t="str">
        <f>IF('Master Plan'!N38="","",'Master Plan'!N38)</f>
        <v>7.5</v>
      </c>
      <c r="M11" s="13" t="str">
        <f>IF('Master Plan'!O38="","",'Master Plan'!O38)</f>
        <v>Not started</v>
      </c>
      <c r="N11" s="13" t="str">
        <f ca="1">IF('Master Plan'!Q38="","",'Master Plan'!Q38)</f>
        <v/>
      </c>
    </row>
    <row r="12" spans="1:14" ht="23.85">
      <c r="A12" s="5" t="str">
        <f>IF('Master Plan'!A54="","",'Master Plan'!A54)</f>
        <v>DO-08</v>
      </c>
      <c r="B12" s="1" t="str">
        <f>IF('Master Plan'!B54="","",'Master Plan'!B54)</f>
        <v>3 Sprint 2</v>
      </c>
      <c r="C12" s="1" t="str">
        <f>IF('Master Plan'!D54="","",'Master Plan'!D54)</f>
        <v>F04 missing-feed, F05 reprocess, F06 lock snapshot</v>
      </c>
      <c r="D12" s="1" t="str">
        <f>IF('Master Plan'!E54="","",'Master Plan'!E54)</f>
        <v>F04 08:00 check → EX20; F05 Hub button; F06 locks month-end snapshot.</v>
      </c>
      <c r="E12" s="1" t="str">
        <f>IF('Master Plan'!G54="","",'Master Plan'!G54)</f>
        <v/>
      </c>
      <c r="F12" s="11">
        <f>IF('Master Plan'!H54="","",'Master Plan'!H54)</f>
        <v>46321</v>
      </c>
      <c r="G12" s="11">
        <f>IF('Master Plan'!I54="","",'Master Plan'!I54)</f>
        <v>46322</v>
      </c>
      <c r="H12" s="1">
        <f>IF('Master Plan'!J54="","",'Master Plan'!J54)</f>
        <v>2</v>
      </c>
      <c r="I12" s="1" t="str">
        <f>IF('Master Plan'!K54="","",'Master Plan'!K54)</f>
        <v>DO-06</v>
      </c>
      <c r="J12" s="1" t="str">
        <f>IF('Master Plan'!L54="","",'Master Plan'!L54)</f>
        <v>Flows F04–F06</v>
      </c>
      <c r="K12" s="1" t="str">
        <f>IF('Master Plan'!M54="","",'Master Plan'!M54)</f>
        <v>Missing test feed raises EX20</v>
      </c>
      <c r="L12" s="1" t="str">
        <f>IF('Master Plan'!N54="","",'Master Plan'!N54)</f>
        <v>12.2</v>
      </c>
      <c r="M12" s="1" t="str">
        <f>IF('Master Plan'!O54="","",'Master Plan'!O54)</f>
        <v>Not started</v>
      </c>
      <c r="N12" s="1" t="str">
        <f ca="1">IF('Master Plan'!Q54="","",'Master Plan'!Q54)</f>
        <v/>
      </c>
    </row>
    <row r="13" spans="1:14" ht="23.85">
      <c r="A13" s="12" t="str">
        <f>IF('Master Plan'!A55="","",'Master Plan'!A55)</f>
        <v>DO-09</v>
      </c>
      <c r="B13" s="13" t="str">
        <f>IF('Master Plan'!B55="","",'Master Plan'!B55)</f>
        <v>3 Sprint 2</v>
      </c>
      <c r="C13" s="13" t="str">
        <f>IF('Master Plan'!D55="","",'Master Plan'!D55)</f>
        <v>Normalisation and mass balance</v>
      </c>
      <c r="D13" s="13" t="str">
        <f>IF('Master Plan'!E55="","",'Master Plan'!E55)</f>
        <v>Convert all positions to kg/eq60 with unit rules; opening + receipts − issues ± adjustments = closing per outturn.</v>
      </c>
      <c r="E13" s="13" t="str">
        <f>IF('Master Plan'!G55="","",'Master Plan'!G55)</f>
        <v>Moses Masibo</v>
      </c>
      <c r="F13" s="14">
        <f>IF('Master Plan'!H55="","",'Master Plan'!H55)</f>
        <v>46321</v>
      </c>
      <c r="G13" s="14">
        <f>IF('Master Plan'!I55="","",'Master Plan'!I55)</f>
        <v>46323</v>
      </c>
      <c r="H13" s="13">
        <f>IF('Master Plan'!J55="","",'Master Plan'!J55)</f>
        <v>3</v>
      </c>
      <c r="I13" s="13" t="str">
        <f>IF('Master Plan'!K55="","",'Master Plan'!K55)</f>
        <v>DO-07</v>
      </c>
      <c r="J13" s="13" t="str">
        <f>IF('Master Plan'!L55="","",'Master Plan'!L55)</f>
        <v>Engine step 1</v>
      </c>
      <c r="K13" s="13" t="str">
        <f>IF('Master Plan'!M55="","",'Master Plan'!M55)</f>
        <v>T6 passes on test data</v>
      </c>
      <c r="L13" s="13" t="str">
        <f>IF('Master Plan'!N55="","",'Master Plan'!N55)</f>
        <v>4.2–4.3</v>
      </c>
      <c r="M13" s="13" t="str">
        <f>IF('Master Plan'!O55="","",'Master Plan'!O55)</f>
        <v>Not started</v>
      </c>
      <c r="N13" s="13" t="str">
        <f ca="1">IF('Master Plan'!Q55="","",'Master Plan'!Q55)</f>
        <v/>
      </c>
    </row>
    <row r="14" spans="1:14" ht="35.1">
      <c r="A14" s="5" t="str">
        <f>IF('Master Plan'!A56="","",'Master Plan'!A56)</f>
        <v>DO-10</v>
      </c>
      <c r="B14" s="1" t="str">
        <f>IF('Master Plan'!B56="","",'Master Plan'!B56)</f>
        <v>3 Sprint 2</v>
      </c>
      <c r="C14" s="1" t="str">
        <f>IF('Master Plan'!D56="","",'Master Plan'!D56)</f>
        <v>L1 Physical vs XBS (F30)</v>
      </c>
      <c r="D14" s="1" t="str">
        <f>IF('Master Plan'!E56="","",'Master Plan'!E56)</f>
        <v>Compare count vs locked snapshot; attach RIs in order TIMING, LOCATION, CORRECTION-PENDING, UNIT-RULE, PACKING, PROVISIONAL, THIRD-PARTY, REMNANT; raise EX01/EX02.</v>
      </c>
      <c r="E14" s="1" t="str">
        <f>IF('Master Plan'!G56="","",'Master Plan'!G56)</f>
        <v/>
      </c>
      <c r="F14" s="11">
        <f>IF('Master Plan'!H56="","",'Master Plan'!H56)</f>
        <v>46322</v>
      </c>
      <c r="G14" s="11">
        <f>IF('Master Plan'!I56="","",'Master Plan'!I56)</f>
        <v>46324</v>
      </c>
      <c r="H14" s="1">
        <f>IF('Master Plan'!J56="","",'Master Plan'!J56)</f>
        <v>3</v>
      </c>
      <c r="I14" s="1" t="str">
        <f>IF('Master Plan'!K56="","",'Master Plan'!K56)</f>
        <v>DO-09</v>
      </c>
      <c r="J14" s="1" t="str">
        <f>IF('Master Plan'!L56="","",'Master Plan'!L56)</f>
        <v>L1 engine</v>
      </c>
      <c r="K14" s="1" t="str">
        <f>IF('Master Plan'!M56="","",'Master Plan'!M56)</f>
        <v>Worked example KCS7948 gives residual 0</v>
      </c>
      <c r="L14" s="1" t="str">
        <f>IF('Master Plan'!N56="","",'Master Plan'!N56)</f>
        <v>4.4, 8.3</v>
      </c>
      <c r="M14" s="1" t="str">
        <f>IF('Master Plan'!O56="","",'Master Plan'!O56)</f>
        <v>Not started</v>
      </c>
      <c r="N14" s="1" t="str">
        <f ca="1">IF('Master Plan'!Q56="","",'Master Plan'!Q56)</f>
        <v/>
      </c>
    </row>
    <row r="15" spans="1:14" ht="23.85">
      <c r="A15" s="12" t="str">
        <f>IF('Master Plan'!A59="","",'Master Plan'!A59)</f>
        <v>DO-13</v>
      </c>
      <c r="B15" s="13" t="str">
        <f>IF('Master Plan'!B59="","",'Master Plan'!B59)</f>
        <v>3 Sprint 2</v>
      </c>
      <c r="C15" s="13" t="str">
        <f>IF('Master Plan'!D59="","",'Master Plan'!D59)</f>
        <v>F20 daily rules EX05–EX20 + upsert child flow</v>
      </c>
      <c r="D15" s="13" t="str">
        <f>IF('Master Plan'!E59="","",'Master Plan'!E59)</f>
        <v>Rule child flows return (rule, key, qty, details); upsert on alternate key; auto-close when cleared.</v>
      </c>
      <c r="E15" s="13" t="str">
        <f>IF('Master Plan'!G59="","",'Master Plan'!G59)</f>
        <v>Jones Alukwe</v>
      </c>
      <c r="F15" s="14">
        <f>IF('Master Plan'!H59="","",'Master Plan'!H59)</f>
        <v>46323</v>
      </c>
      <c r="G15" s="14">
        <f>IF('Master Plan'!I59="","",'Master Plan'!I59)</f>
        <v>46330</v>
      </c>
      <c r="H15" s="13">
        <f>IF('Master Plan'!J59="","",'Master Plan'!J59)</f>
        <v>6</v>
      </c>
      <c r="I15" s="13" t="str">
        <f>IF('Master Plan'!K59="","",'Master Plan'!K59)</f>
        <v>DO-08</v>
      </c>
      <c r="J15" s="13" t="str">
        <f>IF('Master Plan'!L59="","",'Master Plan'!L59)</f>
        <v>F20 + rules</v>
      </c>
      <c r="K15" s="13" t="str">
        <f>IF('Master Plan'!M59="","",'Master Plan'!M59)</f>
        <v>Each EX code fires and auto-closes on test data</v>
      </c>
      <c r="L15" s="13" t="str">
        <f>IF('Master Plan'!N59="","",'Master Plan'!N59)</f>
        <v>8.5, 12.3</v>
      </c>
      <c r="M15" s="13" t="str">
        <f>IF('Master Plan'!O59="","",'Master Plan'!O59)</f>
        <v>Not started</v>
      </c>
      <c r="N15" s="13" t="str">
        <f ca="1">IF('Master Plan'!Q59="","",'Master Plan'!Q59)</f>
        <v/>
      </c>
    </row>
    <row r="16" spans="1:14" ht="35.1">
      <c r="A16" s="5" t="str">
        <f>IF('Master Plan'!A57="","",'Master Plan'!A57)</f>
        <v>DO-11</v>
      </c>
      <c r="B16" s="1" t="str">
        <f>IF('Master Plan'!B57="","",'Master Plan'!B57)</f>
        <v>3 Sprint 2</v>
      </c>
      <c r="C16" s="1" t="str">
        <f>IF('Master Plan'!D57="","",'Master Plan'!D57)</f>
        <v>L2 XBS vs Comtras</v>
      </c>
      <c r="D16" s="1" t="str">
        <f>IF('Master Plan'!E57="","",'Master Plan'!E57)</f>
        <v>SNI add-back, provisional, registers; RIs DOWNGRADE, PURCHASE-PENDING, WRONG-BASKET, ROLLOVER, BRIC-PENDING, SHORT-DELIVERY; EX15.</v>
      </c>
      <c r="E16" s="1" t="str">
        <f>IF('Master Plan'!G57="","",'Master Plan'!G57)</f>
        <v>Nicole Akinyi</v>
      </c>
      <c r="F16" s="11">
        <f>IF('Master Plan'!H57="","",'Master Plan'!H57)</f>
        <v>46324</v>
      </c>
      <c r="G16" s="11">
        <f>IF('Master Plan'!I57="","",'Master Plan'!I57)</f>
        <v>46329</v>
      </c>
      <c r="H16" s="1">
        <f>IF('Master Plan'!J57="","",'Master Plan'!J57)</f>
        <v>4</v>
      </c>
      <c r="I16" s="1" t="str">
        <f>IF('Master Plan'!K57="","",'Master Plan'!K57)</f>
        <v>DO-10</v>
      </c>
      <c r="J16" s="1" t="str">
        <f>IF('Master Plan'!L57="","",'Master Plan'!L57)</f>
        <v>L2 engine</v>
      </c>
      <c r="K16" s="1" t="str">
        <f>IF('Master Plan'!M57="","",'Master Plan'!M57)</f>
        <v>T4 passes on test data</v>
      </c>
      <c r="L16" s="1" t="str">
        <f>IF('Master Plan'!N57="","",'Master Plan'!N57)</f>
        <v>4.5</v>
      </c>
      <c r="M16" s="1" t="str">
        <f>IF('Master Plan'!O57="","",'Master Plan'!O57)</f>
        <v>Not started</v>
      </c>
      <c r="N16" s="1" t="str">
        <f ca="1">IF('Master Plan'!Q57="","",'Master Plan'!Q57)</f>
        <v/>
      </c>
    </row>
    <row r="17" spans="1:14" ht="23.85">
      <c r="A17" s="12" t="str">
        <f>IF('Master Plan'!A90="","",'Master Plan'!A90)</f>
        <v>DO-15</v>
      </c>
      <c r="B17" s="13" t="str">
        <f>IF('Master Plan'!B90="","",'Master Plan'!B90)</f>
        <v>4 SIT</v>
      </c>
      <c r="C17" s="13" t="str">
        <f>IF('Master Plan'!D90="","",'Master Plan'!D90)</f>
        <v>Load October month-end snapshots into UAT and lock</v>
      </c>
      <c r="D17" s="13" t="str">
        <f>IF('Master Plan'!E90="","",'Master Plan'!E90)</f>
        <v>Day 1 feeds (Sun 1 Nov) loaded and locked; stock take created.</v>
      </c>
      <c r="E17" s="13" t="str">
        <f>IF('Master Plan'!G90="","",'Master Plan'!G90)</f>
        <v>Andrew Tanui</v>
      </c>
      <c r="F17" s="14">
        <f>IF('Master Plan'!H90="","",'Master Plan'!H90)</f>
        <v>46328</v>
      </c>
      <c r="G17" s="14">
        <f>IF('Master Plan'!I90="","",'Master Plan'!I90)</f>
        <v>46328</v>
      </c>
      <c r="H17" s="13">
        <f>IF('Master Plan'!J90="","",'Master Plan'!J90)</f>
        <v>1</v>
      </c>
      <c r="I17" s="13" t="str">
        <f>IF('Master Plan'!K90="","",'Master Plan'!K90)</f>
        <v>DO-08, MO-09</v>
      </c>
      <c r="J17" s="13" t="str">
        <f>IF('Master Plan'!L90="","",'Master Plan'!L90)</f>
        <v>Locked snapshot</v>
      </c>
      <c r="K17" s="13" t="str">
        <f>IF('Master Plan'!M90="","",'Master Plan'!M90)</f>
        <v>Wizard pre-checks all green</v>
      </c>
      <c r="L17" s="13" t="str">
        <f>IF('Master Plan'!N90="","",'Master Plan'!N90)</f>
        <v>5.2</v>
      </c>
      <c r="M17" s="13" t="str">
        <f>IF('Master Plan'!O90="","",'Master Plan'!O90)</f>
        <v>Not started</v>
      </c>
      <c r="N17" s="13" t="str">
        <f ca="1">IF('Master Plan'!Q90="","",'Master Plan'!Q90)</f>
        <v/>
      </c>
    </row>
    <row r="18" spans="1:14">
      <c r="A18" s="5" t="str">
        <f>IF('Master Plan'!A58="","",'Master Plan'!A58)</f>
        <v>DO-12</v>
      </c>
      <c r="B18" s="1" t="str">
        <f>IF('Master Plan'!B58="","",'Master Plan'!B58)</f>
        <v>3 Sprint 2</v>
      </c>
      <c r="C18" s="1" t="str">
        <f>IF('Master Plan'!D58="","",'Master Plan'!D58)</f>
        <v>L3 Baskets vs Contracts</v>
      </c>
      <c r="D18" s="1" t="str">
        <f>IF('Master Plan'!E58="","",'Master Plan'!E58)</f>
        <v>Basket balances vs contract open quantities incl. roll-over lineage.</v>
      </c>
      <c r="E18" s="1" t="str">
        <f>IF('Master Plan'!G58="","",'Master Plan'!G58)</f>
        <v/>
      </c>
      <c r="F18" s="11">
        <f>IF('Master Plan'!H58="","",'Master Plan'!H58)</f>
        <v>46328</v>
      </c>
      <c r="G18" s="11">
        <f>IF('Master Plan'!I58="","",'Master Plan'!I58)</f>
        <v>46330</v>
      </c>
      <c r="H18" s="1">
        <f>IF('Master Plan'!J58="","",'Master Plan'!J58)</f>
        <v>3</v>
      </c>
      <c r="I18" s="1" t="str">
        <f>IF('Master Plan'!K58="","",'Master Plan'!K58)</f>
        <v>DO-11</v>
      </c>
      <c r="J18" s="1" t="str">
        <f>IF('Master Plan'!L58="","",'Master Plan'!L58)</f>
        <v>L3 engine</v>
      </c>
      <c r="K18" s="1" t="str">
        <f>IF('Master Plan'!M58="","",'Master Plan'!M58)</f>
        <v>T5 passes</v>
      </c>
      <c r="L18" s="1" t="str">
        <f>IF('Master Plan'!N58="","",'Master Plan'!N58)</f>
        <v>4.6</v>
      </c>
      <c r="M18" s="1" t="str">
        <f>IF('Master Plan'!O58="","",'Master Plan'!O58)</f>
        <v>Not started</v>
      </c>
      <c r="N18" s="1" t="str">
        <f ca="1">IF('Master Plan'!Q58="","",'Master Plan'!Q58)</f>
        <v/>
      </c>
    </row>
    <row r="19" spans="1:14" ht="23.85">
      <c r="A19" s="12" t="str">
        <f>IF('Master Plan'!A94="","",'Master Plan'!A94)</f>
        <v>DO-17</v>
      </c>
      <c r="B19" s="13" t="str">
        <f>IF('Master Plan'!B94="","",'Master Plan'!B94)</f>
        <v>4 SIT</v>
      </c>
      <c r="C19" s="13" t="str">
        <f>IF('Master Plan'!D94="","",'Master Plan'!D94)</f>
        <v>Tie-outs T1–T8 and T10</v>
      </c>
      <c r="D19" s="13" t="str">
        <f>IF('Master Plan'!E94="","",'Master Plan'!E94)</f>
        <v>Completeness, mapping coverage, L1, L2, L3, mass balance, repeatability, timeliness; evidence in Git /test.</v>
      </c>
      <c r="E19" s="13" t="str">
        <f>IF('Master Plan'!G94="","",'Master Plan'!G94)</f>
        <v>Nicole Akinyi</v>
      </c>
      <c r="F19" s="14">
        <f>IF('Master Plan'!H94="","",'Master Plan'!H94)</f>
        <v>46328</v>
      </c>
      <c r="G19" s="14">
        <f>IF('Master Plan'!I94="","",'Master Plan'!I94)</f>
        <v>46332</v>
      </c>
      <c r="H19" s="13">
        <f>IF('Master Plan'!J94="","",'Master Plan'!J94)</f>
        <v>5</v>
      </c>
      <c r="I19" s="13" t="str">
        <f>IF('Master Plan'!K94="","",'Master Plan'!K94)</f>
        <v>DO-12</v>
      </c>
      <c r="J19" s="13" t="str">
        <f>IF('Master Plan'!L94="","",'Master Plan'!L94)</f>
        <v>Tie-out evidence</v>
      </c>
      <c r="K19" s="13" t="str">
        <f>IF('Master Plan'!M94="","",'Master Plan'!M94)</f>
        <v>All = 0 difference</v>
      </c>
      <c r="L19" s="13" t="str">
        <f>IF('Master Plan'!N94="","",'Master Plan'!N94)</f>
        <v>18.2</v>
      </c>
      <c r="M19" s="13" t="str">
        <f>IF('Master Plan'!O94="","",'Master Plan'!O94)</f>
        <v>Not started</v>
      </c>
      <c r="N19" s="13" t="str">
        <f ca="1">IF('Master Plan'!Q94="","",'Master Plan'!Q94)</f>
        <v/>
      </c>
    </row>
    <row r="20" spans="1:14" ht="23.85">
      <c r="A20" s="5" t="str">
        <f>IF('Master Plan'!A60="","",'Master Plan'!A60)</f>
        <v>DO-14</v>
      </c>
      <c r="B20" s="1" t="str">
        <f>IF('Master Plan'!B60="","",'Master Plan'!B60)</f>
        <v>3 Sprint 2</v>
      </c>
      <c r="C20" s="1" t="str">
        <f>IF('Master Plan'!D60="","",'Master Plan'!D60)</f>
        <v>F23 provisional auto-match, F28 correction posting check</v>
      </c>
      <c r="D20" s="1" t="str">
        <f>IF('Master Plan'!E60="","",'Master Plan'!E60)</f>
        <v>Close provisional on matching XBS receipt; mark corrections Posted from next snapshot or raise EX13.</v>
      </c>
      <c r="E20" s="1" t="str">
        <f>IF('Master Plan'!G60="","",'Master Plan'!G60)</f>
        <v/>
      </c>
      <c r="F20" s="11">
        <f>IF('Master Plan'!H60="","",'Master Plan'!H60)</f>
        <v>46329</v>
      </c>
      <c r="G20" s="11">
        <f>IF('Master Plan'!I60="","",'Master Plan'!I60)</f>
        <v>46331</v>
      </c>
      <c r="H20" s="1">
        <f>IF('Master Plan'!J60="","",'Master Plan'!J60)</f>
        <v>3</v>
      </c>
      <c r="I20" s="1" t="str">
        <f>IF('Master Plan'!K60="","",'Master Plan'!K60)</f>
        <v>DO-11</v>
      </c>
      <c r="J20" s="1" t="str">
        <f>IF('Master Plan'!L60="","",'Master Plan'!L60)</f>
        <v>Flows F23, F28</v>
      </c>
      <c r="K20" s="1" t="str">
        <f>IF('Master Plan'!M60="","",'Master Plan'!M60)</f>
        <v>Test receipt closes provisional; unposted correction ages to EX13</v>
      </c>
      <c r="L20" s="1" t="str">
        <f>IF('Master Plan'!N60="","",'Master Plan'!N60)</f>
        <v>12.2</v>
      </c>
      <c r="M20" s="1" t="str">
        <f>IF('Master Plan'!O60="","",'Master Plan'!O60)</f>
        <v>Not started</v>
      </c>
      <c r="N20" s="1" t="str">
        <f ca="1">IF('Master Plan'!Q60="","",'Master Plan'!Q60)</f>
        <v/>
      </c>
    </row>
    <row r="21" spans="1:14" ht="23.85">
      <c r="A21" s="12" t="str">
        <f>IF('Master Plan'!A92="","",'Master Plan'!A92)</f>
        <v>DO-16</v>
      </c>
      <c r="B21" s="13" t="str">
        <f>IF('Master Plan'!B92="","",'Master Plan'!B92)</f>
        <v>4 SIT</v>
      </c>
      <c r="C21" s="13" t="str">
        <f>IF('Master Plan'!D92="","",'Master Plan'!D92)</f>
        <v>Run L1–L3 on October data and reconcile</v>
      </c>
      <c r="D21" s="13" t="str">
        <f>IF('Master Plan'!E92="","",'Master Plan'!E92)</f>
        <v>Close count → L1; L2/L3 on month-end feeds; work residual with Finance/Ops.</v>
      </c>
      <c r="E21" s="13" t="str">
        <f>IF('Master Plan'!G92="","",'Master Plan'!G92)</f>
        <v>Nicole Akinyi</v>
      </c>
      <c r="F21" s="14">
        <f>IF('Master Plan'!H92="","",'Master Plan'!H92)</f>
        <v>46330</v>
      </c>
      <c r="G21" s="14">
        <f>IF('Master Plan'!I92="","",'Master Plan'!I92)</f>
        <v>46332</v>
      </c>
      <c r="H21" s="13">
        <f>IF('Master Plan'!J92="","",'Master Plan'!J92)</f>
        <v>3</v>
      </c>
      <c r="I21" s="13" t="str">
        <f>IF('Master Plan'!K92="","",'Master Plan'!K92)</f>
        <v>WI-11</v>
      </c>
      <c r="J21" s="13" t="str">
        <f>IF('Master Plan'!L92="","",'Master Plan'!L92)</f>
        <v>Recon results</v>
      </c>
      <c r="K21" s="13" t="str">
        <f>IF('Master Plan'!M92="","",'Master Plan'!M92)</f>
        <v>Residual explained to 0 or items listed</v>
      </c>
      <c r="L21" s="13" t="str">
        <f>IF('Master Plan'!N92="","",'Master Plan'!N92)</f>
        <v>4, 18.2</v>
      </c>
      <c r="M21" s="13" t="str">
        <f>IF('Master Plan'!O92="","",'Master Plan'!O92)</f>
        <v>Not started</v>
      </c>
      <c r="N21" s="13" t="str">
        <f ca="1">IF('Master Plan'!Q92="","",'Master Plan'!Q92)</f>
        <v/>
      </c>
    </row>
    <row r="22" spans="1:14">
      <c r="A22" s="5" t="str">
        <f>IF('Master Plan'!A112="","",'Master Plan'!A112)</f>
        <v>DO-18</v>
      </c>
      <c r="B22" s="1" t="str">
        <f>IF('Master Plan'!B112="","",'Master Plan'!B112)</f>
        <v>6 UAT</v>
      </c>
      <c r="C22" s="1" t="str">
        <f>IF('Master Plan'!D112="","",'Master Plan'!D112)</f>
        <v>Fix UAT defects — intake and engine</v>
      </c>
      <c r="D22" s="1" t="str">
        <f>IF('Master Plan'!E112="","",'Master Plan'!E112)</f>
        <v>Fix and redeploy within severity SLA.</v>
      </c>
      <c r="E22" s="1" t="str">
        <f>IF('Master Plan'!G112="","",'Master Plan'!G112)</f>
        <v/>
      </c>
      <c r="F22" s="11">
        <f>IF('Master Plan'!H112="","",'Master Plan'!H112)</f>
        <v>46342</v>
      </c>
      <c r="G22" s="11">
        <f>IF('Master Plan'!I112="","",'Master Plan'!I112)</f>
        <v>46352</v>
      </c>
      <c r="H22" s="1">
        <f>IF('Master Plan'!J112="","",'Master Plan'!J112)</f>
        <v>9</v>
      </c>
      <c r="I22" s="1" t="str">
        <f>IF('Master Plan'!K112="","",'Master Plan'!K112)</f>
        <v>PM-50</v>
      </c>
      <c r="J22" s="1" t="str">
        <f>IF('Master Plan'!L112="","",'Master Plan'!L112)</f>
        <v>Fixes</v>
      </c>
      <c r="K22" s="1" t="str">
        <f>IF('Master Plan'!M112="","",'Master Plan'!M112)</f>
        <v>No open Sev 1/2</v>
      </c>
      <c r="L22" s="1" t="str">
        <f>IF('Master Plan'!N112="","",'Master Plan'!N112)</f>
        <v>—</v>
      </c>
      <c r="M22" s="1" t="str">
        <f>IF('Master Plan'!O112="","",'Master Plan'!O112)</f>
        <v>Not started</v>
      </c>
      <c r="N22" s="1" t="str">
        <f ca="1">IF('Master Plan'!Q112="","",'Master Plan'!Q112)</f>
        <v/>
      </c>
    </row>
    <row r="23" spans="1:14">
      <c r="A23" s="12" t="str">
        <f>IF('Master Plan'!A117="","",'Master Plan'!A117)</f>
        <v>DO-19</v>
      </c>
      <c r="B23" s="13" t="str">
        <f>IF('Master Plan'!B117="","",'Master Plan'!B117)</f>
        <v>7 Cutover</v>
      </c>
      <c r="C23" s="13" t="str">
        <f>IF('Master Plan'!D117="","",'Master Plan'!D117)</f>
        <v>PROD master-data load and tie-out</v>
      </c>
      <c r="D23" s="13" t="str">
        <f>IF('Master Plan'!E117="","",'Master Plan'!E117)</f>
        <v>Load and tie out all master data; mapping coverage = 100%.</v>
      </c>
      <c r="E23" s="13" t="str">
        <f>IF('Master Plan'!G117="","",'Master Plan'!G117)</f>
        <v>Nicole Akinyi</v>
      </c>
      <c r="F23" s="14">
        <f>IF('Master Plan'!H117="","",'Master Plan'!H117)</f>
        <v>46350</v>
      </c>
      <c r="G23" s="14">
        <f>IF('Master Plan'!I117="","",'Master Plan'!I117)</f>
        <v>46351</v>
      </c>
      <c r="H23" s="13">
        <f>IF('Master Plan'!J117="","",'Master Plan'!J117)</f>
        <v>2</v>
      </c>
      <c r="I23" s="13" t="str">
        <f>IF('Master Plan'!K117="","",'Master Plan'!K117)</f>
        <v>MO-16</v>
      </c>
      <c r="J23" s="13" t="str">
        <f>IF('Master Plan'!L117="","",'Master Plan'!L117)</f>
        <v>PROD master data</v>
      </c>
      <c r="K23" s="13" t="str">
        <f>IF('Master Plan'!M117="","",'Master Plan'!M117)</f>
        <v>T1/T2 pass in PROD</v>
      </c>
      <c r="L23" s="13" t="str">
        <f>IF('Master Plan'!N117="","",'Master Plan'!N117)</f>
        <v>20.1</v>
      </c>
      <c r="M23" s="13" t="str">
        <f>IF('Master Plan'!O117="","",'Master Plan'!O117)</f>
        <v>Not started</v>
      </c>
      <c r="N23" s="13" t="str">
        <f ca="1">IF('Master Plan'!Q117="","",'Master Plan'!Q117)</f>
        <v/>
      </c>
    </row>
    <row r="24" spans="1:14" ht="23.85">
      <c r="A24" s="5" t="str">
        <f>IF('Master Plan'!A118="","",'Master Plan'!A118)</f>
        <v>DO-20</v>
      </c>
      <c r="B24" s="1" t="str">
        <f>IF('Master Plan'!B118="","",'Master Plan'!B118)</f>
        <v>7 Cutover</v>
      </c>
      <c r="C24" s="1" t="str">
        <f>IF('Master Plan'!D118="","",'Master Plan'!D118)</f>
        <v>Switch feeds to PROD mailbox; 3 clean intake days</v>
      </c>
      <c r="D24" s="1" t="str">
        <f>IF('Master Plan'!E118="","",'Master Plan'!E118)</f>
        <v>Owners send to PROD; monitor 25, 26, 27 Nov.</v>
      </c>
      <c r="E24" s="1" t="str">
        <f>IF('Master Plan'!G118="","",'Master Plan'!G118)</f>
        <v/>
      </c>
      <c r="F24" s="11">
        <f>IF('Master Plan'!H118="","",'Master Plan'!H118)</f>
        <v>46351</v>
      </c>
      <c r="G24" s="11">
        <f>IF('Master Plan'!I118="","",'Master Plan'!I118)</f>
        <v>46353</v>
      </c>
      <c r="H24" s="1">
        <f>IF('Master Plan'!J118="","",'Master Plan'!J118)</f>
        <v>3</v>
      </c>
      <c r="I24" s="1" t="str">
        <f>IF('Master Plan'!K118="","",'Master Plan'!K118)</f>
        <v>DO-19</v>
      </c>
      <c r="J24" s="1" t="str">
        <f>IF('Master Plan'!L118="","",'Master Plan'!L118)</f>
        <v>Clean intake log</v>
      </c>
      <c r="K24" s="1" t="str">
        <f>IF('Master Plan'!M118="","",'Master Plan'!M118)</f>
        <v>3 consecutive clean days</v>
      </c>
      <c r="L24" s="1" t="str">
        <f>IF('Master Plan'!N118="","",'Master Plan'!N118)</f>
        <v>20.1</v>
      </c>
      <c r="M24" s="1" t="str">
        <f>IF('Master Plan'!O118="","",'Master Plan'!O118)</f>
        <v>Not started</v>
      </c>
      <c r="N24" s="1" t="str">
        <f ca="1">IF('Master Plan'!Q118="","",'Master Plan'!Q118)</f>
        <v/>
      </c>
    </row>
    <row r="25" spans="1:14" ht="23.85">
      <c r="A25" s="12" t="str">
        <f>IF('Master Plan'!A119="","",'Master Plan'!A119)</f>
        <v>DO-21</v>
      </c>
      <c r="B25" s="13" t="str">
        <f>IF('Master Plan'!B119="","",'Master Plan'!B119)</f>
        <v>7 Cutover</v>
      </c>
      <c r="C25" s="13" t="str">
        <f>IF('Master Plan'!D119="","",'Master Plan'!D119)</f>
        <v>Opening baseline calculation</v>
      </c>
      <c r="D25" s="13" t="str">
        <f>IF('Master Plan'!E119="","",'Master Plan'!E119)</f>
        <v>Agree last reconciled position (October parallel run); record historic unexplained as RI-BASELINE.</v>
      </c>
      <c r="E25" s="13" t="str">
        <f>IF('Master Plan'!G119="","",'Master Plan'!G119)</f>
        <v>Nicole Akinyi</v>
      </c>
      <c r="F25" s="14">
        <f>IF('Master Plan'!H119="","",'Master Plan'!H119)</f>
        <v>46352</v>
      </c>
      <c r="G25" s="14">
        <f>IF('Master Plan'!I119="","",'Master Plan'!I119)</f>
        <v>46358</v>
      </c>
      <c r="H25" s="13">
        <f>IF('Master Plan'!J119="","",'Master Plan'!J119)</f>
        <v>5</v>
      </c>
      <c r="I25" s="13" t="str">
        <f>IF('Master Plan'!K119="","",'Master Plan'!K119)</f>
        <v>DO-16</v>
      </c>
      <c r="J25" s="13" t="str">
        <f>IF('Master Plan'!L119="","",'Master Plan'!L119)</f>
        <v>Baseline workbook</v>
      </c>
      <c r="K25" s="13" t="str">
        <f>IF('Master Plan'!M119="","",'Master Plan'!M119)</f>
        <v>Approved by Finance + Ops</v>
      </c>
      <c r="L25" s="13" t="str">
        <f>IF('Master Plan'!N119="","",'Master Plan'!N119)</f>
        <v>4.8, 20.3</v>
      </c>
      <c r="M25" s="13" t="str">
        <f>IF('Master Plan'!O119="","",'Master Plan'!O119)</f>
        <v>Not started</v>
      </c>
      <c r="N25" s="13" t="str">
        <f ca="1">IF('Master Plan'!Q119="","",'Master Plan'!Q119)</f>
        <v/>
      </c>
    </row>
    <row r="26" spans="1:14" ht="23.85">
      <c r="A26" s="5" t="str">
        <f>IF('Master Plan'!A123="","",'Master Plan'!A123)</f>
        <v>DO-22</v>
      </c>
      <c r="B26" s="1" t="str">
        <f>IF('Master Plan'!B123="","",'Master Plan'!B123)</f>
        <v>8 Hypercare</v>
      </c>
      <c r="C26" s="1" t="str">
        <f>IF('Master Plan'!D123="","",'Master Plan'!D123)</f>
        <v>November L1–L3 runs; drive residual to 0</v>
      </c>
      <c r="D26" s="1" t="str">
        <f>IF('Master Plan'!E123="","",'Master Plan'!E123)</f>
        <v>Support Finance/Ops to clear exceptions and corrections by WD7 (Wed 9 Dec).</v>
      </c>
      <c r="E26" s="1" t="str">
        <f>IF('Master Plan'!G123="","",'Master Plan'!G123)</f>
        <v>Nicole Akinyi, Jones Alukwe</v>
      </c>
      <c r="F26" s="11">
        <f>IF('Master Plan'!H123="","",'Master Plan'!H123)</f>
        <v>46359</v>
      </c>
      <c r="G26" s="11">
        <f>IF('Master Plan'!I123="","",'Master Plan'!I123)</f>
        <v>46365</v>
      </c>
      <c r="H26" s="1">
        <f>IF('Master Plan'!J123="","",'Master Plan'!J123)</f>
        <v>5</v>
      </c>
      <c r="I26" s="1" t="str">
        <f>IF('Master Plan'!K123="","",'Master Plan'!K123)</f>
        <v>PM-61</v>
      </c>
      <c r="J26" s="1" t="str">
        <f>IF('Master Plan'!L123="","",'Master Plan'!L123)</f>
        <v>Recon results</v>
      </c>
      <c r="K26" s="1" t="str">
        <f>IF('Master Plan'!M123="","",'Master Plan'!M123)</f>
        <v>Residual 0 at all levels</v>
      </c>
      <c r="L26" s="1" t="str">
        <f>IF('Master Plan'!N123="","",'Master Plan'!N123)</f>
        <v>4, 5.2</v>
      </c>
      <c r="M26" s="1" t="str">
        <f>IF('Master Plan'!O123="","",'Master Plan'!O123)</f>
        <v>Not started</v>
      </c>
      <c r="N26" s="1" t="str">
        <f ca="1">IF('Master Plan'!Q123="","",'Master Plan'!Q123)</f>
        <v/>
      </c>
    </row>
    <row r="27" spans="1:14" ht="23.85">
      <c r="A27" s="12" t="str">
        <f>IF('Master Plan'!A127="","",'Master Plan'!A127)</f>
        <v>DO-23</v>
      </c>
      <c r="B27" s="13" t="str">
        <f>IF('Master Plan'!B127="","",'Master Plan'!B127)</f>
        <v>8 Hypercare</v>
      </c>
      <c r="C27" s="13" t="str">
        <f>IF('Master Plan'!D127="","",'Master Plan'!D127)</f>
        <v>Runbooks for intake and engine failures</v>
      </c>
      <c r="D27" s="13" t="str">
        <f>IF('Master Plan'!E127="","",'Master Plan'!E127)</f>
        <v>One runbook entry per failure type.</v>
      </c>
      <c r="E27" s="13" t="str">
        <f>IF('Master Plan'!G127="","",'Master Plan'!G127)</f>
        <v/>
      </c>
      <c r="F27" s="14">
        <f>IF('Master Plan'!H127="","",'Master Plan'!H127)</f>
        <v>46363</v>
      </c>
      <c r="G27" s="14">
        <f>IF('Master Plan'!I127="","",'Master Plan'!I127)</f>
        <v>46365</v>
      </c>
      <c r="H27" s="13">
        <f>IF('Master Plan'!J127="","",'Master Plan'!J127)</f>
        <v>3</v>
      </c>
      <c r="I27" s="13" t="str">
        <f>IF('Master Plan'!K127="","",'Master Plan'!K127)</f>
        <v/>
      </c>
      <c r="J27" s="13" t="str">
        <f>IF('Master Plan'!L127="","",'Master Plan'!L127)</f>
        <v>Runbooks</v>
      </c>
      <c r="K27" s="13" t="str">
        <f>IF('Master Plan'!M127="","",'Master Plan'!M127)</f>
        <v>Reviewed by Moses</v>
      </c>
      <c r="L27" s="13" t="str">
        <f>IF('Master Plan'!N127="","",'Master Plan'!N127)</f>
        <v>17 NFR-10</v>
      </c>
      <c r="M27" s="13" t="str">
        <f>IF('Master Plan'!O127="","",'Master Plan'!O127)</f>
        <v>Not started</v>
      </c>
      <c r="N27" s="13" t="str">
        <f ca="1">IF('Master Plan'!Q127="","",'Master Plan'!Q127)</f>
        <v/>
      </c>
    </row>
    <row r="29" spans="1:14">
      <c r="A29" s="4" t="s">
        <v>1059</v>
      </c>
    </row>
    <row r="30" spans="1:14" ht="30" customHeight="1">
      <c r="A30" s="9" t="s">
        <v>99</v>
      </c>
      <c r="B30" s="9" t="s">
        <v>51</v>
      </c>
      <c r="C30" s="9" t="s">
        <v>101</v>
      </c>
      <c r="D30" s="9" t="s">
        <v>103</v>
      </c>
      <c r="E30" s="9" t="s">
        <v>105</v>
      </c>
      <c r="F30" s="9" t="s">
        <v>106</v>
      </c>
    </row>
    <row r="31" spans="1:14" ht="23.85">
      <c r="A31" s="1" t="str">
        <f>IF('Master Plan'!A5="","",'Master Plan'!A5)</f>
        <v>PM-01</v>
      </c>
      <c r="B31" s="1" t="str">
        <f>IF('Master Plan'!B5="","",'Master Plan'!B5)</f>
        <v>0 Discovery</v>
      </c>
      <c r="C31" s="1" t="str">
        <f>IF('Master Plan'!D5="","",'Master Plan'!D5)</f>
        <v>Project kick-off and warehouse walk-through</v>
      </c>
      <c r="D31" s="1" t="str">
        <f>IF('Master Plan'!F5="","",'Master Plan'!F5)</f>
        <v>Daphne Okwaro</v>
      </c>
      <c r="E31" s="11">
        <f>IF('Master Plan'!H5="","",'Master Plan'!H5)</f>
        <v>46296</v>
      </c>
      <c r="F31" s="11">
        <f>IF('Master Plan'!I5="","",'Master Plan'!I5)</f>
        <v>46296</v>
      </c>
    </row>
    <row r="32" spans="1:14" ht="23.85">
      <c r="A32" s="1" t="str">
        <f>IF('Master Plan'!A6="","",'Master Plan'!A6)</f>
        <v>PM-02</v>
      </c>
      <c r="B32" s="1" t="str">
        <f>IF('Master Plan'!B6="","",'Master Plan'!B6)</f>
        <v>0 Discovery</v>
      </c>
      <c r="C32" s="1" t="str">
        <f>IF('Master Plan'!D6="","",'Master Plan'!D6)</f>
        <v>Discovery sessions: Finance, Warehouse &amp; Operations, Trade &amp; QC, Logistics</v>
      </c>
      <c r="D32" s="1" t="str">
        <f>IF('Master Plan'!F6="","",'Master Plan'!F6)</f>
        <v>Daphne Okwaro</v>
      </c>
      <c r="E32" s="11">
        <f>IF('Master Plan'!H6="","",'Master Plan'!H6)</f>
        <v>46297</v>
      </c>
      <c r="F32" s="11">
        <f>IF('Master Plan'!I6="","",'Master Plan'!I6)</f>
        <v>46303</v>
      </c>
    </row>
    <row r="33" spans="1:6" ht="23.85">
      <c r="A33" s="1" t="str">
        <f>IF('Master Plan'!A16="","",'Master Plan'!A16)</f>
        <v>PM-15</v>
      </c>
      <c r="B33" s="1" t="str">
        <f>IF('Master Plan'!B16="","",'Master Plan'!B16)</f>
        <v>1 Design</v>
      </c>
      <c r="C33" s="1" t="str">
        <f>IF('Master Plan'!D16="","",'Master Plan'!D16)</f>
        <v>Formal data-feed request to XBS and Comtras/BRIC owners</v>
      </c>
      <c r="D33" s="1" t="str">
        <f>IF('Master Plan'!F16="","",'Master Plan'!F16)</f>
        <v>Daphne Okwaro</v>
      </c>
      <c r="E33" s="11">
        <f>IF('Master Plan'!H16="","",'Master Plan'!H16)</f>
        <v>46307</v>
      </c>
      <c r="F33" s="11">
        <f>IF('Master Plan'!I16="","",'Master Plan'!I16)</f>
        <v>46309</v>
      </c>
    </row>
    <row r="34" spans="1:6" ht="23.85">
      <c r="A34" s="1" t="str">
        <f>IF('Master Plan'!A18="","",'Master Plan'!A18)</f>
        <v>MO-01</v>
      </c>
      <c r="B34" s="1" t="str">
        <f>IF('Master Plan'!B18="","",'Master Plan'!B18)</f>
        <v>1 Design</v>
      </c>
      <c r="C34" s="1" t="str">
        <f>IF('Master Plan'!D18="","",'Master Plan'!D18)</f>
        <v>Inventory the ITB (John Nyongesa) solution</v>
      </c>
      <c r="D34" s="1" t="str">
        <f>IF('Master Plan'!F18="","",'Master Plan'!F18)</f>
        <v>Moses Masibo</v>
      </c>
      <c r="E34" s="11">
        <f>IF('Master Plan'!H18="","",'Master Plan'!H18)</f>
        <v>46307</v>
      </c>
      <c r="F34" s="11">
        <f>IF('Master Plan'!I18="","",'Master Plan'!I18)</f>
        <v>46308</v>
      </c>
    </row>
    <row r="35" spans="1:6">
      <c r="A35" s="1" t="str">
        <f>IF('Master Plan'!A32="","",'Master Plan'!A32)</f>
        <v>PM-20</v>
      </c>
      <c r="B35" s="1" t="str">
        <f>IF('Master Plan'!B32="","",'Master Plan'!B32)</f>
        <v>2 Sprint 1</v>
      </c>
      <c r="C35" s="1" t="str">
        <f>IF('Master Plan'!D32="","",'Master Plan'!D32)</f>
        <v>Sprint 1 planning</v>
      </c>
      <c r="D35" s="1" t="str">
        <f>IF('Master Plan'!F32="","",'Master Plan'!F32)</f>
        <v>Daphne Okwaro</v>
      </c>
      <c r="E35" s="11">
        <f>IF('Master Plan'!H32="","",'Master Plan'!H32)</f>
        <v>46307</v>
      </c>
      <c r="F35" s="11">
        <f>IF('Master Plan'!I32="","",'Master Plan'!I32)</f>
        <v>46307</v>
      </c>
    </row>
    <row r="36" spans="1:6">
      <c r="A36" s="1" t="str">
        <f>IF('Master Plan'!A24="","",'Master Plan'!A24)</f>
        <v>NI-01</v>
      </c>
      <c r="B36" s="1" t="str">
        <f>IF('Master Plan'!B24="","",'Master Plan'!B24)</f>
        <v>1 Design</v>
      </c>
      <c r="C36" s="1" t="str">
        <f>IF('Master Plan'!D24="","",'Master Plan'!D24)</f>
        <v>Profile sample files from every feed</v>
      </c>
      <c r="D36" s="1" t="str">
        <f>IF('Master Plan'!F24="","",'Master Plan'!F24)</f>
        <v>Nicole Akinyi</v>
      </c>
      <c r="E36" s="11">
        <f>IF('Master Plan'!H24="","",'Master Plan'!H24)</f>
        <v>46308</v>
      </c>
      <c r="F36" s="11">
        <f>IF('Master Plan'!I24="","",'Master Plan'!I24)</f>
        <v>46311</v>
      </c>
    </row>
    <row r="37" spans="1:6" ht="23.85">
      <c r="A37" s="1" t="str">
        <f>IF('Master Plan'!A23="","",'Master Plan'!A23)</f>
        <v>MO-06</v>
      </c>
      <c r="B37" s="1" t="str">
        <f>IF('Master Plan'!B23="","",'Master Plan'!B23)</f>
        <v>1 Design</v>
      </c>
      <c r="C37" s="1" t="str">
        <f>IF('Master Plan'!D23="","",'Master Plan'!D23)</f>
        <v>Data-model review (34 tables, keys, alternate keys)</v>
      </c>
      <c r="D37" s="1" t="str">
        <f>IF('Master Plan'!F23="","",'Master Plan'!F23)</f>
        <v>Moses Masibo</v>
      </c>
      <c r="E37" s="11">
        <f>IF('Master Plan'!H23="","",'Master Plan'!H23)</f>
        <v>46309</v>
      </c>
      <c r="F37" s="11">
        <f>IF('Master Plan'!I23="","",'Master Plan'!I23)</f>
        <v>46311</v>
      </c>
    </row>
    <row r="38" spans="1:6" ht="23.85">
      <c r="A38" s="1" t="str">
        <f>IF('Master Plan'!A33="","",'Master Plan'!A33)</f>
        <v>MO-07</v>
      </c>
      <c r="B38" s="1" t="str">
        <f>IF('Master Plan'!B33="","",'Master Plan'!B33)</f>
        <v>2 Sprint 1</v>
      </c>
      <c r="C38" s="1" t="str">
        <f>IF('Master Plan'!D33="","",'Master Plan'!D33)</f>
        <v>Shared mailbox and SharePoint STK-Intake site</v>
      </c>
      <c r="D38" s="1" t="str">
        <f>IF('Master Plan'!F33="","",'Master Plan'!F33)</f>
        <v>Moses Masibo</v>
      </c>
      <c r="E38" s="11">
        <f>IF('Master Plan'!H33="","",'Master Plan'!H33)</f>
        <v>46310</v>
      </c>
      <c r="F38" s="11">
        <f>IF('Master Plan'!I33="","",'Master Plan'!I33)</f>
        <v>46311</v>
      </c>
    </row>
    <row r="39" spans="1:6">
      <c r="A39" s="1" t="str">
        <f>IF('Master Plan'!A39="","",'Master Plan'!A39)</f>
        <v>NI-02</v>
      </c>
      <c r="B39" s="1" t="str">
        <f>IF('Master Plan'!B39="","",'Master Plan'!B39)</f>
        <v>2 Sprint 1</v>
      </c>
      <c r="C39" s="1" t="str">
        <f>IF('Master Plan'!D39="","",'Master Plan'!D39)</f>
        <v>Mapping coverage analysis</v>
      </c>
      <c r="D39" s="1" t="str">
        <f>IF('Master Plan'!F39="","",'Master Plan'!F39)</f>
        <v>Nicole Akinyi</v>
      </c>
      <c r="E39" s="11">
        <f>IF('Master Plan'!H39="","",'Master Plan'!H39)</f>
        <v>46310</v>
      </c>
      <c r="F39" s="11">
        <f>IF('Master Plan'!I39="","",'Master Plan'!I39)</f>
        <v>46316</v>
      </c>
    </row>
    <row r="40" spans="1:6">
      <c r="A40" s="1" t="str">
        <f>IF('Master Plan'!A43="","",'Master Plan'!A43)</f>
        <v>WI-05</v>
      </c>
      <c r="B40" s="1" t="str">
        <f>IF('Master Plan'!B43="","",'Master Plan'!B43)</f>
        <v>2 Sprint 1</v>
      </c>
      <c r="C40" s="1" t="str">
        <f>IF('Master Plan'!D43="","",'Master Plan'!D43)</f>
        <v>S5 Capture screen</v>
      </c>
      <c r="D40" s="1" t="str">
        <f>IF('Master Plan'!F43="","",'Master Plan'!F43)</f>
        <v>William Imo</v>
      </c>
      <c r="E40" s="11">
        <f>IF('Master Plan'!H43="","",'Master Plan'!H43)</f>
        <v>46316</v>
      </c>
      <c r="F40" s="11">
        <f>IF('Master Plan'!I43="","",'Master Plan'!I43)</f>
        <v>46318</v>
      </c>
    </row>
    <row r="41" spans="1:6">
      <c r="A41" s="1" t="str">
        <f>IF('Master Plan'!A46="","",'Master Plan'!A46)</f>
        <v>AN-04</v>
      </c>
      <c r="B41" s="1" t="str">
        <f>IF('Master Plan'!B46="","",'Master Plan'!B46)</f>
        <v>2 Sprint 1</v>
      </c>
      <c r="C41" s="1" t="str">
        <f>IF('Master Plan'!D46="","",'Master Plan'!D46)</f>
        <v>Stock take wizard (5 steps) + F10 notify</v>
      </c>
      <c r="D41" s="1" t="str">
        <f>IF('Master Plan'!F46="","",'Master Plan'!F46)</f>
        <v>Andrew Tanui</v>
      </c>
      <c r="E41" s="11">
        <f>IF('Master Plan'!H46="","",'Master Plan'!H46)</f>
        <v>46316</v>
      </c>
      <c r="F41" s="11">
        <f>IF('Master Plan'!I46="","",'Master Plan'!I46)</f>
        <v>46321</v>
      </c>
    </row>
    <row r="42" spans="1:6">
      <c r="A42" s="1" t="str">
        <f>IF('Master Plan'!A52="","",'Master Plan'!A52)</f>
        <v>PM-21</v>
      </c>
      <c r="B42" s="1" t="str">
        <f>IF('Master Plan'!B52="","",'Master Plan'!B52)</f>
        <v>2 Sprint 1</v>
      </c>
      <c r="C42" s="1" t="str">
        <f>IF('Master Plan'!D52="","",'Master Plan'!D52)</f>
        <v>Sprint 1 review / demo to NKG</v>
      </c>
      <c r="D42" s="1" t="str">
        <f>IF('Master Plan'!F52="","",'Master Plan'!F52)</f>
        <v>Daphne Okwaro</v>
      </c>
      <c r="E42" s="11">
        <f>IF('Master Plan'!H52="","",'Master Plan'!H52)</f>
        <v>46318</v>
      </c>
      <c r="F42" s="11">
        <f>IF('Master Plan'!I52="","",'Master Plan'!I52)</f>
        <v>46318</v>
      </c>
    </row>
    <row r="43" spans="1:6">
      <c r="A43" s="1" t="str">
        <f>IF('Master Plan'!A53="","",'Master Plan'!A53)</f>
        <v>PM-30</v>
      </c>
      <c r="B43" s="1" t="str">
        <f>IF('Master Plan'!B53="","",'Master Plan'!B53)</f>
        <v>3 Sprint 2</v>
      </c>
      <c r="C43" s="1" t="str">
        <f>IF('Master Plan'!D53="","",'Master Plan'!D53)</f>
        <v>Sprint 2 planning</v>
      </c>
      <c r="D43" s="1" t="str">
        <f>IF('Master Plan'!F53="","",'Master Plan'!F53)</f>
        <v>Daphne Okwaro</v>
      </c>
      <c r="E43" s="11">
        <f>IF('Master Plan'!H53="","",'Master Plan'!H53)</f>
        <v>46321</v>
      </c>
      <c r="F43" s="11">
        <f>IF('Master Plan'!I53="","",'Master Plan'!I53)</f>
        <v>46321</v>
      </c>
    </row>
    <row r="44" spans="1:6">
      <c r="A44" s="1" t="str">
        <f>IF('Master Plan'!A79="","",'Master Plan'!A79)</f>
        <v>JO-06</v>
      </c>
      <c r="B44" s="1" t="str">
        <f>IF('Master Plan'!B79="","",'Master Plan'!B79)</f>
        <v>3 Sprint 2</v>
      </c>
      <c r="C44" s="1" t="str">
        <f>IF('Master Plan'!D79="","",'Master Plan'!D79)</f>
        <v>Reconciliation workspace (custom page)</v>
      </c>
      <c r="D44" s="1" t="str">
        <f>IF('Master Plan'!F79="","",'Master Plan'!F79)</f>
        <v>Jones Alukwe</v>
      </c>
      <c r="E44" s="11">
        <f>IF('Master Plan'!H79="","",'Master Plan'!H79)</f>
        <v>46323</v>
      </c>
      <c r="F44" s="11">
        <f>IF('Master Plan'!I79="","",'Master Plan'!I79)</f>
        <v>46329</v>
      </c>
    </row>
    <row r="45" spans="1:6">
      <c r="A45" s="1" t="str">
        <f>IF('Master Plan'!A84="","",'Master Plan'!A84)</f>
        <v>MO-10</v>
      </c>
      <c r="B45" s="1" t="str">
        <f>IF('Master Plan'!B84="","",'Master Plan'!B84)</f>
        <v>3 Sprint 2</v>
      </c>
      <c r="C45" s="1" t="str">
        <f>IF('Master Plan'!D84="","",'Master Plan'!D84)</f>
        <v>Engine design review</v>
      </c>
      <c r="D45" s="1" t="str">
        <f>IF('Master Plan'!F84="","",'Master Plan'!F84)</f>
        <v>Moses Masibo</v>
      </c>
      <c r="E45" s="11">
        <f>IF('Master Plan'!H84="","",'Master Plan'!H84)</f>
        <v>46323</v>
      </c>
      <c r="F45" s="11">
        <f>IF('Master Plan'!I84="","",'Master Plan'!I84)</f>
        <v>46324</v>
      </c>
    </row>
    <row r="46" spans="1:6" ht="23.85">
      <c r="A46" s="1" t="str">
        <f>IF('Master Plan'!A73="","",'Master Plan'!A73)</f>
        <v>AN-07</v>
      </c>
      <c r="B46" s="1" t="str">
        <f>IF('Master Plan'!B73="","",'Master Plan'!B73)</f>
        <v>3 Sprint 2</v>
      </c>
      <c r="C46" s="1" t="str">
        <f>IF('Master Plan'!D73="","",'Master Plan'!D73)</f>
        <v>F13 location variance check, recount and unidentified queues</v>
      </c>
      <c r="D46" s="1" t="str">
        <f>IF('Master Plan'!F73="","",'Master Plan'!F73)</f>
        <v>Andrew Tanui</v>
      </c>
      <c r="E46" s="11">
        <f>IF('Master Plan'!H73="","",'Master Plan'!H73)</f>
        <v>46324</v>
      </c>
      <c r="F46" s="11">
        <f>IF('Master Plan'!I73="","",'Master Plan'!I73)</f>
        <v>46325</v>
      </c>
    </row>
    <row r="47" spans="1:6" ht="23.85">
      <c r="A47" s="1" t="str">
        <f>IF('Master Plan'!A74="","",'Master Plan'!A74)</f>
        <v>AN-08</v>
      </c>
      <c r="B47" s="1" t="str">
        <f>IF('Master Plan'!B74="","",'Master Plan'!B74)</f>
        <v>3 Sprint 2</v>
      </c>
      <c r="C47" s="1" t="str">
        <f>IF('Master Plan'!D74="","",'Master Plan'!D74)</f>
        <v>Variance review, manual approvals, close count + F14</v>
      </c>
      <c r="D47" s="1" t="str">
        <f>IF('Master Plan'!F74="","",'Master Plan'!F74)</f>
        <v>Andrew Tanui</v>
      </c>
      <c r="E47" s="11">
        <f>IF('Master Plan'!H74="","",'Master Plan'!H74)</f>
        <v>46328</v>
      </c>
      <c r="F47" s="11">
        <f>IF('Master Plan'!I74="","",'Master Plan'!I74)</f>
        <v>46329</v>
      </c>
    </row>
    <row r="48" spans="1:6">
      <c r="A48" s="1" t="str">
        <f>IF('Master Plan'!A97="","",'Master Plan'!A97)</f>
        <v>PM-32</v>
      </c>
      <c r="B48" s="1" t="str">
        <f>IF('Master Plan'!B97="","",'Master Plan'!B97)</f>
        <v>4 SIT</v>
      </c>
      <c r="C48" s="1" t="str">
        <f>IF('Master Plan'!D97="","",'Master Plan'!D97)</f>
        <v>Sprint 2 review / SIT exit</v>
      </c>
      <c r="D48" s="1" t="str">
        <f>IF('Master Plan'!F97="","",'Master Plan'!F97)</f>
        <v>Daphne Okwaro</v>
      </c>
      <c r="E48" s="11">
        <f>IF('Master Plan'!H97="","",'Master Plan'!H97)</f>
        <v>46332</v>
      </c>
      <c r="F48" s="11">
        <f>IF('Master Plan'!I97="","",'Master Plan'!I97)</f>
        <v>46332</v>
      </c>
    </row>
    <row r="49" spans="1:6" ht="23.85">
      <c r="A49" s="1" t="str">
        <f>IF('Master Plan'!A122="","",'Master Plan'!A122)</f>
        <v>PM-61</v>
      </c>
      <c r="B49" s="1" t="str">
        <f>IF('Master Plan'!B122="","",'Master Plan'!B122)</f>
        <v>7 Cutover</v>
      </c>
      <c r="C49" s="1" t="str">
        <f>IF('Master Plan'!D122="","",'Master Plan'!D122)</f>
        <v>First live month-end count (November) in PROD</v>
      </c>
      <c r="D49" s="1" t="str">
        <f>IF('Master Plan'!F122="","",'Master Plan'!F122)</f>
        <v>Daphne Okwaro</v>
      </c>
      <c r="E49" s="11">
        <f>IF('Master Plan'!H122="","",'Master Plan'!H122)</f>
        <v>46357</v>
      </c>
      <c r="F49" s="11">
        <f>IF('Master Plan'!I122="","",'Master Plan'!I122)</f>
        <v>46359</v>
      </c>
    </row>
    <row r="50" spans="1:6" ht="23.85">
      <c r="A50" s="1" t="str">
        <f>IF('Master Plan'!A125="","",'Master Plan'!A125)</f>
        <v>PM-63</v>
      </c>
      <c r="B50" s="1" t="str">
        <f>IF('Master Plan'!B125="","",'Master Plan'!B125)</f>
        <v>8 Hypercare</v>
      </c>
      <c r="C50" s="1" t="str">
        <f>IF('Master Plan'!D125="","",'Master Plan'!D125)</f>
        <v>Hypercare: daily stand-up with NKG super users</v>
      </c>
      <c r="D50" s="1" t="str">
        <f>IF('Master Plan'!F125="","",'Master Plan'!F125)</f>
        <v>Daphne Okwaro</v>
      </c>
      <c r="E50" s="11">
        <f>IF('Master Plan'!H125="","",'Master Plan'!H125)</f>
        <v>46357</v>
      </c>
      <c r="F50" s="11">
        <f>IF('Master Plan'!I125="","",'Master Plan'!I125)</f>
        <v>46367</v>
      </c>
    </row>
    <row r="51" spans="1:6">
      <c r="A51" s="1" t="str">
        <f>IF('Master Plan'!A126="","",'Master Plan'!A126)</f>
        <v>MO-18</v>
      </c>
      <c r="B51" s="1" t="str">
        <f>IF('Master Plan'!B126="","",'Master Plan'!B126)</f>
        <v>8 Hypercare</v>
      </c>
      <c r="C51" s="1" t="str">
        <f>IF('Master Plan'!D126="","",'Master Plan'!D126)</f>
        <v>Knowledge transfer to NKG IT (2 × 2 h)</v>
      </c>
      <c r="D51" s="1" t="str">
        <f>IF('Master Plan'!F126="","",'Master Plan'!F126)</f>
        <v>Moses Masibo</v>
      </c>
      <c r="E51" s="11">
        <f>IF('Master Plan'!H126="","",'Master Plan'!H126)</f>
        <v>46363</v>
      </c>
      <c r="F51" s="11">
        <f>IF('Master Plan'!I126="","",'Master Plan'!I126)</f>
        <v>46365</v>
      </c>
    </row>
  </sheetData>
  <conditionalFormatting sqref="M5:M27">
    <cfRule type="cellIs" dxfId="23" priority="2" operator="equal">
      <formula>"Complete"</formula>
    </cfRule>
    <cfRule type="cellIs" dxfId="22" priority="3" operator="equal">
      <formula>"In progress"</formula>
    </cfRule>
    <cfRule type="cellIs" dxfId="21" priority="4" operator="equal">
      <formula>"Blocked"</formula>
    </cfRule>
    <cfRule type="cellIs" dxfId="20" priority="5" operator="equal">
      <formula>"At risk"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N45"/>
  <sheetViews>
    <sheetView showGridLines="0" zoomScaleNormal="100" workbookViewId="0">
      <pane xSplit="3" ySplit="4" topLeftCell="D5" activePane="bottomRight" state="frozen"/>
      <selection pane="bottomRight"/>
      <selection pane="bottomLeft" activeCell="A5" sqref="A5"/>
      <selection pane="topRight" activeCell="D1" sqref="D1"/>
    </sheetView>
  </sheetViews>
  <sheetFormatPr defaultColWidth="8.7109375" defaultRowHeight="15"/>
  <cols>
    <col min="1" max="1" width="8" customWidth="1"/>
    <col min="2" max="2" width="12" customWidth="1"/>
    <col min="3" max="3" width="34" customWidth="1"/>
    <col min="4" max="4" width="60" customWidth="1"/>
    <col min="5" max="5" width="20" customWidth="1"/>
    <col min="6" max="7" width="12" customWidth="1"/>
    <col min="8" max="8" width="8" customWidth="1"/>
    <col min="9" max="9" width="12" customWidth="1"/>
    <col min="10" max="10" width="24" customWidth="1"/>
    <col min="11" max="11" width="30" customWidth="1"/>
    <col min="12" max="12" width="9" customWidth="1"/>
    <col min="13" max="13" width="12" customWidth="1"/>
    <col min="14" max="14" width="10" customWidth="1"/>
  </cols>
  <sheetData>
    <row r="1" spans="1:14" ht="19.7">
      <c r="A1" s="2" t="s">
        <v>1060</v>
      </c>
    </row>
    <row r="2" spans="1:14">
      <c r="A2" s="3" t="s">
        <v>1061</v>
      </c>
    </row>
    <row r="4" spans="1:14" ht="30" customHeight="1">
      <c r="A4" s="9" t="s">
        <v>99</v>
      </c>
      <c r="B4" s="9" t="s">
        <v>51</v>
      </c>
      <c r="C4" s="9" t="s">
        <v>101</v>
      </c>
      <c r="D4" s="9" t="s">
        <v>102</v>
      </c>
      <c r="E4" s="9" t="s">
        <v>104</v>
      </c>
      <c r="F4" s="9" t="s">
        <v>105</v>
      </c>
      <c r="G4" s="9" t="s">
        <v>106</v>
      </c>
      <c r="H4" s="9" t="s">
        <v>107</v>
      </c>
      <c r="I4" s="9" t="s">
        <v>108</v>
      </c>
      <c r="J4" s="9" t="s">
        <v>1051</v>
      </c>
      <c r="K4" s="9" t="s">
        <v>1052</v>
      </c>
      <c r="L4" s="9" t="s">
        <v>111</v>
      </c>
      <c r="M4" s="9" t="s">
        <v>112</v>
      </c>
      <c r="N4" s="9" t="s">
        <v>114</v>
      </c>
    </row>
    <row r="5" spans="1:14" ht="23.85">
      <c r="A5" s="12" t="str">
        <f>IF('Master Plan'!A24="","",'Master Plan'!A24)</f>
        <v>NI-01</v>
      </c>
      <c r="B5" s="13" t="str">
        <f>IF('Master Plan'!B24="","",'Master Plan'!B24)</f>
        <v>1 Design</v>
      </c>
      <c r="C5" s="13" t="str">
        <f>IF('Master Plan'!D24="","",'Master Plan'!D24)</f>
        <v>Profile sample files from every feed</v>
      </c>
      <c r="D5" s="13" t="str">
        <f>IF('Master Plan'!E24="","",'Master Plan'!E24)</f>
        <v>For each file: row counts, keys, duplicates, blanks, grade/quality codes, units, date formats; compare to Appendix E templates.</v>
      </c>
      <c r="E5" s="13" t="str">
        <f>IF('Master Plan'!G24="","",'Master Plan'!G24)</f>
        <v>Denis Otieno</v>
      </c>
      <c r="F5" s="14">
        <f>IF('Master Plan'!H24="","",'Master Plan'!H24)</f>
        <v>46308</v>
      </c>
      <c r="G5" s="14">
        <f>IF('Master Plan'!I24="","",'Master Plan'!I24)</f>
        <v>46311</v>
      </c>
      <c r="H5" s="13">
        <f>IF('Master Plan'!J24="","",'Master Plan'!J24)</f>
        <v>4</v>
      </c>
      <c r="I5" s="13" t="str">
        <f>IF('Master Plan'!K24="","",'Master Plan'!K24)</f>
        <v>PM-15</v>
      </c>
      <c r="J5" s="13" t="str">
        <f>IF('Master Plan'!L24="","",'Master Plan'!L24)</f>
        <v>Profiling report</v>
      </c>
      <c r="K5" s="13" t="str">
        <f>IF('Master Plan'!M24="","",'Master Plan'!M24)</f>
        <v>Issues list sent to data owners</v>
      </c>
      <c r="L5" s="13" t="str">
        <f>IF('Master Plan'!N24="","",'Master Plan'!N24)</f>
        <v>7.2, App. E</v>
      </c>
      <c r="M5" s="13" t="str">
        <f>IF('Master Plan'!O24="","",'Master Plan'!O24)</f>
        <v>Not started</v>
      </c>
      <c r="N5" s="13" t="str">
        <f ca="1">IF('Master Plan'!Q24="","",'Master Plan'!Q24)</f>
        <v/>
      </c>
    </row>
    <row r="6" spans="1:14" ht="23.85">
      <c r="A6" s="5" t="str">
        <f>IF('Master Plan'!A39="","",'Master Plan'!A39)</f>
        <v>NI-02</v>
      </c>
      <c r="B6" s="1" t="str">
        <f>IF('Master Plan'!B39="","",'Master Plan'!B39)</f>
        <v>2 Sprint 1</v>
      </c>
      <c r="C6" s="1" t="str">
        <f>IF('Master Plan'!D39="","",'Master Plan'!D39)</f>
        <v>Mapping coverage analysis</v>
      </c>
      <c r="D6" s="1" t="str">
        <f>IF('Master Plan'!E39="","",'Master Plan'!E39)</f>
        <v>Outturn → grade → secondary → primary basket; list unmapped and conflicting outturns for Trade/QC with eq60 impact.</v>
      </c>
      <c r="E6" s="1" t="str">
        <f>IF('Master Plan'!G39="","",'Master Plan'!G39)</f>
        <v>Denis Otieno</v>
      </c>
      <c r="F6" s="11">
        <f>IF('Master Plan'!H39="","",'Master Plan'!H39)</f>
        <v>46310</v>
      </c>
      <c r="G6" s="11">
        <f>IF('Master Plan'!I39="","",'Master Plan'!I39)</f>
        <v>46316</v>
      </c>
      <c r="H6" s="1">
        <f>IF('Master Plan'!J39="","",'Master Plan'!J39)</f>
        <v>4</v>
      </c>
      <c r="I6" s="1" t="str">
        <f>IF('Master Plan'!K39="","",'Master Plan'!K39)</f>
        <v>NI-01</v>
      </c>
      <c r="J6" s="1" t="str">
        <f>IF('Master Plan'!L39="","",'Master Plan'!L39)</f>
        <v>Coverage report + unmapped list</v>
      </c>
      <c r="K6" s="1" t="str">
        <f>IF('Master Plan'!M39="","",'Master Plan'!M39)</f>
        <v>List sent to Trade and QC</v>
      </c>
      <c r="L6" s="1" t="str">
        <f>IF('Master Plan'!N39="","",'Master Plan'!N39)</f>
        <v>8.2, 11.2</v>
      </c>
      <c r="M6" s="1" t="str">
        <f>IF('Master Plan'!O39="","",'Master Plan'!O39)</f>
        <v>Not started</v>
      </c>
      <c r="N6" s="1" t="str">
        <f ca="1">IF('Master Plan'!Q39="","",'Master Plan'!Q39)</f>
        <v/>
      </c>
    </row>
    <row r="7" spans="1:14" ht="23.85">
      <c r="A7" s="12" t="str">
        <f>IF('Master Plan'!A40="","",'Master Plan'!A40)</f>
        <v>NI-03</v>
      </c>
      <c r="B7" s="13" t="str">
        <f>IF('Master Plan'!B40="","",'Master Plan'!B40)</f>
        <v>2 Sprint 1</v>
      </c>
      <c r="C7" s="13" t="str">
        <f>IF('Master Plan'!D40="","",'Master Plan'!D40)</f>
        <v>Build test data sets</v>
      </c>
      <c r="D7" s="13" t="str">
        <f>IF('Master Plan'!E40="","",'Master Plan'!E40)</f>
        <v>Scenarios for every RI code and EX01–EX20: found-elsewhere, pockets, lights, timing, third-party, SNI, provisional, wrong basket, roll-over.</v>
      </c>
      <c r="E7" s="13" t="str">
        <f>IF('Master Plan'!G40="","",'Master Plan'!G40)</f>
        <v>Frankie Omasaja</v>
      </c>
      <c r="F7" s="14">
        <f>IF('Master Plan'!H40="","",'Master Plan'!H40)</f>
        <v>46314</v>
      </c>
      <c r="G7" s="14">
        <f>IF('Master Plan'!I40="","",'Master Plan'!I40)</f>
        <v>46318</v>
      </c>
      <c r="H7" s="13">
        <f>IF('Master Plan'!J40="","",'Master Plan'!J40)</f>
        <v>4</v>
      </c>
      <c r="I7" s="13" t="str">
        <f>IF('Master Plan'!K40="","",'Master Plan'!K40)</f>
        <v>DO-02</v>
      </c>
      <c r="J7" s="13" t="str">
        <f>IF('Master Plan'!L40="","",'Master Plan'!L40)</f>
        <v>Test data pack in Git /test</v>
      </c>
      <c r="K7" s="13" t="str">
        <f>IF('Master Plan'!M40="","",'Master Plan'!M40)</f>
        <v>Each scenario has expected result</v>
      </c>
      <c r="L7" s="13" t="str">
        <f>IF('Master Plan'!N40="","",'Master Plan'!N40)</f>
        <v>8.4, 8.5, 18</v>
      </c>
      <c r="M7" s="13" t="str">
        <f>IF('Master Plan'!O40="","",'Master Plan'!O40)</f>
        <v>Not started</v>
      </c>
      <c r="N7" s="13" t="str">
        <f ca="1">IF('Master Plan'!Q40="","",'Master Plan'!Q40)</f>
        <v/>
      </c>
    </row>
    <row r="8" spans="1:14" ht="23.85">
      <c r="A8" s="5" t="str">
        <f>IF('Master Plan'!A61="","",'Master Plan'!A61)</f>
        <v>NI-04</v>
      </c>
      <c r="B8" s="1" t="str">
        <f>IF('Master Plan'!B61="","",'Master Plan'!B61)</f>
        <v>3 Sprint 2</v>
      </c>
      <c r="C8" s="1" t="str">
        <f>IF('Master Plan'!D61="","",'Master Plan'!D61)</f>
        <v>Power BI model</v>
      </c>
      <c r="D8" s="1" t="str">
        <f>IF('Master Plan'!E61="","",'Master Plan'!E61)</f>
        <v>Dataverse connection; FactStock, FactRecon, FactException, FactMovement; dims; Import + DirectQuery split.</v>
      </c>
      <c r="E8" s="1" t="str">
        <f>IF('Master Plan'!G61="","",'Master Plan'!G61)</f>
        <v/>
      </c>
      <c r="F8" s="11">
        <f>IF('Master Plan'!H61="","",'Master Plan'!H61)</f>
        <v>46321</v>
      </c>
      <c r="G8" s="11">
        <f>IF('Master Plan'!I61="","",'Master Plan'!I61)</f>
        <v>46323</v>
      </c>
      <c r="H8" s="1">
        <f>IF('Master Plan'!J61="","",'Master Plan'!J61)</f>
        <v>3</v>
      </c>
      <c r="I8" s="1" t="str">
        <f>IF('Master Plan'!K61="","",'Master Plan'!K61)</f>
        <v>DO-03</v>
      </c>
      <c r="J8" s="1" t="str">
        <f>IF('Master Plan'!L61="","",'Master Plan'!L61)</f>
        <v>PBIP in Git</v>
      </c>
      <c r="K8" s="1" t="str">
        <f>IF('Master Plan'!M61="","",'Master Plan'!M61)</f>
        <v>Model refreshes in DEV workspace</v>
      </c>
      <c r="L8" s="1" t="str">
        <f>IF('Master Plan'!N61="","",'Master Plan'!N61)</f>
        <v>13.1</v>
      </c>
      <c r="M8" s="1" t="str">
        <f>IF('Master Plan'!O61="","",'Master Plan'!O61)</f>
        <v>Not started</v>
      </c>
      <c r="N8" s="1" t="str">
        <f ca="1">IF('Master Plan'!Q61="","",'Master Plan'!Q61)</f>
        <v/>
      </c>
    </row>
    <row r="9" spans="1:14" ht="23.85">
      <c r="A9" s="12" t="str">
        <f>IF('Master Plan'!A62="","",'Master Plan'!A62)</f>
        <v>NI-05</v>
      </c>
      <c r="B9" s="13" t="str">
        <f>IF('Master Plan'!B62="","",'Master Plan'!B62)</f>
        <v>3 Sprint 2</v>
      </c>
      <c r="C9" s="13" t="str">
        <f>IF('Master Plan'!D62="","",'Master Plan'!D62)</f>
        <v>DAX measures</v>
      </c>
      <c r="D9" s="13" t="str">
        <f>IF('Master Plan'!E62="","",'Master Plan'!E62)</f>
        <v>Eq60 by source, Raw Diff, RI Total, Corrections, Residual, Residual OK, Count Accuracy %, Open/Overdue exceptions.</v>
      </c>
      <c r="E9" s="13" t="str">
        <f>IF('Master Plan'!G62="","",'Master Plan'!G62)</f>
        <v/>
      </c>
      <c r="F9" s="14">
        <f>IF('Master Plan'!H62="","",'Master Plan'!H62)</f>
        <v>46323</v>
      </c>
      <c r="G9" s="14">
        <f>IF('Master Plan'!I62="","",'Master Plan'!I62)</f>
        <v>46324</v>
      </c>
      <c r="H9" s="13">
        <f>IF('Master Plan'!J62="","",'Master Plan'!J62)</f>
        <v>2</v>
      </c>
      <c r="I9" s="13" t="str">
        <f>IF('Master Plan'!K62="","",'Master Plan'!K62)</f>
        <v>NI-04</v>
      </c>
      <c r="J9" s="13" t="str">
        <f>IF('Master Plan'!L62="","",'Master Plan'!L62)</f>
        <v>Measures</v>
      </c>
      <c r="K9" s="13" t="str">
        <f>IF('Master Plan'!M62="","",'Master Plan'!M62)</f>
        <v>Measures match hand-calculated test values</v>
      </c>
      <c r="L9" s="13" t="str">
        <f>IF('Master Plan'!N62="","",'Master Plan'!N62)</f>
        <v>13.2</v>
      </c>
      <c r="M9" s="13" t="str">
        <f>IF('Master Plan'!O62="","",'Master Plan'!O62)</f>
        <v>Not started</v>
      </c>
      <c r="N9" s="13" t="str">
        <f ca="1">IF('Master Plan'!Q62="","",'Master Plan'!Q62)</f>
        <v/>
      </c>
    </row>
    <row r="10" spans="1:14" ht="23.85">
      <c r="A10" s="5" t="str">
        <f>IF('Master Plan'!A63="","",'Master Plan'!A63)</f>
        <v>NI-06</v>
      </c>
      <c r="B10" s="1" t="str">
        <f>IF('Master Plan'!B63="","",'Master Plan'!B63)</f>
        <v>3 Sprint 2</v>
      </c>
      <c r="C10" s="1" t="str">
        <f>IF('Master Plan'!D63="","",'Master Plan'!D63)</f>
        <v>Eight report pages</v>
      </c>
      <c r="D10" s="1" t="str">
        <f>IF('Master Plan'!E63="","",'Master Plan'!E63)</f>
        <v>Executive, Stock position, Reconciliation waterfall, Exceptions, Count performance, Provisional &amp; SNI, Third parties, Data quality.</v>
      </c>
      <c r="E10" s="1" t="str">
        <f>IF('Master Plan'!G63="","",'Master Plan'!G63)</f>
        <v/>
      </c>
      <c r="F10" s="11">
        <f>IF('Master Plan'!H63="","",'Master Plan'!H63)</f>
        <v>46324</v>
      </c>
      <c r="G10" s="11">
        <f>IF('Master Plan'!I63="","",'Master Plan'!I63)</f>
        <v>46330</v>
      </c>
      <c r="H10" s="1">
        <f>IF('Master Plan'!J63="","",'Master Plan'!J63)</f>
        <v>5</v>
      </c>
      <c r="I10" s="1" t="str">
        <f>IF('Master Plan'!K63="","",'Master Plan'!K63)</f>
        <v>NI-05</v>
      </c>
      <c r="J10" s="1" t="str">
        <f>IF('Master Plan'!L63="","",'Master Plan'!L63)</f>
        <v>Report</v>
      </c>
      <c r="K10" s="1" t="str">
        <f>IF('Master Plan'!M63="","",'Master Plan'!M63)</f>
        <v>Matches mockup 08; reviewed by PM</v>
      </c>
      <c r="L10" s="1" t="str">
        <f>IF('Master Plan'!N63="","",'Master Plan'!N63)</f>
        <v>13.3</v>
      </c>
      <c r="M10" s="1" t="str">
        <f>IF('Master Plan'!O63="","",'Master Plan'!O63)</f>
        <v>Not started</v>
      </c>
      <c r="N10" s="1" t="str">
        <f ca="1">IF('Master Plan'!Q63="","",'Master Plan'!Q63)</f>
        <v/>
      </c>
    </row>
    <row r="11" spans="1:14" ht="23.85">
      <c r="A11" s="12" t="str">
        <f>IF('Master Plan'!A65="","",'Master Plan'!A65)</f>
        <v>NI-08</v>
      </c>
      <c r="B11" s="13" t="str">
        <f>IF('Master Plan'!B65="","",'Master Plan'!B65)</f>
        <v>3 Sprint 2</v>
      </c>
      <c r="C11" s="13" t="str">
        <f>IF('Master Plan'!D65="","",'Master Plan'!D65)</f>
        <v>Month-end pack template (F32)</v>
      </c>
      <c r="D11" s="13" t="str">
        <f>IF('Master Plan'!E65="","",'Master Plan'!E65)</f>
        <v>Paginated report / Word template: residuals, waterfall, exceptions, corrections, sign-off history.</v>
      </c>
      <c r="E11" s="13" t="str">
        <f>IF('Master Plan'!G65="","",'Master Plan'!G65)</f>
        <v>Jones Alukwe</v>
      </c>
      <c r="F11" s="14">
        <f>IF('Master Plan'!H65="","",'Master Plan'!H65)</f>
        <v>46329</v>
      </c>
      <c r="G11" s="14">
        <f>IF('Master Plan'!I65="","",'Master Plan'!I65)</f>
        <v>46332</v>
      </c>
      <c r="H11" s="13">
        <f>IF('Master Plan'!J65="","",'Master Plan'!J65)</f>
        <v>4</v>
      </c>
      <c r="I11" s="13" t="str">
        <f>IF('Master Plan'!K65="","",'Master Plan'!K65)</f>
        <v>NI-06</v>
      </c>
      <c r="J11" s="13" t="str">
        <f>IF('Master Plan'!L65="","",'Master Plan'!L65)</f>
        <v>Pack template</v>
      </c>
      <c r="K11" s="13" t="str">
        <f>IF('Master Plan'!M65="","",'Master Plan'!M65)</f>
        <v>PDF generated from test period</v>
      </c>
      <c r="L11" s="13" t="str">
        <f>IF('Master Plan'!N65="","",'Master Plan'!N65)</f>
        <v>12.2</v>
      </c>
      <c r="M11" s="13" t="str">
        <f>IF('Master Plan'!O65="","",'Master Plan'!O65)</f>
        <v>Not started</v>
      </c>
      <c r="N11" s="13" t="str">
        <f ca="1">IF('Master Plan'!Q65="","",'Master Plan'!Q65)</f>
        <v/>
      </c>
    </row>
    <row r="12" spans="1:14" ht="23.85">
      <c r="A12" s="5" t="str">
        <f>IF('Master Plan'!A64="","",'Master Plan'!A64)</f>
        <v>NI-07</v>
      </c>
      <c r="B12" s="1" t="str">
        <f>IF('Master Plan'!B64="","",'Master Plan'!B64)</f>
        <v>3 Sprint 2</v>
      </c>
      <c r="C12" s="1" t="str">
        <f>IF('Master Plan'!D64="","",'Master Plan'!D64)</f>
        <v>RLS, workspace app, embed</v>
      </c>
      <c r="D12" s="1" t="str">
        <f>IF('Master Plan'!E64="","",'Master Plan'!E64)</f>
        <v>RLS by department/warehouse; publish workspace app "NKG EA Stock Control"; embed in Control Centre with Jones.</v>
      </c>
      <c r="E12" s="1" t="str">
        <f>IF('Master Plan'!G64="","",'Master Plan'!G64)</f>
        <v>Jones Alukwe</v>
      </c>
      <c r="F12" s="11">
        <f>IF('Master Plan'!H64="","",'Master Plan'!H64)</f>
        <v>46330</v>
      </c>
      <c r="G12" s="11">
        <f>IF('Master Plan'!I64="","",'Master Plan'!I64)</f>
        <v>46331</v>
      </c>
      <c r="H12" s="1">
        <f>IF('Master Plan'!J64="","",'Master Plan'!J64)</f>
        <v>2</v>
      </c>
      <c r="I12" s="1" t="str">
        <f>IF('Master Plan'!K64="","",'Master Plan'!K64)</f>
        <v>NI-06</v>
      </c>
      <c r="J12" s="1" t="str">
        <f>IF('Master Plan'!L64="","",'Master Plan'!L64)</f>
        <v>Workspace app</v>
      </c>
      <c r="K12" s="1" t="str">
        <f>IF('Master Plan'!M64="","",'Master Plan'!M64)</f>
        <v>Role test: Logistics sees only Logistics pages</v>
      </c>
      <c r="L12" s="1" t="str">
        <f>IF('Master Plan'!N64="","",'Master Plan'!N64)</f>
        <v>13.3</v>
      </c>
      <c r="M12" s="1" t="str">
        <f>IF('Master Plan'!O64="","",'Master Plan'!O64)</f>
        <v>Not started</v>
      </c>
      <c r="N12" s="1" t="str">
        <f ca="1">IF('Master Plan'!Q64="","",'Master Plan'!Q64)</f>
        <v/>
      </c>
    </row>
    <row r="13" spans="1:14" ht="23.85">
      <c r="A13" s="12" t="str">
        <f>IF('Master Plan'!A93="","",'Master Plan'!A93)</f>
        <v>NI-09</v>
      </c>
      <c r="B13" s="13" t="str">
        <f>IF('Master Plan'!B93="","",'Master Plan'!B93)</f>
        <v>4 SIT</v>
      </c>
      <c r="C13" s="13" t="str">
        <f>IF('Master Plan'!D93="","",'Master Plan'!D93)</f>
        <v>Parallel-run comparison report</v>
      </c>
      <c r="D13" s="13" t="str">
        <f>IF('Master Plan'!E93="","",'Master Plan'!E93)</f>
        <v>Compare manual vs new solution: variances found, explanations, time taken (T9).</v>
      </c>
      <c r="E13" s="13" t="str">
        <f>IF('Master Plan'!G93="","",'Master Plan'!G93)</f>
        <v>Daphne Okwaro</v>
      </c>
      <c r="F13" s="14">
        <f>IF('Master Plan'!H93="","",'Master Plan'!H93)</f>
        <v>46330</v>
      </c>
      <c r="G13" s="14">
        <f>IF('Master Plan'!I93="","",'Master Plan'!I93)</f>
        <v>46332</v>
      </c>
      <c r="H13" s="13">
        <f>IF('Master Plan'!J93="","",'Master Plan'!J93)</f>
        <v>3</v>
      </c>
      <c r="I13" s="13" t="str">
        <f>IF('Master Plan'!K93="","",'Master Plan'!K93)</f>
        <v>DO-16</v>
      </c>
      <c r="J13" s="13" t="str">
        <f>IF('Master Plan'!L93="","",'Master Plan'!L93)</f>
        <v>Comparison report</v>
      </c>
      <c r="K13" s="13" t="str">
        <f>IF('Master Plan'!M93="","",'Master Plan'!M93)</f>
        <v>Shared with NKG sponsors</v>
      </c>
      <c r="L13" s="13" t="str">
        <f>IF('Master Plan'!N93="","",'Master Plan'!N93)</f>
        <v>18.2 T9</v>
      </c>
      <c r="M13" s="13" t="str">
        <f>IF('Master Plan'!O93="","",'Master Plan'!O93)</f>
        <v>Not started</v>
      </c>
      <c r="N13" s="13" t="str">
        <f ca="1">IF('Master Plan'!Q93="","",'Master Plan'!Q93)</f>
        <v/>
      </c>
    </row>
    <row r="14" spans="1:14">
      <c r="A14" s="5" t="str">
        <f>IF('Master Plan'!A95="","",'Master Plan'!A95)</f>
        <v>NI-10</v>
      </c>
      <c r="B14" s="1" t="str">
        <f>IF('Master Plan'!B95="","",'Master Plan'!B95)</f>
        <v>4 SIT</v>
      </c>
      <c r="C14" s="1" t="str">
        <f>IF('Master Plan'!D95="","",'Master Plan'!D95)</f>
        <v>T7 report vs source tie-out</v>
      </c>
      <c r="D14" s="1" t="str">
        <f>IF('Master Plan'!E95="","",'Master Plan'!E95)</f>
        <v>Every Power BI total vs Dataverse query total.</v>
      </c>
      <c r="E14" s="1" t="str">
        <f>IF('Master Plan'!G95="","",'Master Plan'!G95)</f>
        <v/>
      </c>
      <c r="F14" s="11">
        <f>IF('Master Plan'!H95="","",'Master Plan'!H95)</f>
        <v>46331</v>
      </c>
      <c r="G14" s="11">
        <f>IF('Master Plan'!I95="","",'Master Plan'!I95)</f>
        <v>46332</v>
      </c>
      <c r="H14" s="1">
        <f>IF('Master Plan'!J95="","",'Master Plan'!J95)</f>
        <v>2</v>
      </c>
      <c r="I14" s="1" t="str">
        <f>IF('Master Plan'!K95="","",'Master Plan'!K95)</f>
        <v>NI-06</v>
      </c>
      <c r="J14" s="1" t="str">
        <f>IF('Master Plan'!L95="","",'Master Plan'!L95)</f>
        <v>T7 evidence</v>
      </c>
      <c r="K14" s="1" t="str">
        <f>IF('Master Plan'!M95="","",'Master Plan'!M95)</f>
        <v>0 difference</v>
      </c>
      <c r="L14" s="1" t="str">
        <f>IF('Master Plan'!N95="","",'Master Plan'!N95)</f>
        <v>18.2</v>
      </c>
      <c r="M14" s="1" t="str">
        <f>IF('Master Plan'!O95="","",'Master Plan'!O95)</f>
        <v>Not started</v>
      </c>
      <c r="N14" s="1" t="str">
        <f ca="1">IF('Master Plan'!Q95="","",'Master Plan'!Q95)</f>
        <v/>
      </c>
    </row>
    <row r="15" spans="1:14">
      <c r="A15" s="12" t="str">
        <f>IF('Master Plan'!A105="","",'Master Plan'!A105)</f>
        <v>NI-11</v>
      </c>
      <c r="B15" s="13" t="str">
        <f>IF('Master Plan'!B105="","",'Master Plan'!B105)</f>
        <v>5 Training</v>
      </c>
      <c r="C15" s="13" t="str">
        <f>IF('Master Plan'!D105="","",'Master Plan'!D105)</f>
        <v>Data dictionary</v>
      </c>
      <c r="D15" s="13" t="str">
        <f>IF('Master Plan'!E105="","",'Master Plan'!E105)</f>
        <v>Generate from Dataverse; add business definitions.</v>
      </c>
      <c r="E15" s="13" t="str">
        <f>IF('Master Plan'!G105="","",'Master Plan'!G105)</f>
        <v/>
      </c>
      <c r="F15" s="14">
        <f>IF('Master Plan'!H105="","",'Master Plan'!H105)</f>
        <v>46335</v>
      </c>
      <c r="G15" s="14">
        <f>IF('Master Plan'!I105="","",'Master Plan'!I105)</f>
        <v>46338</v>
      </c>
      <c r="H15" s="13">
        <f>IF('Master Plan'!J105="","",'Master Plan'!J105)</f>
        <v>4</v>
      </c>
      <c r="I15" s="13" t="str">
        <f>IF('Master Plan'!K105="","",'Master Plan'!K105)</f>
        <v>DO-03</v>
      </c>
      <c r="J15" s="13" t="str">
        <f>IF('Master Plan'!L105="","",'Master Plan'!L105)</f>
        <v>Data dictionary</v>
      </c>
      <c r="K15" s="13" t="str">
        <f>IF('Master Plan'!M105="","",'Master Plan'!M105)</f>
        <v>Published in STK-Knowledge</v>
      </c>
      <c r="L15" s="13" t="str">
        <f>IF('Master Plan'!N105="","",'Master Plan'!N105)</f>
        <v>21</v>
      </c>
      <c r="M15" s="13" t="str">
        <f>IF('Master Plan'!O105="","",'Master Plan'!O105)</f>
        <v>Not started</v>
      </c>
      <c r="N15" s="13" t="str">
        <f ca="1">IF('Master Plan'!Q105="","",'Master Plan'!Q105)</f>
        <v/>
      </c>
    </row>
    <row r="16" spans="1:14">
      <c r="A16" s="5" t="str">
        <f>IF('Master Plan'!A113="","",'Master Plan'!A113)</f>
        <v>NI-12</v>
      </c>
      <c r="B16" s="1" t="str">
        <f>IF('Master Plan'!B113="","",'Master Plan'!B113)</f>
        <v>6 UAT</v>
      </c>
      <c r="C16" s="1" t="str">
        <f>IF('Master Plan'!D113="","",'Master Plan'!D113)</f>
        <v>Fix UAT defects — Power BI and pack</v>
      </c>
      <c r="D16" s="1" t="str">
        <f>IF('Master Plan'!E113="","",'Master Plan'!E113)</f>
        <v>Fix and republish.</v>
      </c>
      <c r="E16" s="1" t="str">
        <f>IF('Master Plan'!G113="","",'Master Plan'!G113)</f>
        <v/>
      </c>
      <c r="F16" s="11">
        <f>IF('Master Plan'!H113="","",'Master Plan'!H113)</f>
        <v>46342</v>
      </c>
      <c r="G16" s="11">
        <f>IF('Master Plan'!I113="","",'Master Plan'!I113)</f>
        <v>46352</v>
      </c>
      <c r="H16" s="1">
        <f>IF('Master Plan'!J113="","",'Master Plan'!J113)</f>
        <v>9</v>
      </c>
      <c r="I16" s="1" t="str">
        <f>IF('Master Plan'!K113="","",'Master Plan'!K113)</f>
        <v>PM-50</v>
      </c>
      <c r="J16" s="1" t="str">
        <f>IF('Master Plan'!L113="","",'Master Plan'!L113)</f>
        <v>Fixes</v>
      </c>
      <c r="K16" s="1" t="str">
        <f>IF('Master Plan'!M113="","",'Master Plan'!M113)</f>
        <v>No open Sev 1/2</v>
      </c>
      <c r="L16" s="1" t="str">
        <f>IF('Master Plan'!N113="","",'Master Plan'!N113)</f>
        <v>—</v>
      </c>
      <c r="M16" s="1" t="str">
        <f>IF('Master Plan'!O113="","",'Master Plan'!O113)</f>
        <v>Not started</v>
      </c>
      <c r="N16" s="1" t="str">
        <f ca="1">IF('Master Plan'!Q113="","",'Master Plan'!Q113)</f>
        <v/>
      </c>
    </row>
    <row r="18" spans="1:6">
      <c r="A18" s="4" t="s">
        <v>1062</v>
      </c>
    </row>
    <row r="19" spans="1:6" ht="30" customHeight="1">
      <c r="A19" s="9" t="s">
        <v>99</v>
      </c>
      <c r="B19" s="9" t="s">
        <v>51</v>
      </c>
      <c r="C19" s="9" t="s">
        <v>101</v>
      </c>
      <c r="D19" s="9" t="s">
        <v>103</v>
      </c>
      <c r="E19" s="9" t="s">
        <v>105</v>
      </c>
      <c r="F19" s="9" t="s">
        <v>106</v>
      </c>
    </row>
    <row r="20" spans="1:6" ht="23.85">
      <c r="A20" s="1" t="str">
        <f>IF('Master Plan'!A5="","",'Master Plan'!A5)</f>
        <v>PM-01</v>
      </c>
      <c r="B20" s="1" t="str">
        <f>IF('Master Plan'!B5="","",'Master Plan'!B5)</f>
        <v>0 Discovery</v>
      </c>
      <c r="C20" s="1" t="str">
        <f>IF('Master Plan'!D5="","",'Master Plan'!D5)</f>
        <v>Project kick-off and warehouse walk-through</v>
      </c>
      <c r="D20" s="1" t="str">
        <f>IF('Master Plan'!F5="","",'Master Plan'!F5)</f>
        <v>Daphne Okwaro</v>
      </c>
      <c r="E20" s="11">
        <f>IF('Master Plan'!H5="","",'Master Plan'!H5)</f>
        <v>46296</v>
      </c>
      <c r="F20" s="11">
        <f>IF('Master Plan'!I5="","",'Master Plan'!I5)</f>
        <v>46296</v>
      </c>
    </row>
    <row r="21" spans="1:6" ht="23.85">
      <c r="A21" s="1" t="str">
        <f>IF('Master Plan'!A6="","",'Master Plan'!A6)</f>
        <v>PM-02</v>
      </c>
      <c r="B21" s="1" t="str">
        <f>IF('Master Plan'!B6="","",'Master Plan'!B6)</f>
        <v>0 Discovery</v>
      </c>
      <c r="C21" s="1" t="str">
        <f>IF('Master Plan'!D6="","",'Master Plan'!D6)</f>
        <v>Discovery sessions: Finance, Warehouse &amp; Operations, Trade &amp; QC, Logistics</v>
      </c>
      <c r="D21" s="1" t="str">
        <f>IF('Master Plan'!F6="","",'Master Plan'!F6)</f>
        <v>Daphne Okwaro</v>
      </c>
      <c r="E21" s="11">
        <f>IF('Master Plan'!H6="","",'Master Plan'!H6)</f>
        <v>46297</v>
      </c>
      <c r="F21" s="11">
        <f>IF('Master Plan'!I6="","",'Master Plan'!I6)</f>
        <v>46303</v>
      </c>
    </row>
    <row r="22" spans="1:6">
      <c r="A22" s="1" t="str">
        <f>IF('Master Plan'!A7="","",'Master Plan'!A7)</f>
        <v>PM-03</v>
      </c>
      <c r="B22" s="1" t="str">
        <f>IF('Master Plan'!B7="","",'Master Plan'!B7)</f>
        <v>0 Discovery</v>
      </c>
      <c r="C22" s="1" t="str">
        <f>IF('Master Plan'!D7="","",'Master Plan'!D7)</f>
        <v>BRD V1.1 (red = items to confirm)</v>
      </c>
      <c r="D22" s="1" t="str">
        <f>IF('Master Plan'!F7="","",'Master Plan'!F7)</f>
        <v>Daphne Okwaro</v>
      </c>
      <c r="E22" s="11">
        <f>IF('Master Plan'!H7="","",'Master Plan'!H7)</f>
        <v>46300</v>
      </c>
      <c r="F22" s="11">
        <f>IF('Master Plan'!I7="","",'Master Plan'!I7)</f>
        <v>46304</v>
      </c>
    </row>
    <row r="23" spans="1:6">
      <c r="A23" s="1" t="str">
        <f>IF('Master Plan'!A32="","",'Master Plan'!A32)</f>
        <v>PM-20</v>
      </c>
      <c r="B23" s="1" t="str">
        <f>IF('Master Plan'!B32="","",'Master Plan'!B32)</f>
        <v>2 Sprint 1</v>
      </c>
      <c r="C23" s="1" t="str">
        <f>IF('Master Plan'!D32="","",'Master Plan'!D32)</f>
        <v>Sprint 1 planning</v>
      </c>
      <c r="D23" s="1" t="str">
        <f>IF('Master Plan'!F32="","",'Master Plan'!F32)</f>
        <v>Daphne Okwaro</v>
      </c>
      <c r="E23" s="11">
        <f>IF('Master Plan'!H32="","",'Master Plan'!H32)</f>
        <v>46307</v>
      </c>
      <c r="F23" s="11">
        <f>IF('Master Plan'!I32="","",'Master Plan'!I32)</f>
        <v>46307</v>
      </c>
    </row>
    <row r="24" spans="1:6" ht="23.85">
      <c r="A24" s="1" t="str">
        <f>IF('Master Plan'!A26="","",'Master Plan'!A26)</f>
        <v>DO-02</v>
      </c>
      <c r="B24" s="1" t="str">
        <f>IF('Master Plan'!B26="","",'Master Plan'!B26)</f>
        <v>1 Design</v>
      </c>
      <c r="C24" s="1" t="str">
        <f>IF('Master Plan'!D26="","",'Master Plan'!D26)</f>
        <v>Finalise intake file templates and column mappings</v>
      </c>
      <c r="D24" s="1" t="str">
        <f>IF('Master Plan'!F26="","",'Master Plan'!F26)</f>
        <v>Denis Otieno</v>
      </c>
      <c r="E24" s="11">
        <f>IF('Master Plan'!H26="","",'Master Plan'!H26)</f>
        <v>46309</v>
      </c>
      <c r="F24" s="11">
        <f>IF('Master Plan'!I26="","",'Master Plan'!I26)</f>
        <v>46311</v>
      </c>
    </row>
    <row r="25" spans="1:6">
      <c r="A25" s="1" t="str">
        <f>IF('Master Plan'!A51="","",'Master Plan'!A51)</f>
        <v>FR-02</v>
      </c>
      <c r="B25" s="1" t="str">
        <f>IF('Master Plan'!B51="","",'Master Plan'!B51)</f>
        <v>2 Sprint 1</v>
      </c>
      <c r="C25" s="1" t="str">
        <f>IF('Master Plan'!D51="","",'Master Plan'!D51)</f>
        <v>Write SIT scripts</v>
      </c>
      <c r="D25" s="1" t="str">
        <f>IF('Master Plan'!F51="","",'Master Plan'!F51)</f>
        <v>Frankie Omasaja</v>
      </c>
      <c r="E25" s="11">
        <f>IF('Master Plan'!H51="","",'Master Plan'!H51)</f>
        <v>46314</v>
      </c>
      <c r="F25" s="11">
        <f>IF('Master Plan'!I51="","",'Master Plan'!I51)</f>
        <v>46318</v>
      </c>
    </row>
    <row r="26" spans="1:6">
      <c r="A26" s="1" t="str">
        <f>IF('Master Plan'!A36="","",'Master Plan'!A36)</f>
        <v>DO-05</v>
      </c>
      <c r="B26" s="1" t="str">
        <f>IF('Master Plan'!B36="","",'Master Plan'!B36)</f>
        <v>2 Sprint 1</v>
      </c>
      <c r="C26" s="1" t="str">
        <f>IF('Master Plan'!D36="","",'Master Plan'!D36)</f>
        <v>F02 Validate file (V1–V7)</v>
      </c>
      <c r="D26" s="1" t="str">
        <f>IF('Master Plan'!F36="","",'Master Plan'!F36)</f>
        <v>Denis Otieno</v>
      </c>
      <c r="E26" s="11">
        <f>IF('Master Plan'!H36="","",'Master Plan'!H36)</f>
        <v>46316</v>
      </c>
      <c r="F26" s="11">
        <f>IF('Master Plan'!I36="","",'Master Plan'!I36)</f>
        <v>46318</v>
      </c>
    </row>
    <row r="27" spans="1:6">
      <c r="A27" s="1" t="str">
        <f>IF('Master Plan'!A38="","",'Master Plan'!A38)</f>
        <v>DO-07</v>
      </c>
      <c r="B27" s="1" t="str">
        <f>IF('Master Plan'!B38="","",'Master Plan'!B38)</f>
        <v>2 Sprint 1</v>
      </c>
      <c r="C27" s="1" t="str">
        <f>IF('Master Plan'!D38="","",'Master Plan'!D38)</f>
        <v>Master-data migration</v>
      </c>
      <c r="D27" s="1" t="str">
        <f>IF('Master Plan'!F38="","",'Master Plan'!F38)</f>
        <v>Denis Otieno</v>
      </c>
      <c r="E27" s="11">
        <f>IF('Master Plan'!H38="","",'Master Plan'!H38)</f>
        <v>46316</v>
      </c>
      <c r="F27" s="11">
        <f>IF('Master Plan'!I38="","",'Master Plan'!I38)</f>
        <v>46318</v>
      </c>
    </row>
    <row r="28" spans="1:6">
      <c r="A28" s="1" t="str">
        <f>IF('Master Plan'!A48="","",'Master Plan'!A48)</f>
        <v>JO-03</v>
      </c>
      <c r="B28" s="1" t="str">
        <f>IF('Master Plan'!B48="","",'Master Plan'!B48)</f>
        <v>2 Sprint 1</v>
      </c>
      <c r="C28" s="1" t="str">
        <f>IF('Master Plan'!D48="","",'Master Plan'!D48)</f>
        <v>Mapping BPF + F22 + versioning</v>
      </c>
      <c r="D28" s="1" t="str">
        <f>IF('Master Plan'!F48="","",'Master Plan'!F48)</f>
        <v>Jones Alukwe</v>
      </c>
      <c r="E28" s="11">
        <f>IF('Master Plan'!H48="","",'Master Plan'!H48)</f>
        <v>46316</v>
      </c>
      <c r="F28" s="11">
        <f>IF('Master Plan'!I48="","",'Master Plan'!I48)</f>
        <v>46318</v>
      </c>
    </row>
    <row r="29" spans="1:6">
      <c r="A29" s="1" t="str">
        <f>IF('Master Plan'!A52="","",'Master Plan'!A52)</f>
        <v>PM-21</v>
      </c>
      <c r="B29" s="1" t="str">
        <f>IF('Master Plan'!B52="","",'Master Plan'!B52)</f>
        <v>2 Sprint 1</v>
      </c>
      <c r="C29" s="1" t="str">
        <f>IF('Master Plan'!D52="","",'Master Plan'!D52)</f>
        <v>Sprint 1 review / demo to NKG</v>
      </c>
      <c r="D29" s="1" t="str">
        <f>IF('Master Plan'!F52="","",'Master Plan'!F52)</f>
        <v>Daphne Okwaro</v>
      </c>
      <c r="E29" s="11">
        <f>IF('Master Plan'!H52="","",'Master Plan'!H52)</f>
        <v>46318</v>
      </c>
      <c r="F29" s="11">
        <f>IF('Master Plan'!I52="","",'Master Plan'!I52)</f>
        <v>46318</v>
      </c>
    </row>
    <row r="30" spans="1:6">
      <c r="A30" s="1" t="str">
        <f>IF('Master Plan'!A53="","",'Master Plan'!A53)</f>
        <v>PM-30</v>
      </c>
      <c r="B30" s="1" t="str">
        <f>IF('Master Plan'!B53="","",'Master Plan'!B53)</f>
        <v>3 Sprint 2</v>
      </c>
      <c r="C30" s="1" t="str">
        <f>IF('Master Plan'!D53="","",'Master Plan'!D53)</f>
        <v>Sprint 2 planning</v>
      </c>
      <c r="D30" s="1" t="str">
        <f>IF('Master Plan'!F53="","",'Master Plan'!F53)</f>
        <v>Daphne Okwaro</v>
      </c>
      <c r="E30" s="11">
        <f>IF('Master Plan'!H53="","",'Master Plan'!H53)</f>
        <v>46321</v>
      </c>
      <c r="F30" s="11">
        <f>IF('Master Plan'!I53="","",'Master Plan'!I53)</f>
        <v>46321</v>
      </c>
    </row>
    <row r="31" spans="1:6" ht="23.85">
      <c r="A31" s="1" t="str">
        <f>IF('Master Plan'!A87="","",'Master Plan'!A87)</f>
        <v>FR-03</v>
      </c>
      <c r="B31" s="1" t="str">
        <f>IF('Master Plan'!B87="","",'Master Plan'!B87)</f>
        <v>4 SIT</v>
      </c>
      <c r="C31" s="1" t="str">
        <f>IF('Master Plan'!D87="","",'Master Plan'!D87)</f>
        <v>Execute SIT scripts (rolling as features land)</v>
      </c>
      <c r="D31" s="1" t="str">
        <f>IF('Master Plan'!F87="","",'Master Plan'!F87)</f>
        <v>Frankie Omasaja</v>
      </c>
      <c r="E31" s="11">
        <f>IF('Master Plan'!H87="","",'Master Plan'!H87)</f>
        <v>46321</v>
      </c>
      <c r="F31" s="11">
        <f>IF('Master Plan'!I87="","",'Master Plan'!I87)</f>
        <v>46332</v>
      </c>
    </row>
    <row r="32" spans="1:6">
      <c r="A32" s="1" t="str">
        <f>IF('Master Plan'!A57="","",'Master Plan'!A57)</f>
        <v>DO-11</v>
      </c>
      <c r="B32" s="1" t="str">
        <f>IF('Master Plan'!B57="","",'Master Plan'!B57)</f>
        <v>3 Sprint 2</v>
      </c>
      <c r="C32" s="1" t="str">
        <f>IF('Master Plan'!D57="","",'Master Plan'!D57)</f>
        <v>L2 XBS vs Comtras</v>
      </c>
      <c r="D32" s="1" t="str">
        <f>IF('Master Plan'!F57="","",'Master Plan'!F57)</f>
        <v>Denis Otieno</v>
      </c>
      <c r="E32" s="11">
        <f>IF('Master Plan'!H57="","",'Master Plan'!H57)</f>
        <v>46324</v>
      </c>
      <c r="F32" s="11">
        <f>IF('Master Plan'!I57="","",'Master Plan'!I57)</f>
        <v>46329</v>
      </c>
    </row>
    <row r="33" spans="1:6">
      <c r="A33" s="1" t="str">
        <f>IF('Master Plan'!A83="","",'Master Plan'!A83)</f>
        <v>JO-10</v>
      </c>
      <c r="B33" s="1" t="str">
        <f>IF('Master Plan'!B83="","",'Master Plan'!B83)</f>
        <v>3 Sprint 2</v>
      </c>
      <c r="C33" s="1" t="str">
        <f>IF('Master Plan'!D83="","",'Master Plan'!D83)</f>
        <v>Stock Assistant set-up + topics T1–T5</v>
      </c>
      <c r="D33" s="1" t="str">
        <f>IF('Master Plan'!F83="","",'Master Plan'!F83)</f>
        <v>Jones Alukwe</v>
      </c>
      <c r="E33" s="11">
        <f>IF('Master Plan'!H83="","",'Master Plan'!H83)</f>
        <v>46328</v>
      </c>
      <c r="F33" s="11">
        <f>IF('Master Plan'!I83="","",'Master Plan'!I83)</f>
        <v>46332</v>
      </c>
    </row>
    <row r="34" spans="1:6">
      <c r="A34" s="1" t="str">
        <f>IF('Master Plan'!A94="","",'Master Plan'!A94)</f>
        <v>DO-17</v>
      </c>
      <c r="B34" s="1" t="str">
        <f>IF('Master Plan'!B94="","",'Master Plan'!B94)</f>
        <v>4 SIT</v>
      </c>
      <c r="C34" s="1" t="str">
        <f>IF('Master Plan'!D94="","",'Master Plan'!D94)</f>
        <v>Tie-outs T1–T8 and T10</v>
      </c>
      <c r="D34" s="1" t="str">
        <f>IF('Master Plan'!F94="","",'Master Plan'!F94)</f>
        <v>Denis Otieno</v>
      </c>
      <c r="E34" s="11">
        <f>IF('Master Plan'!H94="","",'Master Plan'!H94)</f>
        <v>46328</v>
      </c>
      <c r="F34" s="11">
        <f>IF('Master Plan'!I94="","",'Master Plan'!I94)</f>
        <v>46332</v>
      </c>
    </row>
    <row r="35" spans="1:6" ht="23.85">
      <c r="A35" s="1" t="str">
        <f>IF('Master Plan'!A81="","",'Master Plan'!A81)</f>
        <v>JO-08</v>
      </c>
      <c r="B35" s="1" t="str">
        <f>IF('Master Plan'!B81="","",'Master Plan'!B81)</f>
        <v>3 Sprint 2</v>
      </c>
      <c r="C35" s="1" t="str">
        <f>IF('Master Plan'!D81="","",'Master Plan'!D81)</f>
        <v>Downgrade worksheet + F25; SNI/shorts views; feedback log</v>
      </c>
      <c r="D35" s="1" t="str">
        <f>IF('Master Plan'!F81="","",'Master Plan'!F81)</f>
        <v>Jones Alukwe</v>
      </c>
      <c r="E35" s="11">
        <f>IF('Master Plan'!H81="","",'Master Plan'!H81)</f>
        <v>46329</v>
      </c>
      <c r="F35" s="11">
        <f>IF('Master Plan'!I81="","",'Master Plan'!I81)</f>
        <v>46330</v>
      </c>
    </row>
    <row r="36" spans="1:6" ht="23.85">
      <c r="A36" s="1" t="str">
        <f>IF('Master Plan'!A82="","",'Master Plan'!A82)</f>
        <v>JO-09</v>
      </c>
      <c r="B36" s="1" t="str">
        <f>IF('Master Plan'!B82="","",'Master Plan'!B82)</f>
        <v>3 Sprint 2</v>
      </c>
      <c r="C36" s="1" t="str">
        <f>IF('Master Plan'!D82="","",'Master Plan'!D82)</f>
        <v>Sign-off BPF + F31 gate/lock + F32 trigger</v>
      </c>
      <c r="D36" s="1" t="str">
        <f>IF('Master Plan'!F82="","",'Master Plan'!F82)</f>
        <v>Jones Alukwe</v>
      </c>
      <c r="E36" s="11">
        <f>IF('Master Plan'!H82="","",'Master Plan'!H82)</f>
        <v>46330</v>
      </c>
      <c r="F36" s="11">
        <f>IF('Master Plan'!I82="","",'Master Plan'!I82)</f>
        <v>46332</v>
      </c>
    </row>
    <row r="37" spans="1:6" ht="23.85">
      <c r="A37" s="1" t="str">
        <f>IF('Master Plan'!A92="","",'Master Plan'!A92)</f>
        <v>DO-16</v>
      </c>
      <c r="B37" s="1" t="str">
        <f>IF('Master Plan'!B92="","",'Master Plan'!B92)</f>
        <v>4 SIT</v>
      </c>
      <c r="C37" s="1" t="str">
        <f>IF('Master Plan'!D92="","",'Master Plan'!D92)</f>
        <v>Run L1–L3 on October data and reconcile</v>
      </c>
      <c r="D37" s="1" t="str">
        <f>IF('Master Plan'!F92="","",'Master Plan'!F92)</f>
        <v>Denis Otieno</v>
      </c>
      <c r="E37" s="11">
        <f>IF('Master Plan'!H92="","",'Master Plan'!H92)</f>
        <v>46330</v>
      </c>
      <c r="F37" s="11">
        <f>IF('Master Plan'!I92="","",'Master Plan'!I92)</f>
        <v>46332</v>
      </c>
    </row>
    <row r="38" spans="1:6">
      <c r="A38" s="1" t="str">
        <f>IF('Master Plan'!A97="","",'Master Plan'!A97)</f>
        <v>PM-32</v>
      </c>
      <c r="B38" s="1" t="str">
        <f>IF('Master Plan'!B97="","",'Master Plan'!B97)</f>
        <v>4 SIT</v>
      </c>
      <c r="C38" s="1" t="str">
        <f>IF('Master Plan'!D97="","",'Master Plan'!D97)</f>
        <v>Sprint 2 review / SIT exit</v>
      </c>
      <c r="D38" s="1" t="str">
        <f>IF('Master Plan'!F97="","",'Master Plan'!F97)</f>
        <v>Daphne Okwaro</v>
      </c>
      <c r="E38" s="11">
        <f>IF('Master Plan'!H97="","",'Master Plan'!H97)</f>
        <v>46332</v>
      </c>
      <c r="F38" s="11">
        <f>IF('Master Plan'!I97="","",'Master Plan'!I97)</f>
        <v>46332</v>
      </c>
    </row>
    <row r="39" spans="1:6">
      <c r="A39" s="1" t="str">
        <f>IF('Master Plan'!A100="","",'Master Plan'!A100)</f>
        <v>JO-11</v>
      </c>
      <c r="B39" s="1" t="str">
        <f>IF('Master Plan'!B100="","",'Master Plan'!B100)</f>
        <v>5 Training</v>
      </c>
      <c r="C39" s="1" t="str">
        <f>IF('Master Plan'!D100="","",'Master Plan'!D100)</f>
        <v>Topics T6–T10 + evaluation set</v>
      </c>
      <c r="D39" s="1" t="str">
        <f>IF('Master Plan'!F100="","",'Master Plan'!F100)</f>
        <v>Jones Alukwe</v>
      </c>
      <c r="E39" s="11">
        <f>IF('Master Plan'!H100="","",'Master Plan'!H100)</f>
        <v>46335</v>
      </c>
      <c r="F39" s="11">
        <f>IF('Master Plan'!I100="","",'Master Plan'!I100)</f>
        <v>46337</v>
      </c>
    </row>
    <row r="40" spans="1:6" ht="23.85">
      <c r="A40" s="1" t="str">
        <f>IF('Master Plan'!A104="","",'Master Plan'!A104)</f>
        <v>JO-13</v>
      </c>
      <c r="B40" s="1" t="str">
        <f>IF('Master Plan'!B104="","",'Master Plan'!B104)</f>
        <v>5 Training</v>
      </c>
      <c r="C40" s="1" t="str">
        <f>IF('Master Plan'!D104="","",'Master Plan'!D104)</f>
        <v>Train Trade, QC, Logistics, Finance, Management (Control Centre + Copilot)</v>
      </c>
      <c r="D40" s="1" t="str">
        <f>IF('Master Plan'!F104="","",'Master Plan'!F104)</f>
        <v>Jones Alukwe</v>
      </c>
      <c r="E40" s="11">
        <f>IF('Master Plan'!H104="","",'Master Plan'!H104)</f>
        <v>46337</v>
      </c>
      <c r="F40" s="11">
        <f>IF('Master Plan'!I104="","",'Master Plan'!I104)</f>
        <v>46339</v>
      </c>
    </row>
    <row r="41" spans="1:6">
      <c r="A41" s="1" t="str">
        <f>IF('Master Plan'!A117="","",'Master Plan'!A117)</f>
        <v>DO-19</v>
      </c>
      <c r="B41" s="1" t="str">
        <f>IF('Master Plan'!B117="","",'Master Plan'!B117)</f>
        <v>7 Cutover</v>
      </c>
      <c r="C41" s="1" t="str">
        <f>IF('Master Plan'!D117="","",'Master Plan'!D117)</f>
        <v>PROD master-data load and tie-out</v>
      </c>
      <c r="D41" s="1" t="str">
        <f>IF('Master Plan'!F117="","",'Master Plan'!F117)</f>
        <v>Denis Otieno</v>
      </c>
      <c r="E41" s="11">
        <f>IF('Master Plan'!H117="","",'Master Plan'!H117)</f>
        <v>46350</v>
      </c>
      <c r="F41" s="11">
        <f>IF('Master Plan'!I117="","",'Master Plan'!I117)</f>
        <v>46351</v>
      </c>
    </row>
    <row r="42" spans="1:6">
      <c r="A42" s="1" t="str">
        <f>IF('Master Plan'!A119="","",'Master Plan'!A119)</f>
        <v>DO-21</v>
      </c>
      <c r="B42" s="1" t="str">
        <f>IF('Master Plan'!B119="","",'Master Plan'!B119)</f>
        <v>7 Cutover</v>
      </c>
      <c r="C42" s="1" t="str">
        <f>IF('Master Plan'!D119="","",'Master Plan'!D119)</f>
        <v>Opening baseline calculation</v>
      </c>
      <c r="D42" s="1" t="str">
        <f>IF('Master Plan'!F119="","",'Master Plan'!F119)</f>
        <v>Denis Otieno</v>
      </c>
      <c r="E42" s="11">
        <f>IF('Master Plan'!H119="","",'Master Plan'!H119)</f>
        <v>46352</v>
      </c>
      <c r="F42" s="11">
        <f>IF('Master Plan'!I119="","",'Master Plan'!I119)</f>
        <v>46358</v>
      </c>
    </row>
    <row r="43" spans="1:6" ht="23.85">
      <c r="A43" s="1" t="str">
        <f>IF('Master Plan'!A122="","",'Master Plan'!A122)</f>
        <v>PM-61</v>
      </c>
      <c r="B43" s="1" t="str">
        <f>IF('Master Plan'!B122="","",'Master Plan'!B122)</f>
        <v>7 Cutover</v>
      </c>
      <c r="C43" s="1" t="str">
        <f>IF('Master Plan'!D122="","",'Master Plan'!D122)</f>
        <v>First live month-end count (November) in PROD</v>
      </c>
      <c r="D43" s="1" t="str">
        <f>IF('Master Plan'!F122="","",'Master Plan'!F122)</f>
        <v>Daphne Okwaro</v>
      </c>
      <c r="E43" s="11">
        <f>IF('Master Plan'!H122="","",'Master Plan'!H122)</f>
        <v>46357</v>
      </c>
      <c r="F43" s="11">
        <f>IF('Master Plan'!I122="","",'Master Plan'!I122)</f>
        <v>46359</v>
      </c>
    </row>
    <row r="44" spans="1:6" ht="23.85">
      <c r="A44" s="1" t="str">
        <f>IF('Master Plan'!A125="","",'Master Plan'!A125)</f>
        <v>PM-63</v>
      </c>
      <c r="B44" s="1" t="str">
        <f>IF('Master Plan'!B125="","",'Master Plan'!B125)</f>
        <v>8 Hypercare</v>
      </c>
      <c r="C44" s="1" t="str">
        <f>IF('Master Plan'!D125="","",'Master Plan'!D125)</f>
        <v>Hypercare: daily stand-up with NKG super users</v>
      </c>
      <c r="D44" s="1" t="str">
        <f>IF('Master Plan'!F125="","",'Master Plan'!F125)</f>
        <v>Daphne Okwaro</v>
      </c>
      <c r="E44" s="11">
        <f>IF('Master Plan'!H125="","",'Master Plan'!H125)</f>
        <v>46357</v>
      </c>
      <c r="F44" s="11">
        <f>IF('Master Plan'!I125="","",'Master Plan'!I125)</f>
        <v>46367</v>
      </c>
    </row>
    <row r="45" spans="1:6">
      <c r="A45" s="1" t="str">
        <f>IF('Master Plan'!A123="","",'Master Plan'!A123)</f>
        <v>DO-22</v>
      </c>
      <c r="B45" s="1" t="str">
        <f>IF('Master Plan'!B123="","",'Master Plan'!B123)</f>
        <v>8 Hypercare</v>
      </c>
      <c r="C45" s="1" t="str">
        <f>IF('Master Plan'!D123="","",'Master Plan'!D123)</f>
        <v>November L1–L3 runs; drive residual to 0</v>
      </c>
      <c r="D45" s="1" t="str">
        <f>IF('Master Plan'!F123="","",'Master Plan'!F123)</f>
        <v>Denis Otieno</v>
      </c>
      <c r="E45" s="11">
        <f>IF('Master Plan'!H123="","",'Master Plan'!H123)</f>
        <v>46359</v>
      </c>
      <c r="F45" s="11">
        <f>IF('Master Plan'!I123="","",'Master Plan'!I123)</f>
        <v>46365</v>
      </c>
    </row>
  </sheetData>
  <conditionalFormatting sqref="M5:M16">
    <cfRule type="cellIs" dxfId="19" priority="2" operator="equal">
      <formula>"Complete"</formula>
    </cfRule>
    <cfRule type="cellIs" dxfId="18" priority="3" operator="equal">
      <formula>"In progress"</formula>
    </cfRule>
    <cfRule type="cellIs" dxfId="17" priority="4" operator="equal">
      <formula>"Blocked"</formula>
    </cfRule>
    <cfRule type="cellIs" dxfId="16" priority="5" operator="equal">
      <formula>"At risk"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N32"/>
  <sheetViews>
    <sheetView showGridLines="0" zoomScaleNormal="100" workbookViewId="0">
      <pane xSplit="3" ySplit="4" topLeftCell="D5" activePane="bottomRight" state="frozen"/>
      <selection pane="bottomRight"/>
      <selection pane="bottomLeft" activeCell="A5" sqref="A5"/>
      <selection pane="topRight" activeCell="D1" sqref="D1"/>
    </sheetView>
  </sheetViews>
  <sheetFormatPr defaultColWidth="8.7109375" defaultRowHeight="15"/>
  <cols>
    <col min="1" max="1" width="8" customWidth="1"/>
    <col min="2" max="2" width="12" customWidth="1"/>
    <col min="3" max="3" width="34" customWidth="1"/>
    <col min="4" max="4" width="60" customWidth="1"/>
    <col min="5" max="5" width="20" customWidth="1"/>
    <col min="6" max="7" width="12" customWidth="1"/>
    <col min="8" max="8" width="8" customWidth="1"/>
    <col min="9" max="9" width="12" customWidth="1"/>
    <col min="10" max="10" width="24" customWidth="1"/>
    <col min="11" max="11" width="30" customWidth="1"/>
    <col min="12" max="12" width="9" customWidth="1"/>
    <col min="13" max="13" width="12" customWidth="1"/>
    <col min="14" max="14" width="10" customWidth="1"/>
  </cols>
  <sheetData>
    <row r="1" spans="1:14" ht="19.7">
      <c r="A1" s="2" t="s">
        <v>1063</v>
      </c>
    </row>
    <row r="2" spans="1:14">
      <c r="A2" s="3" t="s">
        <v>1064</v>
      </c>
    </row>
    <row r="4" spans="1:14" ht="30" customHeight="1">
      <c r="A4" s="9" t="s">
        <v>99</v>
      </c>
      <c r="B4" s="9" t="s">
        <v>51</v>
      </c>
      <c r="C4" s="9" t="s">
        <v>101</v>
      </c>
      <c r="D4" s="9" t="s">
        <v>102</v>
      </c>
      <c r="E4" s="9" t="s">
        <v>104</v>
      </c>
      <c r="F4" s="9" t="s">
        <v>105</v>
      </c>
      <c r="G4" s="9" t="s">
        <v>106</v>
      </c>
      <c r="H4" s="9" t="s">
        <v>107</v>
      </c>
      <c r="I4" s="9" t="s">
        <v>108</v>
      </c>
      <c r="J4" s="9" t="s">
        <v>1051</v>
      </c>
      <c r="K4" s="9" t="s">
        <v>1052</v>
      </c>
      <c r="L4" s="9" t="s">
        <v>111</v>
      </c>
      <c r="M4" s="9" t="s">
        <v>112</v>
      </c>
      <c r="N4" s="9" t="s">
        <v>114</v>
      </c>
    </row>
    <row r="5" spans="1:14" ht="23.85">
      <c r="A5" s="12" t="str">
        <f>IF('Master Plan'!A27="","",'Master Plan'!A27)</f>
        <v>WI-01</v>
      </c>
      <c r="B5" s="13" t="str">
        <f>IF('Master Plan'!B27="","",'Master Plan'!B27)</f>
        <v>1 Design</v>
      </c>
      <c r="C5" s="13" t="str">
        <f>IF('Master Plan'!D27="","",'Master Plan'!D27)</f>
        <v>Review ITB Stock Take app</v>
      </c>
      <c r="D5" s="13" t="str">
        <f>IF('Master Plan'!E27="","",'Master Plan'!E27)</f>
        <v>Walk every screen and formula; note delegation warnings, performance, what to keep/rebuild.</v>
      </c>
      <c r="E5" s="13" t="str">
        <f>IF('Master Plan'!G27="","",'Master Plan'!G27)</f>
        <v/>
      </c>
      <c r="F5" s="14">
        <f>IF('Master Plan'!H27="","",'Master Plan'!H27)</f>
        <v>46307</v>
      </c>
      <c r="G5" s="14">
        <f>IF('Master Plan'!I27="","",'Master Plan'!I27)</f>
        <v>46308</v>
      </c>
      <c r="H5" s="13">
        <f>IF('Master Plan'!J27="","",'Master Plan'!J27)</f>
        <v>2</v>
      </c>
      <c r="I5" s="13" t="str">
        <f>IF('Master Plan'!K27="","",'Master Plan'!K27)</f>
        <v>PM-05</v>
      </c>
      <c r="J5" s="13" t="str">
        <f>IF('Master Plan'!L27="","",'Master Plan'!L27)</f>
        <v>Review notes</v>
      </c>
      <c r="K5" s="13" t="str">
        <f>IF('Master Plan'!M27="","",'Master Plan'!M27)</f>
        <v>Shared at stand-up</v>
      </c>
      <c r="L5" s="13" t="str">
        <f>IF('Master Plan'!N27="","",'Master Plan'!N27)</f>
        <v>9</v>
      </c>
      <c r="M5" s="13" t="str">
        <f>IF('Master Plan'!O27="","",'Master Plan'!O27)</f>
        <v>Not started</v>
      </c>
      <c r="N5" s="13" t="str">
        <f ca="1">IF('Master Plan'!Q27="","",'Master Plan'!Q27)</f>
        <v/>
      </c>
    </row>
    <row r="6" spans="1:14" ht="23.85">
      <c r="A6" s="5" t="str">
        <f>IF('Master Plan'!A30="","",'Master Plan'!A30)</f>
        <v>WI-02</v>
      </c>
      <c r="B6" s="1" t="str">
        <f>IF('Master Plan'!B30="","",'Master Plan'!B30)</f>
        <v>1 Design</v>
      </c>
      <c r="C6" s="1" t="str">
        <f>IF('Master Plan'!D30="","",'Master Plan'!D30)</f>
        <v>Shared component library (NKG theme)</v>
      </c>
      <c r="D6" s="1" t="str">
        <f>IF('Master Plan'!E30="","",'Master Plan'!E30)</f>
        <v>Header, buttons, chips, tiles, input fields in NKG Green #006330 palette; published as component library for all canvas apps.</v>
      </c>
      <c r="E6" s="1" t="str">
        <f>IF('Master Plan'!G30="","",'Master Plan'!G30)</f>
        <v>Andrew Tanui</v>
      </c>
      <c r="F6" s="11">
        <f>IF('Master Plan'!H30="","",'Master Plan'!H30)</f>
        <v>46308</v>
      </c>
      <c r="G6" s="11">
        <f>IF('Master Plan'!I30="","",'Master Plan'!I30)</f>
        <v>46309</v>
      </c>
      <c r="H6" s="1">
        <f>IF('Master Plan'!J30="","",'Master Plan'!J30)</f>
        <v>2</v>
      </c>
      <c r="I6" s="1" t="str">
        <f>IF('Master Plan'!K30="","",'Master Plan'!K30)</f>
        <v>MO-04</v>
      </c>
      <c r="J6" s="1" t="str">
        <f>IF('Master Plan'!L30="","",'Master Plan'!L30)</f>
        <v>Component library</v>
      </c>
      <c r="K6" s="1" t="str">
        <f>IF('Master Plan'!M30="","",'Master Plan'!M30)</f>
        <v>Used by Stock Take app and Hub</v>
      </c>
      <c r="L6" s="1" t="str">
        <f>IF('Master Plan'!N30="","",'Master Plan'!N30)</f>
        <v>9.1</v>
      </c>
      <c r="M6" s="1" t="str">
        <f>IF('Master Plan'!O30="","",'Master Plan'!O30)</f>
        <v>Not started</v>
      </c>
      <c r="N6" s="1" t="str">
        <f ca="1">IF('Master Plan'!Q30="","",'Master Plan'!Q30)</f>
        <v/>
      </c>
    </row>
    <row r="7" spans="1:14" ht="23.85">
      <c r="A7" s="12" t="str">
        <f>IF('Master Plan'!A41="","",'Master Plan'!A41)</f>
        <v>WI-03</v>
      </c>
      <c r="B7" s="13" t="str">
        <f>IF('Master Plan'!B41="","",'Master Plan'!B41)</f>
        <v>2 Sprint 1</v>
      </c>
      <c r="C7" s="13" t="str">
        <f>IF('Master Plan'!D41="","",'Master Plan'!D41)</f>
        <v>S1 Sign-in/version check and S2 Home</v>
      </c>
      <c r="D7" s="13" t="str">
        <f>IF('Master Plan'!E41="","",'Master Plan'!E41)</f>
        <v>SSO, role &amp; warehouse load, App.MinVersion check; Home tiles, banner with cut-off and time left.</v>
      </c>
      <c r="E7" s="13" t="str">
        <f>IF('Master Plan'!G41="","",'Master Plan'!G41)</f>
        <v/>
      </c>
      <c r="F7" s="14">
        <f>IF('Master Plan'!H41="","",'Master Plan'!H41)</f>
        <v>46310</v>
      </c>
      <c r="G7" s="14">
        <f>IF('Master Plan'!I41="","",'Master Plan'!I41)</f>
        <v>46311</v>
      </c>
      <c r="H7" s="13">
        <f>IF('Master Plan'!J41="","",'Master Plan'!J41)</f>
        <v>2</v>
      </c>
      <c r="I7" s="13" t="str">
        <f>IF('Master Plan'!K41="","",'Master Plan'!K41)</f>
        <v>WI-02</v>
      </c>
      <c r="J7" s="13" t="str">
        <f>IF('Master Plan'!L41="","",'Master Plan'!L41)</f>
        <v>Screens S1–S2</v>
      </c>
      <c r="K7" s="13" t="str">
        <f>IF('Master Plan'!M41="","",'Master Plan'!M41)</f>
        <v>Demoed at stand-up</v>
      </c>
      <c r="L7" s="13" t="str">
        <f>IF('Master Plan'!N41="","",'Master Plan'!N41)</f>
        <v>9.2</v>
      </c>
      <c r="M7" s="13" t="str">
        <f>IF('Master Plan'!O41="","",'Master Plan'!O41)</f>
        <v>Not started</v>
      </c>
      <c r="N7" s="13" t="str">
        <f ca="1">IF('Master Plan'!Q41="","",'Master Plan'!Q41)</f>
        <v/>
      </c>
    </row>
    <row r="8" spans="1:14" ht="23.85">
      <c r="A8" s="5" t="str">
        <f>IF('Master Plan'!A42="","",'Master Plan'!A42)</f>
        <v>WI-04</v>
      </c>
      <c r="B8" s="1" t="str">
        <f>IF('Master Plan'!B42="","",'Master Plan'!B42)</f>
        <v>2 Sprint 1</v>
      </c>
      <c r="C8" s="1" t="str">
        <f>IF('Master Plan'!D42="","",'Master Plan'!D42)</f>
        <v>S3 My Assignments and S4 Location (QR)</v>
      </c>
      <c r="D8" s="1" t="str">
        <f>IF('Master Plan'!E42="","",'Master Plan'!E42)</f>
        <v>Assignments grouped by zone with status chips; QR scan or pick; Start count / Mark empty / Cannot access (reason).</v>
      </c>
      <c r="E8" s="1" t="str">
        <f>IF('Master Plan'!G42="","",'Master Plan'!G42)</f>
        <v/>
      </c>
      <c r="F8" s="11">
        <f>IF('Master Plan'!H42="","",'Master Plan'!H42)</f>
        <v>46314</v>
      </c>
      <c r="G8" s="11">
        <f>IF('Master Plan'!I42="","",'Master Plan'!I42)</f>
        <v>46317</v>
      </c>
      <c r="H8" s="1">
        <f>IF('Master Plan'!J42="","",'Master Plan'!J42)</f>
        <v>3</v>
      </c>
      <c r="I8" s="1" t="str">
        <f>IF('Master Plan'!K42="","",'Master Plan'!K42)</f>
        <v>WI-03, DO-03</v>
      </c>
      <c r="J8" s="1" t="str">
        <f>IF('Master Plan'!L42="","",'Master Plan'!L42)</f>
        <v>Screens S3–S4</v>
      </c>
      <c r="K8" s="1" t="str">
        <f>IF('Master Plan'!M42="","",'Master Plan'!M42)</f>
        <v>QR test labels scan on 2 devices</v>
      </c>
      <c r="L8" s="1" t="str">
        <f>IF('Master Plan'!N42="","",'Master Plan'!N42)</f>
        <v>9.2</v>
      </c>
      <c r="M8" s="1" t="str">
        <f>IF('Master Plan'!O42="","",'Master Plan'!O42)</f>
        <v>Not started</v>
      </c>
      <c r="N8" s="1" t="str">
        <f ca="1">IF('Master Plan'!Q42="","",'Master Plan'!Q42)</f>
        <v/>
      </c>
    </row>
    <row r="9" spans="1:14" ht="35.1">
      <c r="A9" s="12" t="str">
        <f>IF('Master Plan'!A43="","",'Master Plan'!A43)</f>
        <v>WI-05</v>
      </c>
      <c r="B9" s="13" t="str">
        <f>IF('Master Plan'!B43="","",'Master Plan'!B43)</f>
        <v>2 Sprint 1</v>
      </c>
      <c r="C9" s="13" t="str">
        <f>IF('Master Plan'!D43="","",'Master Plan'!D43)</f>
        <v>S5 Capture screen</v>
      </c>
      <c r="D9" s="13" t="str">
        <f>IF('Master Plan'!E43="","",'Master Plan'!E43)</f>
        <v>Outturn scan/search (StartsWith, delegable); Expected / Found elsewhere / Not in list / Unidentified (photo); grade from mapping; packing default; bags + pocket; live Units/Kg/Eq60; category.</v>
      </c>
      <c r="E9" s="13" t="str">
        <f>IF('Master Plan'!G43="","",'Master Plan'!G43)</f>
        <v>Denis Otieno</v>
      </c>
      <c r="F9" s="14">
        <f>IF('Master Plan'!H43="","",'Master Plan'!H43)</f>
        <v>46316</v>
      </c>
      <c r="G9" s="14">
        <f>IF('Master Plan'!I43="","",'Master Plan'!I43)</f>
        <v>46318</v>
      </c>
      <c r="H9" s="13">
        <f>IF('Master Plan'!J43="","",'Master Plan'!J43)</f>
        <v>3</v>
      </c>
      <c r="I9" s="13" t="str">
        <f>IF('Master Plan'!K43="","",'Master Plan'!K43)</f>
        <v>WI-04</v>
      </c>
      <c r="J9" s="13" t="str">
        <f>IF('Master Plan'!L43="","",'Master Plan'!L43)</f>
        <v>Screen S5</v>
      </c>
      <c r="K9" s="13" t="str">
        <f>IF('Master Plan'!M43="","",'Master Plan'!M43)</f>
        <v>AC-9.2: 20 test lines equal engine calculation</v>
      </c>
      <c r="L9" s="13" t="str">
        <f>IF('Master Plan'!N43="","",'Master Plan'!N43)</f>
        <v>9.3</v>
      </c>
      <c r="M9" s="13" t="str">
        <f>IF('Master Plan'!O43="","",'Master Plan'!O43)</f>
        <v>Not started</v>
      </c>
      <c r="N9" s="13" t="str">
        <f ca="1">IF('Master Plan'!Q43="","",'Master Plan'!Q43)</f>
        <v/>
      </c>
    </row>
    <row r="10" spans="1:14" ht="23.85">
      <c r="A10" s="5" t="str">
        <f>IF('Master Plan'!A66="","",'Master Plan'!A66)</f>
        <v>WI-06</v>
      </c>
      <c r="B10" s="1" t="str">
        <f>IF('Master Plan'!B66="","",'Master Plan'!B66)</f>
        <v>3 Sprint 2</v>
      </c>
      <c r="C10" s="1" t="str">
        <f>IF('Master Plan'!D66="","",'Master Plan'!D66)</f>
        <v>S6 Location summary and close; F11 bulk submit</v>
      </c>
      <c r="D10" s="1" t="str">
        <f>IF('Master Plan'!E66="","",'Master Plan'!E66)</f>
        <v>Review lines, totals, edit before submit, close location; F11 for &gt;50 lines.</v>
      </c>
      <c r="E10" s="1" t="str">
        <f>IF('Master Plan'!G66="","",'Master Plan'!G66)</f>
        <v/>
      </c>
      <c r="F10" s="11">
        <f>IF('Master Plan'!H66="","",'Master Plan'!H66)</f>
        <v>46321</v>
      </c>
      <c r="G10" s="11">
        <f>IF('Master Plan'!I66="","",'Master Plan'!I66)</f>
        <v>46322</v>
      </c>
      <c r="H10" s="1">
        <f>IF('Master Plan'!J66="","",'Master Plan'!J66)</f>
        <v>2</v>
      </c>
      <c r="I10" s="1" t="str">
        <f>IF('Master Plan'!K66="","",'Master Plan'!K66)</f>
        <v>WI-05</v>
      </c>
      <c r="J10" s="1" t="str">
        <f>IF('Master Plan'!L66="","",'Master Plan'!L66)</f>
        <v>S6 + F11</v>
      </c>
      <c r="K10" s="1" t="str">
        <f>IF('Master Plan'!M66="","",'Master Plan'!M66)</f>
        <v>Close writes lines and status in one action</v>
      </c>
      <c r="L10" s="1" t="str">
        <f>IF('Master Plan'!N66="","",'Master Plan'!N66)</f>
        <v>9.4</v>
      </c>
      <c r="M10" s="1" t="str">
        <f>IF('Master Plan'!O66="","",'Master Plan'!O66)</f>
        <v>Not started</v>
      </c>
      <c r="N10" s="1" t="str">
        <f ca="1">IF('Master Plan'!Q66="","",'Master Plan'!Q66)</f>
        <v/>
      </c>
    </row>
    <row r="11" spans="1:14" ht="23.85">
      <c r="A11" s="12" t="str">
        <f>IF('Master Plan'!A67="","",'Master Plan'!A67)</f>
        <v>WI-07</v>
      </c>
      <c r="B11" s="13" t="str">
        <f>IF('Master Plan'!B67="","",'Master Plan'!B67)</f>
        <v>3 Sprint 2</v>
      </c>
      <c r="C11" s="13" t="str">
        <f>IF('Master Plan'!D67="","",'Master Plan'!D67)</f>
        <v>Offline queue and sync (S9)</v>
      </c>
      <c r="D11" s="13" t="str">
        <f>IF('Master Plan'!E67="","",'Master Plan'!E67)</f>
        <v>LoadData/SaveData queue; 30-s timer sync; Failed state with reason; idempotent on stk_localid.</v>
      </c>
      <c r="E11" s="13" t="str">
        <f>IF('Master Plan'!G67="","",'Master Plan'!G67)</f>
        <v>Moses Masibo</v>
      </c>
      <c r="F11" s="14">
        <f>IF('Master Plan'!H67="","",'Master Plan'!H67)</f>
        <v>46322</v>
      </c>
      <c r="G11" s="14">
        <f>IF('Master Plan'!I67="","",'Master Plan'!I67)</f>
        <v>46324</v>
      </c>
      <c r="H11" s="13">
        <f>IF('Master Plan'!J67="","",'Master Plan'!J67)</f>
        <v>3</v>
      </c>
      <c r="I11" s="13" t="str">
        <f>IF('Master Plan'!K67="","",'Master Plan'!K67)</f>
        <v>WI-06</v>
      </c>
      <c r="J11" s="13" t="str">
        <f>IF('Master Plan'!L67="","",'Master Plan'!L67)</f>
        <v>Offline sync</v>
      </c>
      <c r="K11" s="13" t="str">
        <f>IF('Master Plan'!M67="","",'Master Plan'!M67)</f>
        <v>AC-9.3: 100 offline lines sync with 0 duplicates, 0 loss</v>
      </c>
      <c r="L11" s="13" t="str">
        <f>IF('Master Plan'!N67="","",'Master Plan'!N67)</f>
        <v>9.5</v>
      </c>
      <c r="M11" s="13" t="str">
        <f>IF('Master Plan'!O67="","",'Master Plan'!O67)</f>
        <v>Not started</v>
      </c>
      <c r="N11" s="13" t="str">
        <f ca="1">IF('Master Plan'!Q67="","",'Master Plan'!Q67)</f>
        <v/>
      </c>
    </row>
    <row r="12" spans="1:14" ht="23.85">
      <c r="A12" s="5" t="str">
        <f>IF('Master Plan'!A68="","",'Master Plan'!A68)</f>
        <v>WI-08</v>
      </c>
      <c r="B12" s="1" t="str">
        <f>IF('Master Plan'!B68="","",'Master Plan'!B68)</f>
        <v>3 Sprint 2</v>
      </c>
      <c r="C12" s="1" t="str">
        <f>IF('Master Plan'!D68="","",'Master Plan'!D68)</f>
        <v>Smart warnings + F12 not-in-list alert</v>
      </c>
      <c r="D12" s="1" t="str">
        <f>IF('Master Plan'!E68="","",'Master Plan'!E68)</f>
        <v>Duplicate in location, counted elsewhere, implausible qty, pocket ≥ bag, closed location; F12 supervisor alert with photo.</v>
      </c>
      <c r="E12" s="1" t="str">
        <f>IF('Master Plan'!G68="","",'Master Plan'!G68)</f>
        <v/>
      </c>
      <c r="F12" s="11">
        <f>IF('Master Plan'!H68="","",'Master Plan'!H68)</f>
        <v>46323</v>
      </c>
      <c r="G12" s="11">
        <f>IF('Master Plan'!I68="","",'Master Plan'!I68)</f>
        <v>46325</v>
      </c>
      <c r="H12" s="1">
        <f>IF('Master Plan'!J68="","",'Master Plan'!J68)</f>
        <v>3</v>
      </c>
      <c r="I12" s="1" t="str">
        <f>IF('Master Plan'!K68="","",'Master Plan'!K68)</f>
        <v>WI-05</v>
      </c>
      <c r="J12" s="1" t="str">
        <f>IF('Master Plan'!L68="","",'Master Plan'!L68)</f>
        <v>Warnings + F12</v>
      </c>
      <c r="K12" s="1" t="str">
        <f>IF('Master Plan'!M68="","",'Master Plan'!M68)</f>
        <v>Each warning shown with test data</v>
      </c>
      <c r="L12" s="1" t="str">
        <f>IF('Master Plan'!N68="","",'Master Plan'!N68)</f>
        <v>9.3.3</v>
      </c>
      <c r="M12" s="1" t="str">
        <f>IF('Master Plan'!O68="","",'Master Plan'!O68)</f>
        <v>Not started</v>
      </c>
      <c r="N12" s="1" t="str">
        <f ca="1">IF('Master Plan'!Q68="","",'Master Plan'!Q68)</f>
        <v/>
      </c>
    </row>
    <row r="13" spans="1:14" ht="23.85">
      <c r="A13" s="12" t="str">
        <f>IF('Master Plan'!A69="","",'Master Plan'!A69)</f>
        <v>WI-09</v>
      </c>
      <c r="B13" s="13" t="str">
        <f>IF('Master Plan'!B69="","",'Master Plan'!B69)</f>
        <v>3 Sprint 2</v>
      </c>
      <c r="C13" s="13" t="str">
        <f>IF('Master Plan'!D69="","",'Master Plan'!D69)</f>
        <v>S7 Recount (double-blind), S8 100% issue/receive, S10 Help</v>
      </c>
      <c r="D13" s="13" t="str">
        <f>IF('Master Plan'!E69="","",'Master Plan'!E69)</f>
        <v>Recount task view; issue/receive during count; Help with rules card and Stock Assistant link.</v>
      </c>
      <c r="E13" s="13" t="str">
        <f>IF('Master Plan'!G69="","",'Master Plan'!G69)</f>
        <v/>
      </c>
      <c r="F13" s="14">
        <f>IF('Master Plan'!H69="","",'Master Plan'!H69)</f>
        <v>46324</v>
      </c>
      <c r="G13" s="14">
        <f>IF('Master Plan'!I69="","",'Master Plan'!I69)</f>
        <v>46328</v>
      </c>
      <c r="H13" s="13">
        <f>IF('Master Plan'!J69="","",'Master Plan'!J69)</f>
        <v>3</v>
      </c>
      <c r="I13" s="13" t="str">
        <f>IF('Master Plan'!K69="","",'Master Plan'!K69)</f>
        <v>WI-08</v>
      </c>
      <c r="J13" s="13" t="str">
        <f>IF('Master Plan'!L69="","",'Master Plan'!L69)</f>
        <v>Screens S7, S8, S10</v>
      </c>
      <c r="K13" s="13" t="str">
        <f>IF('Master Plan'!M69="","",'Master Plan'!M69)</f>
        <v>Recount goes to a different counter</v>
      </c>
      <c r="L13" s="13" t="str">
        <f>IF('Master Plan'!N69="","",'Master Plan'!N69)</f>
        <v>9.2</v>
      </c>
      <c r="M13" s="13" t="str">
        <f>IF('Master Plan'!O69="","",'Master Plan'!O69)</f>
        <v>Not started</v>
      </c>
      <c r="N13" s="13" t="str">
        <f ca="1">IF('Master Plan'!Q69="","",'Master Plan'!Q69)</f>
        <v/>
      </c>
    </row>
    <row r="14" spans="1:14">
      <c r="A14" s="5" t="str">
        <f>IF('Master Plan'!A91="","",'Master Plan'!A91)</f>
        <v>WI-11</v>
      </c>
      <c r="B14" s="1" t="str">
        <f>IF('Master Plan'!B91="","",'Master Plan'!B91)</f>
        <v>4 SIT</v>
      </c>
      <c r="C14" s="1" t="str">
        <f>IF('Master Plan'!D91="","",'Master Plan'!D91)</f>
        <v>Floor support during parallel count</v>
      </c>
      <c r="D14" s="1" t="str">
        <f>IF('Master Plan'!E91="","",'Master Plan'!E91)</f>
        <v>On the floor with counters; capture issues; quick fixes.</v>
      </c>
      <c r="E14" s="1" t="str">
        <f>IF('Master Plan'!G91="","",'Master Plan'!G91)</f>
        <v>Andrew Tanui</v>
      </c>
      <c r="F14" s="11">
        <f>IF('Master Plan'!H91="","",'Master Plan'!H91)</f>
        <v>46328</v>
      </c>
      <c r="G14" s="11">
        <f>IF('Master Plan'!I91="","",'Master Plan'!I91)</f>
        <v>46330</v>
      </c>
      <c r="H14" s="1">
        <f>IF('Master Plan'!J91="","",'Master Plan'!J91)</f>
        <v>3</v>
      </c>
      <c r="I14" s="1" t="str">
        <f>IF('Master Plan'!K91="","",'Master Plan'!K91)</f>
        <v>DO-15</v>
      </c>
      <c r="J14" s="1" t="str">
        <f>IF('Master Plan'!L91="","",'Master Plan'!L91)</f>
        <v>Issue list</v>
      </c>
      <c r="K14" s="1" t="str">
        <f>IF('Master Plan'!M91="","",'Master Plan'!M91)</f>
        <v>Count completed in new app</v>
      </c>
      <c r="L14" s="1" t="str">
        <f>IF('Master Plan'!N91="","",'Master Plan'!N91)</f>
        <v>—</v>
      </c>
      <c r="M14" s="1" t="str">
        <f>IF('Master Plan'!O91="","",'Master Plan'!O91)</f>
        <v>Not started</v>
      </c>
      <c r="N14" s="1" t="str">
        <f ca="1">IF('Master Plan'!Q91="","",'Master Plan'!Q91)</f>
        <v/>
      </c>
    </row>
    <row r="15" spans="1:14" ht="23.85">
      <c r="A15" s="12" t="str">
        <f>IF('Master Plan'!A70="","",'Master Plan'!A70)</f>
        <v>WI-10</v>
      </c>
      <c r="B15" s="13" t="str">
        <f>IF('Master Plan'!B70="","",'Master Plan'!B70)</f>
        <v>3 Sprint 2</v>
      </c>
      <c r="C15" s="13" t="str">
        <f>IF('Master Plan'!D70="","",'Master Plan'!D70)</f>
        <v>Device and floor testing</v>
      </c>
      <c r="D15" s="17" t="str">
        <f>IF('Master Plan'!E70="","",'Master Plan'!E70)</f>
        <v>Test on NKG phones/tablets — models to confirm in far zones and Wi-Fi dead spots; glove test; font sizes.</v>
      </c>
      <c r="E15" s="17" t="str">
        <f>IF('Master Plan'!G70="","",'Master Plan'!G70)</f>
        <v>Frankie Omasaja</v>
      </c>
      <c r="F15" s="14">
        <f>IF('Master Plan'!H70="","",'Master Plan'!H70)</f>
        <v>46329</v>
      </c>
      <c r="G15" s="14">
        <f>IF('Master Plan'!I70="","",'Master Plan'!I70)</f>
        <v>46331</v>
      </c>
      <c r="H15" s="13">
        <f>IF('Master Plan'!J70="","",'Master Plan'!J70)</f>
        <v>3</v>
      </c>
      <c r="I15" s="13" t="str">
        <f>IF('Master Plan'!K70="","",'Master Plan'!K70)</f>
        <v>WI-07</v>
      </c>
      <c r="J15" s="13" t="str">
        <f>IF('Master Plan'!L70="","",'Master Plan'!L70)</f>
        <v>Device test report</v>
      </c>
      <c r="K15" s="13" t="str">
        <f>IF('Master Plan'!M70="","",'Master Plan'!M70)</f>
        <v>No blocker on any device</v>
      </c>
      <c r="L15" s="13" t="str">
        <f>IF('Master Plan'!N70="","",'Master Plan'!N70)</f>
        <v>9.1</v>
      </c>
      <c r="M15" s="13" t="str">
        <f>IF('Master Plan'!O70="","",'Master Plan'!O70)</f>
        <v>Not started</v>
      </c>
      <c r="N15" s="13" t="str">
        <f ca="1">IF('Master Plan'!Q70="","",'Master Plan'!Q70)</f>
        <v/>
      </c>
    </row>
    <row r="16" spans="1:14" ht="23.85">
      <c r="A16" s="5" t="str">
        <f>IF('Master Plan'!A102="","",'Master Plan'!A102)</f>
        <v>WI-12</v>
      </c>
      <c r="B16" s="1" t="str">
        <f>IF('Master Plan'!B102="","",'Master Plan'!B102)</f>
        <v>5 Training</v>
      </c>
      <c r="C16" s="1" t="str">
        <f>IF('Master Plan'!D102="","",'Master Plan'!D102)</f>
        <v>Train counters and supervisors (Stock Take app)</v>
      </c>
      <c r="D16" s="1" t="str">
        <f>IF('Master Plan'!E102="","",'Master Plan'!E102)</f>
        <v>30-min hands-on per group + card; supervisor 1 h.</v>
      </c>
      <c r="E16" s="1" t="str">
        <f>IF('Master Plan'!G102="","",'Master Plan'!G102)</f>
        <v>Andrew Tanui</v>
      </c>
      <c r="F16" s="11">
        <f>IF('Master Plan'!H102="","",'Master Plan'!H102)</f>
        <v>46335</v>
      </c>
      <c r="G16" s="11">
        <f>IF('Master Plan'!I102="","",'Master Plan'!I102)</f>
        <v>46337</v>
      </c>
      <c r="H16" s="1">
        <f>IF('Master Plan'!J102="","",'Master Plan'!J102)</f>
        <v>3</v>
      </c>
      <c r="I16" s="1" t="str">
        <f>IF('Master Plan'!K102="","",'Master Plan'!K102)</f>
        <v>FR-04</v>
      </c>
      <c r="J16" s="1" t="str">
        <f>IF('Master Plan'!L102="","",'Master Plan'!L102)</f>
        <v>Attendance</v>
      </c>
      <c r="K16" s="1" t="str">
        <f>IF('Master Plan'!M102="","",'Master Plan'!M102)</f>
        <v>All named counters trained</v>
      </c>
      <c r="L16" s="1" t="str">
        <f>IF('Master Plan'!N102="","",'Master Plan'!N102)</f>
        <v>21</v>
      </c>
      <c r="M16" s="1" t="str">
        <f>IF('Master Plan'!O102="","",'Master Plan'!O102)</f>
        <v>Not started</v>
      </c>
      <c r="N16" s="1" t="str">
        <f ca="1">IF('Master Plan'!Q102="","",'Master Plan'!Q102)</f>
        <v/>
      </c>
    </row>
    <row r="17" spans="1:14">
      <c r="A17" s="12" t="str">
        <f>IF('Master Plan'!A109="","",'Master Plan'!A109)</f>
        <v>WI-13</v>
      </c>
      <c r="B17" s="13" t="str">
        <f>IF('Master Plan'!B109="","",'Master Plan'!B109)</f>
        <v>6 UAT</v>
      </c>
      <c r="C17" s="13" t="str">
        <f>IF('Master Plan'!D109="","",'Master Plan'!D109)</f>
        <v>Fix UAT defects — Stock Take app</v>
      </c>
      <c r="D17" s="13" t="str">
        <f>IF('Master Plan'!E109="","",'Master Plan'!E109)</f>
        <v>Fix and redeploy within severity SLA.</v>
      </c>
      <c r="E17" s="13" t="str">
        <f>IF('Master Plan'!G109="","",'Master Plan'!G109)</f>
        <v/>
      </c>
      <c r="F17" s="14">
        <f>IF('Master Plan'!H109="","",'Master Plan'!H109)</f>
        <v>46342</v>
      </c>
      <c r="G17" s="14">
        <f>IF('Master Plan'!I109="","",'Master Plan'!I109)</f>
        <v>46352</v>
      </c>
      <c r="H17" s="13">
        <f>IF('Master Plan'!J109="","",'Master Plan'!J109)</f>
        <v>9</v>
      </c>
      <c r="I17" s="13" t="str">
        <f>IF('Master Plan'!K109="","",'Master Plan'!K109)</f>
        <v>PM-50</v>
      </c>
      <c r="J17" s="13" t="str">
        <f>IF('Master Plan'!L109="","",'Master Plan'!L109)</f>
        <v>Fixes</v>
      </c>
      <c r="K17" s="13" t="str">
        <f>IF('Master Plan'!M109="","",'Master Plan'!M109)</f>
        <v>No open Sev 1/2</v>
      </c>
      <c r="L17" s="13" t="str">
        <f>IF('Master Plan'!N109="","",'Master Plan'!N109)</f>
        <v>—</v>
      </c>
      <c r="M17" s="13" t="str">
        <f>IF('Master Plan'!O109="","",'Master Plan'!O109)</f>
        <v>Not started</v>
      </c>
      <c r="N17" s="13" t="str">
        <f ca="1">IF('Master Plan'!Q109="","",'Master Plan'!Q109)</f>
        <v/>
      </c>
    </row>
    <row r="19" spans="1:14">
      <c r="A19" s="4" t="s">
        <v>1065</v>
      </c>
    </row>
    <row r="20" spans="1:14" ht="30" customHeight="1">
      <c r="A20" s="9" t="s">
        <v>99</v>
      </c>
      <c r="B20" s="9" t="s">
        <v>51</v>
      </c>
      <c r="C20" s="9" t="s">
        <v>101</v>
      </c>
      <c r="D20" s="9" t="s">
        <v>103</v>
      </c>
      <c r="E20" s="9" t="s">
        <v>105</v>
      </c>
      <c r="F20" s="9" t="s">
        <v>106</v>
      </c>
    </row>
    <row r="21" spans="1:14" ht="23.85">
      <c r="A21" s="1" t="str">
        <f>IF('Master Plan'!A5="","",'Master Plan'!A5)</f>
        <v>PM-01</v>
      </c>
      <c r="B21" s="1" t="str">
        <f>IF('Master Plan'!B5="","",'Master Plan'!B5)</f>
        <v>0 Discovery</v>
      </c>
      <c r="C21" s="1" t="str">
        <f>IF('Master Plan'!D5="","",'Master Plan'!D5)</f>
        <v>Project kick-off and warehouse walk-through</v>
      </c>
      <c r="D21" s="1" t="str">
        <f>IF('Master Plan'!F5="","",'Master Plan'!F5)</f>
        <v>Daphne Okwaro</v>
      </c>
      <c r="E21" s="11">
        <f>IF('Master Plan'!H5="","",'Master Plan'!H5)</f>
        <v>46296</v>
      </c>
      <c r="F21" s="11">
        <f>IF('Master Plan'!I5="","",'Master Plan'!I5)</f>
        <v>46296</v>
      </c>
    </row>
    <row r="22" spans="1:14">
      <c r="A22" s="1" t="str">
        <f>IF('Master Plan'!A32="","",'Master Plan'!A32)</f>
        <v>PM-20</v>
      </c>
      <c r="B22" s="1" t="str">
        <f>IF('Master Plan'!B32="","",'Master Plan'!B32)</f>
        <v>2 Sprint 1</v>
      </c>
      <c r="C22" s="1" t="str">
        <f>IF('Master Plan'!D32="","",'Master Plan'!D32)</f>
        <v>Sprint 1 planning</v>
      </c>
      <c r="D22" s="1" t="str">
        <f>IF('Master Plan'!F32="","",'Master Plan'!F32)</f>
        <v>Daphne Okwaro</v>
      </c>
      <c r="E22" s="11">
        <f>IF('Master Plan'!H32="","",'Master Plan'!H32)</f>
        <v>46307</v>
      </c>
      <c r="F22" s="11">
        <f>IF('Master Plan'!I32="","",'Master Plan'!I32)</f>
        <v>46307</v>
      </c>
    </row>
    <row r="23" spans="1:14" ht="23.85">
      <c r="A23" s="1" t="str">
        <f>IF('Master Plan'!A14="","",'Master Plan'!A14)</f>
        <v>PM-13</v>
      </c>
      <c r="B23" s="1" t="str">
        <f>IF('Master Plan'!B14="","",'Master Plan'!B14)</f>
        <v>1 Design</v>
      </c>
      <c r="C23" s="1" t="str">
        <f>IF('Master Plan'!D14="","",'Master Plan'!D14)</f>
        <v>Design walkthrough with NKG (mockups + zero-variance model)</v>
      </c>
      <c r="D23" s="1" t="str">
        <f>IF('Master Plan'!F14="","",'Master Plan'!F14)</f>
        <v>Daphne Okwaro</v>
      </c>
      <c r="E23" s="11">
        <f>IF('Master Plan'!H14="","",'Master Plan'!H14)</f>
        <v>46308</v>
      </c>
      <c r="F23" s="11">
        <f>IF('Master Plan'!I14="","",'Master Plan'!I14)</f>
        <v>46308</v>
      </c>
    </row>
    <row r="24" spans="1:14">
      <c r="A24" s="1" t="str">
        <f>IF('Master Plan'!A45="","",'Master Plan'!A45)</f>
        <v>AN-03</v>
      </c>
      <c r="B24" s="1" t="str">
        <f>IF('Master Plan'!B45="","",'Master Plan'!B45)</f>
        <v>2 Sprint 1</v>
      </c>
      <c r="C24" s="1" t="str">
        <f>IF('Master Plan'!D45="","",'Master Plan'!D45)</f>
        <v>Location generator + QR labels</v>
      </c>
      <c r="D24" s="1" t="str">
        <f>IF('Master Plan'!F45="","",'Master Plan'!F45)</f>
        <v>Andrew Tanui</v>
      </c>
      <c r="E24" s="11">
        <f>IF('Master Plan'!H45="","",'Master Plan'!H45)</f>
        <v>46316</v>
      </c>
      <c r="F24" s="11">
        <f>IF('Master Plan'!I45="","",'Master Plan'!I45)</f>
        <v>46317</v>
      </c>
    </row>
    <row r="25" spans="1:14">
      <c r="A25" s="1" t="str">
        <f>IF('Master Plan'!A52="","",'Master Plan'!A52)</f>
        <v>PM-21</v>
      </c>
      <c r="B25" s="1" t="str">
        <f>IF('Master Plan'!B52="","",'Master Plan'!B52)</f>
        <v>2 Sprint 1</v>
      </c>
      <c r="C25" s="1" t="str">
        <f>IF('Master Plan'!D52="","",'Master Plan'!D52)</f>
        <v>Sprint 1 review / demo to NKG</v>
      </c>
      <c r="D25" s="1" t="str">
        <f>IF('Master Plan'!F52="","",'Master Plan'!F52)</f>
        <v>Daphne Okwaro</v>
      </c>
      <c r="E25" s="11">
        <f>IF('Master Plan'!H52="","",'Master Plan'!H52)</f>
        <v>46318</v>
      </c>
      <c r="F25" s="11">
        <f>IF('Master Plan'!I52="","",'Master Plan'!I52)</f>
        <v>46318</v>
      </c>
    </row>
    <row r="26" spans="1:14">
      <c r="A26" s="1" t="str">
        <f>IF('Master Plan'!A53="","",'Master Plan'!A53)</f>
        <v>PM-30</v>
      </c>
      <c r="B26" s="1" t="str">
        <f>IF('Master Plan'!B53="","",'Master Plan'!B53)</f>
        <v>3 Sprint 2</v>
      </c>
      <c r="C26" s="1" t="str">
        <f>IF('Master Plan'!D53="","",'Master Plan'!D53)</f>
        <v>Sprint 2 planning</v>
      </c>
      <c r="D26" s="1" t="str">
        <f>IF('Master Plan'!F53="","",'Master Plan'!F53)</f>
        <v>Daphne Okwaro</v>
      </c>
      <c r="E26" s="11">
        <f>IF('Master Plan'!H53="","",'Master Plan'!H53)</f>
        <v>46321</v>
      </c>
      <c r="F26" s="11">
        <f>IF('Master Plan'!I53="","",'Master Plan'!I53)</f>
        <v>46321</v>
      </c>
    </row>
    <row r="27" spans="1:14">
      <c r="A27" s="1" t="str">
        <f>IF('Master Plan'!A88="","",'Master Plan'!A88)</f>
        <v>PM-31</v>
      </c>
      <c r="B27" s="1" t="str">
        <f>IF('Master Plan'!B88="","",'Master Plan'!B88)</f>
        <v>4 SIT</v>
      </c>
      <c r="C27" s="1" t="str">
        <f>IF('Master Plan'!D88="","",'Master Plan'!D88)</f>
        <v>Plan October month-end parallel run</v>
      </c>
      <c r="D27" s="1" t="str">
        <f>IF('Master Plan'!F88="","",'Master Plan'!F88)</f>
        <v>Daphne Okwaro</v>
      </c>
      <c r="E27" s="11">
        <f>IF('Master Plan'!H88="","",'Master Plan'!H88)</f>
        <v>46321</v>
      </c>
      <c r="F27" s="11">
        <f>IF('Master Plan'!I88="","",'Master Plan'!I88)</f>
        <v>46325</v>
      </c>
    </row>
    <row r="28" spans="1:14" ht="23.85">
      <c r="A28" s="1" t="str">
        <f>IF('Master Plan'!A89="","",'Master Plan'!A89)</f>
        <v>AN-11</v>
      </c>
      <c r="B28" s="1" t="str">
        <f>IF('Master Plan'!B89="","",'Master Plan'!B89)</f>
        <v>4 SIT</v>
      </c>
      <c r="C28" s="1" t="str">
        <f>IF('Master Plan'!D89="","",'Master Plan'!D89)</f>
        <v>Print and fix QR labels on bays for parallel run</v>
      </c>
      <c r="D28" s="1" t="str">
        <f>IF('Master Plan'!F89="","",'Master Plan'!F89)</f>
        <v>Andrew Tanui</v>
      </c>
      <c r="E28" s="11">
        <f>IF('Master Plan'!H89="","",'Master Plan'!H89)</f>
        <v>46324</v>
      </c>
      <c r="F28" s="11">
        <f>IF('Master Plan'!I89="","",'Master Plan'!I89)</f>
        <v>46325</v>
      </c>
    </row>
    <row r="29" spans="1:14">
      <c r="A29" s="1" t="str">
        <f>IF('Master Plan'!A99="","",'Master Plan'!A99)</f>
        <v>FR-04</v>
      </c>
      <c r="B29" s="1" t="str">
        <f>IF('Master Plan'!B99="","",'Master Plan'!B99)</f>
        <v>5 Training</v>
      </c>
      <c r="C29" s="1" t="str">
        <f>IF('Master Plan'!D99="","",'Master Plan'!D99)</f>
        <v>User guides and quick reference cards</v>
      </c>
      <c r="D29" s="1" t="str">
        <f>IF('Master Plan'!F99="","",'Master Plan'!F99)</f>
        <v>Frankie Omasaja</v>
      </c>
      <c r="E29" s="11">
        <f>IF('Master Plan'!H99="","",'Master Plan'!H99)</f>
        <v>46328</v>
      </c>
      <c r="F29" s="11">
        <f>IF('Master Plan'!I99="","",'Master Plan'!I99)</f>
        <v>46336</v>
      </c>
    </row>
    <row r="30" spans="1:14">
      <c r="A30" s="1" t="str">
        <f>IF('Master Plan'!A97="","",'Master Plan'!A97)</f>
        <v>PM-32</v>
      </c>
      <c r="B30" s="1" t="str">
        <f>IF('Master Plan'!B97="","",'Master Plan'!B97)</f>
        <v>4 SIT</v>
      </c>
      <c r="C30" s="1" t="str">
        <f>IF('Master Plan'!D97="","",'Master Plan'!D97)</f>
        <v>Sprint 2 review / SIT exit</v>
      </c>
      <c r="D30" s="1" t="str">
        <f>IF('Master Plan'!F97="","",'Master Plan'!F97)</f>
        <v>Daphne Okwaro</v>
      </c>
      <c r="E30" s="11">
        <f>IF('Master Plan'!H97="","",'Master Plan'!H97)</f>
        <v>46332</v>
      </c>
      <c r="F30" s="11">
        <f>IF('Master Plan'!I97="","",'Master Plan'!I97)</f>
        <v>46332</v>
      </c>
    </row>
    <row r="31" spans="1:14" ht="23.85">
      <c r="A31" s="1" t="str">
        <f>IF('Master Plan'!A122="","",'Master Plan'!A122)</f>
        <v>PM-61</v>
      </c>
      <c r="B31" s="1" t="str">
        <f>IF('Master Plan'!B122="","",'Master Plan'!B122)</f>
        <v>7 Cutover</v>
      </c>
      <c r="C31" s="1" t="str">
        <f>IF('Master Plan'!D122="","",'Master Plan'!D122)</f>
        <v>First live month-end count (November) in PROD</v>
      </c>
      <c r="D31" s="1" t="str">
        <f>IF('Master Plan'!F122="","",'Master Plan'!F122)</f>
        <v>Daphne Okwaro</v>
      </c>
      <c r="E31" s="11">
        <f>IF('Master Plan'!H122="","",'Master Plan'!H122)</f>
        <v>46357</v>
      </c>
      <c r="F31" s="11">
        <f>IF('Master Plan'!I122="","",'Master Plan'!I122)</f>
        <v>46359</v>
      </c>
    </row>
    <row r="32" spans="1:14" ht="23.85">
      <c r="A32" s="1" t="str">
        <f>IF('Master Plan'!A125="","",'Master Plan'!A125)</f>
        <v>PM-63</v>
      </c>
      <c r="B32" s="1" t="str">
        <f>IF('Master Plan'!B125="","",'Master Plan'!B125)</f>
        <v>8 Hypercare</v>
      </c>
      <c r="C32" s="1" t="str">
        <f>IF('Master Plan'!D125="","",'Master Plan'!D125)</f>
        <v>Hypercare: daily stand-up with NKG super users</v>
      </c>
      <c r="D32" s="1" t="str">
        <f>IF('Master Plan'!F125="","",'Master Plan'!F125)</f>
        <v>Daphne Okwaro</v>
      </c>
      <c r="E32" s="11">
        <f>IF('Master Plan'!H125="","",'Master Plan'!H125)</f>
        <v>46357</v>
      </c>
      <c r="F32" s="11">
        <f>IF('Master Plan'!I125="","",'Master Plan'!I125)</f>
        <v>46367</v>
      </c>
    </row>
  </sheetData>
  <conditionalFormatting sqref="M5:M17">
    <cfRule type="cellIs" dxfId="15" priority="2" operator="equal">
      <formula>"Complete"</formula>
    </cfRule>
    <cfRule type="cellIs" dxfId="14" priority="3" operator="equal">
      <formula>"In progress"</formula>
    </cfRule>
    <cfRule type="cellIs" dxfId="13" priority="4" operator="equal">
      <formula>"Blocked"</formula>
    </cfRule>
    <cfRule type="cellIs" dxfId="12" priority="5" operator="equal">
      <formula>"At risk"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N34"/>
  <sheetViews>
    <sheetView showGridLines="0" zoomScaleNormal="100" workbookViewId="0">
      <pane xSplit="3" ySplit="4" topLeftCell="D5" activePane="bottomRight" state="frozen"/>
      <selection pane="bottomRight"/>
      <selection pane="bottomLeft" activeCell="A5" sqref="A5"/>
      <selection pane="topRight" activeCell="D1" sqref="D1"/>
    </sheetView>
  </sheetViews>
  <sheetFormatPr defaultColWidth="8.7109375" defaultRowHeight="15"/>
  <cols>
    <col min="1" max="1" width="8" customWidth="1"/>
    <col min="2" max="2" width="12" customWidth="1"/>
    <col min="3" max="3" width="34" customWidth="1"/>
    <col min="4" max="4" width="60" customWidth="1"/>
    <col min="5" max="5" width="20" customWidth="1"/>
    <col min="6" max="7" width="12" customWidth="1"/>
    <col min="8" max="8" width="8" customWidth="1"/>
    <col min="9" max="9" width="12" customWidth="1"/>
    <col min="10" max="10" width="24" customWidth="1"/>
    <col min="11" max="11" width="30" customWidth="1"/>
    <col min="12" max="12" width="9" customWidth="1"/>
    <col min="13" max="13" width="12" customWidth="1"/>
    <col min="14" max="14" width="10" customWidth="1"/>
  </cols>
  <sheetData>
    <row r="1" spans="1:14" ht="19.7">
      <c r="A1" s="2" t="s">
        <v>1066</v>
      </c>
    </row>
    <row r="2" spans="1:14">
      <c r="A2" s="3" t="s">
        <v>1067</v>
      </c>
    </row>
    <row r="4" spans="1:14" ht="30" customHeight="1">
      <c r="A4" s="9" t="s">
        <v>99</v>
      </c>
      <c r="B4" s="9" t="s">
        <v>51</v>
      </c>
      <c r="C4" s="9" t="s">
        <v>101</v>
      </c>
      <c r="D4" s="9" t="s">
        <v>102</v>
      </c>
      <c r="E4" s="9" t="s">
        <v>104</v>
      </c>
      <c r="F4" s="9" t="s">
        <v>105</v>
      </c>
      <c r="G4" s="9" t="s">
        <v>106</v>
      </c>
      <c r="H4" s="9" t="s">
        <v>107</v>
      </c>
      <c r="I4" s="9" t="s">
        <v>108</v>
      </c>
      <c r="J4" s="9" t="s">
        <v>1051</v>
      </c>
      <c r="K4" s="9" t="s">
        <v>1052</v>
      </c>
      <c r="L4" s="9" t="s">
        <v>111</v>
      </c>
      <c r="M4" s="9" t="s">
        <v>112</v>
      </c>
      <c r="N4" s="9" t="s">
        <v>114</v>
      </c>
    </row>
    <row r="5" spans="1:14" ht="23.85">
      <c r="A5" s="12" t="str">
        <f>IF('Master Plan'!A28="","",'Master Plan'!A28)</f>
        <v>AN-01</v>
      </c>
      <c r="B5" s="13" t="str">
        <f>IF('Master Plan'!B28="","",'Master Plan'!B28)</f>
        <v>1 Design</v>
      </c>
      <c r="C5" s="13" t="str">
        <f>IF('Master Plan'!D28="","",'Master Plan'!D28)</f>
        <v>Review ITB Stock Management app</v>
      </c>
      <c r="D5" s="13" t="str">
        <f>IF('Master Plan'!E28="","",'Master Plan'!E28)</f>
        <v>Admin, Import, Dashboard, Reports, Stock Takes approvals: document logic and data sources.</v>
      </c>
      <c r="E5" s="13" t="str">
        <f>IF('Master Plan'!G28="","",'Master Plan'!G28)</f>
        <v/>
      </c>
      <c r="F5" s="14">
        <f>IF('Master Plan'!H28="","",'Master Plan'!H28)</f>
        <v>46307</v>
      </c>
      <c r="G5" s="14">
        <f>IF('Master Plan'!I28="","",'Master Plan'!I28)</f>
        <v>46308</v>
      </c>
      <c r="H5" s="13">
        <f>IF('Master Plan'!J28="","",'Master Plan'!J28)</f>
        <v>2</v>
      </c>
      <c r="I5" s="13" t="str">
        <f>IF('Master Plan'!K28="","",'Master Plan'!K28)</f>
        <v>PM-05</v>
      </c>
      <c r="J5" s="13" t="str">
        <f>IF('Master Plan'!L28="","",'Master Plan'!L28)</f>
        <v>Review notes</v>
      </c>
      <c r="K5" s="13" t="str">
        <f>IF('Master Plan'!M28="","",'Master Plan'!M28)</f>
        <v>Shared at stand-up</v>
      </c>
      <c r="L5" s="13" t="str">
        <f>IF('Master Plan'!N28="","",'Master Plan'!N28)</f>
        <v>10</v>
      </c>
      <c r="M5" s="13" t="str">
        <f>IF('Master Plan'!O28="","",'Master Plan'!O28)</f>
        <v>Not started</v>
      </c>
      <c r="N5" s="13" t="str">
        <f ca="1">IF('Master Plan'!Q28="","",'Master Plan'!Q28)</f>
        <v/>
      </c>
    </row>
    <row r="6" spans="1:14" ht="23.85">
      <c r="A6" s="5" t="str">
        <f>IF('Master Plan'!A44="","",'Master Plan'!A44)</f>
        <v>AN-02</v>
      </c>
      <c r="B6" s="1" t="str">
        <f>IF('Master Plan'!B44="","",'Master Plan'!B44)</f>
        <v>2 Sprint 1</v>
      </c>
      <c r="C6" s="1" t="str">
        <f>IF('Master Plan'!D44="","",'Master Plan'!D44)</f>
        <v>Admin screens</v>
      </c>
      <c r="D6" s="1" t="str">
        <f>IF('Master Plan'!E44="","",'Master Plan'!E44)</f>
        <v>Warehouses, grades, packing types, unit rules (with approval), stk_config editor with change reason, users and roles.</v>
      </c>
      <c r="E6" s="1" t="str">
        <f>IF('Master Plan'!G44="","",'Master Plan'!G44)</f>
        <v/>
      </c>
      <c r="F6" s="11">
        <f>IF('Master Plan'!H44="","",'Master Plan'!H44)</f>
        <v>46310</v>
      </c>
      <c r="G6" s="11">
        <f>IF('Master Plan'!I44="","",'Master Plan'!I44)</f>
        <v>46314</v>
      </c>
      <c r="H6" s="1">
        <f>IF('Master Plan'!J44="","",'Master Plan'!J44)</f>
        <v>3</v>
      </c>
      <c r="I6" s="1" t="str">
        <f>IF('Master Plan'!K44="","",'Master Plan'!K44)</f>
        <v>WI-02, DO-03</v>
      </c>
      <c r="J6" s="1" t="str">
        <f>IF('Master Plan'!L44="","",'Master Plan'!L44)</f>
        <v>Admin area</v>
      </c>
      <c r="K6" s="1" t="str">
        <f>IF('Master Plan'!M44="","",'Master Plan'!M44)</f>
        <v>Config change writes audit record</v>
      </c>
      <c r="L6" s="1" t="str">
        <f>IF('Master Plan'!N44="","",'Master Plan'!N44)</f>
        <v>10.8</v>
      </c>
      <c r="M6" s="1" t="str">
        <f>IF('Master Plan'!O44="","",'Master Plan'!O44)</f>
        <v>Not started</v>
      </c>
      <c r="N6" s="1" t="str">
        <f ca="1">IF('Master Plan'!Q44="","",'Master Plan'!Q44)</f>
        <v/>
      </c>
    </row>
    <row r="7" spans="1:14" ht="23.85">
      <c r="A7" s="12" t="str">
        <f>IF('Master Plan'!A45="","",'Master Plan'!A45)</f>
        <v>AN-03</v>
      </c>
      <c r="B7" s="13" t="str">
        <f>IF('Master Plan'!B45="","",'Master Plan'!B45)</f>
        <v>2 Sprint 1</v>
      </c>
      <c r="C7" s="13" t="str">
        <f>IF('Master Plan'!D45="","",'Master Plan'!D45)</f>
        <v>Location generator + QR labels</v>
      </c>
      <c r="D7" s="13" t="str">
        <f>IF('Master Plan'!E45="","",'Master Plan'!E45)</f>
        <v>Generate A01–G14 per warehouse; deactivate not delete; print QR label sheet (PDF via Word template flow).</v>
      </c>
      <c r="E7" s="13" t="str">
        <f>IF('Master Plan'!G45="","",'Master Plan'!G45)</f>
        <v>William Imo</v>
      </c>
      <c r="F7" s="14">
        <f>IF('Master Plan'!H45="","",'Master Plan'!H45)</f>
        <v>46316</v>
      </c>
      <c r="G7" s="14">
        <f>IF('Master Plan'!I45="","",'Master Plan'!I45)</f>
        <v>46317</v>
      </c>
      <c r="H7" s="13">
        <f>IF('Master Plan'!J45="","",'Master Plan'!J45)</f>
        <v>2</v>
      </c>
      <c r="I7" s="13" t="str">
        <f>IF('Master Plan'!K45="","",'Master Plan'!K45)</f>
        <v>AN-02</v>
      </c>
      <c r="J7" s="13" t="str">
        <f>IF('Master Plan'!L45="","",'Master Plan'!L45)</f>
        <v>Generator + label PDF</v>
      </c>
      <c r="K7" s="13" t="str">
        <f>IF('Master Plan'!M45="","",'Master Plan'!M45)</f>
        <v>98 labels generated for Main Warehouse test</v>
      </c>
      <c r="L7" s="13" t="str">
        <f>IF('Master Plan'!N45="","",'Master Plan'!N45)</f>
        <v>10.8</v>
      </c>
      <c r="M7" s="13" t="str">
        <f>IF('Master Plan'!O45="","",'Master Plan'!O45)</f>
        <v>Not started</v>
      </c>
      <c r="N7" s="13" t="str">
        <f ca="1">IF('Master Plan'!Q45="","",'Master Plan'!Q45)</f>
        <v/>
      </c>
    </row>
    <row r="8" spans="1:14" ht="35.1">
      <c r="A8" s="5" t="str">
        <f>IF('Master Plan'!A46="","",'Master Plan'!A46)</f>
        <v>AN-04</v>
      </c>
      <c r="B8" s="1" t="str">
        <f>IF('Master Plan'!B46="","",'Master Plan'!B46)</f>
        <v>2 Sprint 1</v>
      </c>
      <c r="C8" s="1" t="str">
        <f>IF('Master Plan'!D46="","",'Master Plan'!D46)</f>
        <v>Stock take wizard (5 steps) + F10 notify</v>
      </c>
      <c r="D8" s="1" t="str">
        <f>IF('Master Plan'!E46="","",'Master Plan'!E46)</f>
        <v>Type, cut-off, locked snapshot, scope, counters, review &amp; create; pre-checks (feeds, lock, EX20, mapping); creates stocktake, assignments, hidden expected lines; F10 Teams/email.</v>
      </c>
      <c r="E8" s="1" t="str">
        <f>IF('Master Plan'!G46="","",'Master Plan'!G46)</f>
        <v>Denis Otieno</v>
      </c>
      <c r="F8" s="11">
        <f>IF('Master Plan'!H46="","",'Master Plan'!H46)</f>
        <v>46316</v>
      </c>
      <c r="G8" s="11">
        <f>IF('Master Plan'!I46="","",'Master Plan'!I46)</f>
        <v>46321</v>
      </c>
      <c r="H8" s="1">
        <f>IF('Master Plan'!J46="","",'Master Plan'!J46)</f>
        <v>4</v>
      </c>
      <c r="I8" s="1" t="str">
        <f>IF('Master Plan'!K46="","",'Master Plan'!K46)</f>
        <v>AN-03, DO-06</v>
      </c>
      <c r="J8" s="1" t="str">
        <f>IF('Master Plan'!L46="","",'Master Plan'!L46)</f>
        <v>Wizard + F10</v>
      </c>
      <c r="K8" s="1" t="str">
        <f>IF('Master Plan'!M46="","",'Master Plan'!M46)</f>
        <v>Stock take created from test snapshot; counters notified</v>
      </c>
      <c r="L8" s="1" t="str">
        <f>IF('Master Plan'!N46="","",'Master Plan'!N46)</f>
        <v>10.2</v>
      </c>
      <c r="M8" s="1" t="str">
        <f>IF('Master Plan'!O46="","",'Master Plan'!O46)</f>
        <v>Not started</v>
      </c>
      <c r="N8" s="1" t="str">
        <f ca="1">IF('Master Plan'!Q46="","",'Master Plan'!Q46)</f>
        <v/>
      </c>
    </row>
    <row r="9" spans="1:14">
      <c r="A9" s="12" t="str">
        <f>IF('Master Plan'!A71="","",'Master Plan'!A71)</f>
        <v>AN-05</v>
      </c>
      <c r="B9" s="13" t="str">
        <f>IF('Master Plan'!B71="","",'Master Plan'!B71)</f>
        <v>3 Sprint 2</v>
      </c>
      <c r="C9" s="13" t="str">
        <f>IF('Master Plan'!D71="","",'Master Plan'!D71)</f>
        <v>Assignments board and auto-balance</v>
      </c>
      <c r="D9" s="13" t="str">
        <f>IF('Master Plan'!E71="","",'Master Plan'!E71)</f>
        <v>Assign by zone; auto-balance by expected line count; block self-recount.</v>
      </c>
      <c r="E9" s="13" t="str">
        <f>IF('Master Plan'!G71="","",'Master Plan'!G71)</f>
        <v/>
      </c>
      <c r="F9" s="14">
        <f>IF('Master Plan'!H71="","",'Master Plan'!H71)</f>
        <v>46321</v>
      </c>
      <c r="G9" s="14">
        <f>IF('Master Plan'!I71="","",'Master Plan'!I71)</f>
        <v>46322</v>
      </c>
      <c r="H9" s="13">
        <f>IF('Master Plan'!J71="","",'Master Plan'!J71)</f>
        <v>2</v>
      </c>
      <c r="I9" s="13" t="str">
        <f>IF('Master Plan'!K71="","",'Master Plan'!K71)</f>
        <v>AN-04</v>
      </c>
      <c r="J9" s="13" t="str">
        <f>IF('Master Plan'!L71="","",'Master Plan'!L71)</f>
        <v>Assignments board</v>
      </c>
      <c r="K9" s="13" t="str">
        <f>IF('Master Plan'!M71="","",'Master Plan'!M71)</f>
        <v>Balanced split for 98 locations</v>
      </c>
      <c r="L9" s="13" t="str">
        <f>IF('Master Plan'!N71="","",'Master Plan'!N71)</f>
        <v>10.2</v>
      </c>
      <c r="M9" s="13" t="str">
        <f>IF('Master Plan'!O71="","",'Master Plan'!O71)</f>
        <v>Not started</v>
      </c>
      <c r="N9" s="13" t="str">
        <f ca="1">IF('Master Plan'!Q71="","",'Master Plan'!Q71)</f>
        <v/>
      </c>
    </row>
    <row r="10" spans="1:14" ht="23.85">
      <c r="A10" s="5" t="str">
        <f>IF('Master Plan'!A72="","",'Master Plan'!A72)</f>
        <v>AN-06</v>
      </c>
      <c r="B10" s="1" t="str">
        <f>IF('Master Plan'!B72="","",'Master Plan'!B72)</f>
        <v>3 Sprint 2</v>
      </c>
      <c r="C10" s="1" t="str">
        <f>IF('Master Plan'!D72="","",'Master Plan'!D72)</f>
        <v>Live monitor</v>
      </c>
      <c r="D10" s="1" t="str">
        <f>IF('Master Plan'!E72="","",'Master Plan'!E72)</f>
        <v>KPIs, floor map, progress by counter, in-XBS-not-counted, counted-not-in-XBS; 60-s refresh.</v>
      </c>
      <c r="E10" s="1" t="str">
        <f>IF('Master Plan'!G72="","",'Master Plan'!G72)</f>
        <v/>
      </c>
      <c r="F10" s="11">
        <f>IF('Master Plan'!H72="","",'Master Plan'!H72)</f>
        <v>46322</v>
      </c>
      <c r="G10" s="11">
        <f>IF('Master Plan'!I72="","",'Master Plan'!I72)</f>
        <v>46324</v>
      </c>
      <c r="H10" s="1">
        <f>IF('Master Plan'!J72="","",'Master Plan'!J72)</f>
        <v>3</v>
      </c>
      <c r="I10" s="1" t="str">
        <f>IF('Master Plan'!K72="","",'Master Plan'!K72)</f>
        <v>AN-05, WI-06</v>
      </c>
      <c r="J10" s="1" t="str">
        <f>IF('Master Plan'!L72="","",'Master Plan'!L72)</f>
        <v>Live monitor</v>
      </c>
      <c r="K10" s="1" t="str">
        <f>IF('Master Plan'!M72="","",'Master Plan'!M72)</f>
        <v>AC-9.4: new line visible within 60 s</v>
      </c>
      <c r="L10" s="1" t="str">
        <f>IF('Master Plan'!N72="","",'Master Plan'!N72)</f>
        <v>10.3</v>
      </c>
      <c r="M10" s="1" t="str">
        <f>IF('Master Plan'!O72="","",'Master Plan'!O72)</f>
        <v>Not started</v>
      </c>
      <c r="N10" s="1" t="str">
        <f ca="1">IF('Master Plan'!Q72="","",'Master Plan'!Q72)</f>
        <v/>
      </c>
    </row>
    <row r="11" spans="1:14" ht="23.85">
      <c r="A11" s="12" t="str">
        <f>IF('Master Plan'!A73="","",'Master Plan'!A73)</f>
        <v>AN-07</v>
      </c>
      <c r="B11" s="13" t="str">
        <f>IF('Master Plan'!B73="","",'Master Plan'!B73)</f>
        <v>3 Sprint 2</v>
      </c>
      <c r="C11" s="13" t="str">
        <f>IF('Master Plan'!D73="","",'Master Plan'!D73)</f>
        <v>F13 location variance check, recount and unidentified queues</v>
      </c>
      <c r="D11" s="13" t="str">
        <f>IF('Master Plan'!E73="","",'Master Plan'!E73)</f>
        <v>Compare with hidden expected; out of tolerance → recount to different counter; supervisor queues.</v>
      </c>
      <c r="E11" s="13" t="str">
        <f>IF('Master Plan'!G73="","",'Master Plan'!G73)</f>
        <v>Denis Otieno</v>
      </c>
      <c r="F11" s="14">
        <f>IF('Master Plan'!H73="","",'Master Plan'!H73)</f>
        <v>46324</v>
      </c>
      <c r="G11" s="14">
        <f>IF('Master Plan'!I73="","",'Master Plan'!I73)</f>
        <v>46325</v>
      </c>
      <c r="H11" s="13">
        <f>IF('Master Plan'!J73="","",'Master Plan'!J73)</f>
        <v>2</v>
      </c>
      <c r="I11" s="13" t="str">
        <f>IF('Master Plan'!K73="","",'Master Plan'!K73)</f>
        <v>AN-06</v>
      </c>
      <c r="J11" s="13" t="str">
        <f>IF('Master Plan'!L73="","",'Master Plan'!L73)</f>
        <v>F13 + queues</v>
      </c>
      <c r="K11" s="13" t="str">
        <f>IF('Master Plan'!M73="","",'Master Plan'!M73)</f>
        <v>Out-of-tolerance location creates recount</v>
      </c>
      <c r="L11" s="13" t="str">
        <f>IF('Master Plan'!N73="","",'Master Plan'!N73)</f>
        <v>10.4, 12.2</v>
      </c>
      <c r="M11" s="13" t="str">
        <f>IF('Master Plan'!O73="","",'Master Plan'!O73)</f>
        <v>Not started</v>
      </c>
      <c r="N11" s="13" t="str">
        <f ca="1">IF('Master Plan'!Q73="","",'Master Plan'!Q73)</f>
        <v/>
      </c>
    </row>
    <row r="12" spans="1:14" ht="23.85">
      <c r="A12" s="5" t="str">
        <f>IF('Master Plan'!A89="","",'Master Plan'!A89)</f>
        <v>AN-11</v>
      </c>
      <c r="B12" s="1" t="str">
        <f>IF('Master Plan'!B89="","",'Master Plan'!B89)</f>
        <v>4 SIT</v>
      </c>
      <c r="C12" s="1" t="str">
        <f>IF('Master Plan'!D89="","",'Master Plan'!D89)</f>
        <v>Print and fix QR labels on bays for parallel run</v>
      </c>
      <c r="D12" s="1" t="str">
        <f>IF('Master Plan'!E89="","",'Master Plan'!E89)</f>
        <v>Generate and print labels; fix on bays with warehouse team.</v>
      </c>
      <c r="E12" s="1" t="str">
        <f>IF('Master Plan'!G89="","",'Master Plan'!G89)</f>
        <v>William Imo</v>
      </c>
      <c r="F12" s="11">
        <f>IF('Master Plan'!H89="","",'Master Plan'!H89)</f>
        <v>46324</v>
      </c>
      <c r="G12" s="11">
        <f>IF('Master Plan'!I89="","",'Master Plan'!I89)</f>
        <v>46325</v>
      </c>
      <c r="H12" s="1">
        <f>IF('Master Plan'!J89="","",'Master Plan'!J89)</f>
        <v>2</v>
      </c>
      <c r="I12" s="1" t="str">
        <f>IF('Master Plan'!K89="","",'Master Plan'!K89)</f>
        <v>AN-03</v>
      </c>
      <c r="J12" s="1" t="str">
        <f>IF('Master Plan'!L89="","",'Master Plan'!L89)</f>
        <v>Labels on bays</v>
      </c>
      <c r="K12" s="1" t="str">
        <f>IF('Master Plan'!M89="","",'Master Plan'!M89)</f>
        <v>All bays in scope labelled</v>
      </c>
      <c r="L12" s="1" t="str">
        <f>IF('Master Plan'!N89="","",'Master Plan'!N89)</f>
        <v>10.8</v>
      </c>
      <c r="M12" s="1" t="str">
        <f>IF('Master Plan'!O89="","",'Master Plan'!O89)</f>
        <v>Not started</v>
      </c>
      <c r="N12" s="1" t="str">
        <f ca="1">IF('Master Plan'!Q89="","",'Master Plan'!Q89)</f>
        <v/>
      </c>
    </row>
    <row r="13" spans="1:14" ht="23.85">
      <c r="A13" s="12" t="str">
        <f>IF('Master Plan'!A74="","",'Master Plan'!A74)</f>
        <v>AN-08</v>
      </c>
      <c r="B13" s="13" t="str">
        <f>IF('Master Plan'!B74="","",'Master Plan'!B74)</f>
        <v>3 Sprint 2</v>
      </c>
      <c r="C13" s="13" t="str">
        <f>IF('Master Plan'!D74="","",'Master Plan'!D74)</f>
        <v>Variance review, manual approvals, close count + F14</v>
      </c>
      <c r="D13" s="13" t="str">
        <f>IF('Master Plan'!E74="","",'Master Plan'!E74)</f>
        <v>Supervisor actions with comment; close only when all closed/recounts done; F14 freezes lines and triggers L1.</v>
      </c>
      <c r="E13" s="13" t="str">
        <f>IF('Master Plan'!G74="","",'Master Plan'!G74)</f>
        <v>Denis Otieno</v>
      </c>
      <c r="F13" s="14">
        <f>IF('Master Plan'!H74="","",'Master Plan'!H74)</f>
        <v>46328</v>
      </c>
      <c r="G13" s="14">
        <f>IF('Master Plan'!I74="","",'Master Plan'!I74)</f>
        <v>46329</v>
      </c>
      <c r="H13" s="13">
        <f>IF('Master Plan'!J74="","",'Master Plan'!J74)</f>
        <v>2</v>
      </c>
      <c r="I13" s="13" t="str">
        <f>IF('Master Plan'!K74="","",'Master Plan'!K74)</f>
        <v>AN-07, DO-10</v>
      </c>
      <c r="J13" s="13" t="str">
        <f>IF('Master Plan'!L74="","",'Master Plan'!L74)</f>
        <v>Review + close</v>
      </c>
      <c r="K13" s="13" t="str">
        <f>IF('Master Plan'!M74="","",'Master Plan'!M74)</f>
        <v>AC-9.5: close to L1 with no manual step</v>
      </c>
      <c r="L13" s="13" t="str">
        <f>IF('Master Plan'!N74="","",'Master Plan'!N74)</f>
        <v>10.4–10.5</v>
      </c>
      <c r="M13" s="13" t="str">
        <f>IF('Master Plan'!O74="","",'Master Plan'!O74)</f>
        <v>Not started</v>
      </c>
      <c r="N13" s="13" t="str">
        <f ca="1">IF('Master Plan'!Q74="","",'Master Plan'!Q74)</f>
        <v/>
      </c>
    </row>
    <row r="14" spans="1:14" ht="23.85">
      <c r="A14" s="5" t="str">
        <f>IF('Master Plan'!A75="","",'Master Plan'!A75)</f>
        <v>AN-09</v>
      </c>
      <c r="B14" s="1" t="str">
        <f>IF('Master Plan'!B75="","",'Master Plan'!B75)</f>
        <v>3 Sprint 2</v>
      </c>
      <c r="C14" s="1" t="str">
        <f>IF('Master Plan'!D75="","",'Master Plan'!D75)</f>
        <v>Third-party confirmations + F15</v>
      </c>
      <c r="D14" s="1" t="str">
        <f>IF('Master Plan'!E75="","",'Master Plan'!E75)</f>
        <v>Balance statements M−5, capture replies, chase M−3, escalate M−2, EX10/EX11.</v>
      </c>
      <c r="E14" s="1" t="str">
        <f>IF('Master Plan'!G75="","",'Master Plan'!G75)</f>
        <v/>
      </c>
      <c r="F14" s="11">
        <f>IF('Master Plan'!H75="","",'Master Plan'!H75)</f>
        <v>46330</v>
      </c>
      <c r="G14" s="11">
        <f>IF('Master Plan'!I75="","",'Master Plan'!I75)</f>
        <v>46331</v>
      </c>
      <c r="H14" s="1">
        <f>IF('Master Plan'!J75="","",'Master Plan'!J75)</f>
        <v>2</v>
      </c>
      <c r="I14" s="1" t="str">
        <f>IF('Master Plan'!K75="","",'Master Plan'!K75)</f>
        <v>DO-13</v>
      </c>
      <c r="J14" s="1" t="str">
        <f>IF('Master Plan'!L75="","",'Master Plan'!L75)</f>
        <v>Screen + F15</v>
      </c>
      <c r="K14" s="1" t="str">
        <f>IF('Master Plan'!M75="","",'Master Plan'!M75)</f>
        <v>Test third party with difference creates RI-THIRD-PARTY</v>
      </c>
      <c r="L14" s="1" t="str">
        <f>IF('Master Plan'!N75="","",'Master Plan'!N75)</f>
        <v>10.6</v>
      </c>
      <c r="M14" s="1" t="str">
        <f>IF('Master Plan'!O75="","",'Master Plan'!O75)</f>
        <v>Not started</v>
      </c>
      <c r="N14" s="1" t="str">
        <f ca="1">IF('Master Plan'!Q75="","",'Master Plan'!Q75)</f>
        <v/>
      </c>
    </row>
    <row r="15" spans="1:14" ht="23.85">
      <c r="A15" s="12" t="str">
        <f>IF('Master Plan'!A76="","",'Master Plan'!A76)</f>
        <v>AN-10</v>
      </c>
      <c r="B15" s="13" t="str">
        <f>IF('Master Plan'!B76="","",'Master Plan'!B76)</f>
        <v>3 Sprint 2</v>
      </c>
      <c r="C15" s="13" t="str">
        <f>IF('Master Plan'!D76="","",'Master Plan'!D76)</f>
        <v>Registers + F24, Imports &amp; load log, Audit</v>
      </c>
      <c r="D15" s="13" t="str">
        <f>IF('Master Plan'!E76="","",'Master Plan'!E76)</f>
        <v>Disputed, franchise, ex-office, sweepings, loose bags, lights; release actions; upload-to-Incoming fallback; audit view.</v>
      </c>
      <c r="E15" s="13" t="str">
        <f>IF('Master Plan'!G76="","",'Master Plan'!G76)</f>
        <v/>
      </c>
      <c r="F15" s="14">
        <f>IF('Master Plan'!H76="","",'Master Plan'!H76)</f>
        <v>46331</v>
      </c>
      <c r="G15" s="14">
        <f>IF('Master Plan'!I76="","",'Master Plan'!I76)</f>
        <v>46332</v>
      </c>
      <c r="H15" s="13">
        <f>IF('Master Plan'!J76="","",'Master Plan'!J76)</f>
        <v>2</v>
      </c>
      <c r="I15" s="13" t="str">
        <f>IF('Master Plan'!K76="","",'Master Plan'!K76)</f>
        <v>AN-09</v>
      </c>
      <c r="J15" s="13" t="str">
        <f>IF('Master Plan'!L76="","",'Master Plan'!L76)</f>
        <v>Screens + F24</v>
      </c>
      <c r="K15" s="13" t="str">
        <f>IF('Master Plan'!M76="","",'Master Plan'!M76)</f>
        <v>Release creates correction where required</v>
      </c>
      <c r="L15" s="13" t="str">
        <f>IF('Master Plan'!N76="","",'Master Plan'!N76)</f>
        <v>10.7, 10.9</v>
      </c>
      <c r="M15" s="13" t="str">
        <f>IF('Master Plan'!O76="","",'Master Plan'!O76)</f>
        <v>Not started</v>
      </c>
      <c r="N15" s="13" t="str">
        <f ca="1">IF('Master Plan'!Q76="","",'Master Plan'!Q76)</f>
        <v/>
      </c>
    </row>
    <row r="16" spans="1:14" ht="23.85">
      <c r="A16" s="5" t="str">
        <f>IF('Master Plan'!A103="","",'Master Plan'!A103)</f>
        <v>AN-12</v>
      </c>
      <c r="B16" s="1" t="str">
        <f>IF('Master Plan'!B103="","",'Master Plan'!B103)</f>
        <v>5 Training</v>
      </c>
      <c r="C16" s="1" t="str">
        <f>IF('Master Plan'!D103="","",'Master Plan'!D103)</f>
        <v>Train Operations admin and warehouse managers (Hub)</v>
      </c>
      <c r="D16" s="1" t="str">
        <f>IF('Master Plan'!E103="","",'Master Plan'!E103)</f>
        <v>2-h session: wizard, monitor, recounts, close, registers, third parties, admin.</v>
      </c>
      <c r="E16" s="1" t="str">
        <f>IF('Master Plan'!G103="","",'Master Plan'!G103)</f>
        <v/>
      </c>
      <c r="F16" s="11">
        <f>IF('Master Plan'!H103="","",'Master Plan'!H103)</f>
        <v>46336</v>
      </c>
      <c r="G16" s="11">
        <f>IF('Master Plan'!I103="","",'Master Plan'!I103)</f>
        <v>46337</v>
      </c>
      <c r="H16" s="1">
        <f>IF('Master Plan'!J103="","",'Master Plan'!J103)</f>
        <v>2</v>
      </c>
      <c r="I16" s="1" t="str">
        <f>IF('Master Plan'!K103="","",'Master Plan'!K103)</f>
        <v>FR-04</v>
      </c>
      <c r="J16" s="1" t="str">
        <f>IF('Master Plan'!L103="","",'Master Plan'!L103)</f>
        <v>Attendance</v>
      </c>
      <c r="K16" s="1" t="str">
        <f>IF('Master Plan'!M103="","",'Master Plan'!M103)</f>
        <v>Trained users can create a stock take unaided</v>
      </c>
      <c r="L16" s="1" t="str">
        <f>IF('Master Plan'!N103="","",'Master Plan'!N103)</f>
        <v>21</v>
      </c>
      <c r="M16" s="1" t="str">
        <f>IF('Master Plan'!O103="","",'Master Plan'!O103)</f>
        <v>Not started</v>
      </c>
      <c r="N16" s="1" t="str">
        <f ca="1">IF('Master Plan'!Q103="","",'Master Plan'!Q103)</f>
        <v/>
      </c>
    </row>
    <row r="17" spans="1:14">
      <c r="A17" s="12" t="str">
        <f>IF('Master Plan'!A110="","",'Master Plan'!A110)</f>
        <v>AN-13</v>
      </c>
      <c r="B17" s="13" t="str">
        <f>IF('Master Plan'!B110="","",'Master Plan'!B110)</f>
        <v>6 UAT</v>
      </c>
      <c r="C17" s="13" t="str">
        <f>IF('Master Plan'!D110="","",'Master Plan'!D110)</f>
        <v>Fix UAT defects — Hub</v>
      </c>
      <c r="D17" s="13" t="str">
        <f>IF('Master Plan'!E110="","",'Master Plan'!E110)</f>
        <v>Fix and redeploy within severity SLA.</v>
      </c>
      <c r="E17" s="13" t="str">
        <f>IF('Master Plan'!G110="","",'Master Plan'!G110)</f>
        <v/>
      </c>
      <c r="F17" s="14">
        <f>IF('Master Plan'!H110="","",'Master Plan'!H110)</f>
        <v>46342</v>
      </c>
      <c r="G17" s="14">
        <f>IF('Master Plan'!I110="","",'Master Plan'!I110)</f>
        <v>46352</v>
      </c>
      <c r="H17" s="13">
        <f>IF('Master Plan'!J110="","",'Master Plan'!J110)</f>
        <v>9</v>
      </c>
      <c r="I17" s="13" t="str">
        <f>IF('Master Plan'!K110="","",'Master Plan'!K110)</f>
        <v>PM-50</v>
      </c>
      <c r="J17" s="13" t="str">
        <f>IF('Master Plan'!L110="","",'Master Plan'!L110)</f>
        <v>Fixes</v>
      </c>
      <c r="K17" s="13" t="str">
        <f>IF('Master Plan'!M110="","",'Master Plan'!M110)</f>
        <v>No open Sev 1/2</v>
      </c>
      <c r="L17" s="13" t="str">
        <f>IF('Master Plan'!N110="","",'Master Plan'!N110)</f>
        <v>—</v>
      </c>
      <c r="M17" s="13" t="str">
        <f>IF('Master Plan'!O110="","",'Master Plan'!O110)</f>
        <v>Not started</v>
      </c>
      <c r="N17" s="13" t="str">
        <f ca="1">IF('Master Plan'!Q110="","",'Master Plan'!Q110)</f>
        <v/>
      </c>
    </row>
    <row r="19" spans="1:14">
      <c r="A19" s="4" t="s">
        <v>1068</v>
      </c>
    </row>
    <row r="20" spans="1:14" ht="30" customHeight="1">
      <c r="A20" s="9" t="s">
        <v>99</v>
      </c>
      <c r="B20" s="9" t="s">
        <v>51</v>
      </c>
      <c r="C20" s="9" t="s">
        <v>101</v>
      </c>
      <c r="D20" s="9" t="s">
        <v>103</v>
      </c>
      <c r="E20" s="9" t="s">
        <v>105</v>
      </c>
      <c r="F20" s="9" t="s">
        <v>106</v>
      </c>
    </row>
    <row r="21" spans="1:14" ht="23.85">
      <c r="A21" s="1" t="str">
        <f>IF('Master Plan'!A5="","",'Master Plan'!A5)</f>
        <v>PM-01</v>
      </c>
      <c r="B21" s="1" t="str">
        <f>IF('Master Plan'!B5="","",'Master Plan'!B5)</f>
        <v>0 Discovery</v>
      </c>
      <c r="C21" s="1" t="str">
        <f>IF('Master Plan'!D5="","",'Master Plan'!D5)</f>
        <v>Project kick-off and warehouse walk-through</v>
      </c>
      <c r="D21" s="1" t="str">
        <f>IF('Master Plan'!F5="","",'Master Plan'!F5)</f>
        <v>Daphne Okwaro</v>
      </c>
      <c r="E21" s="11">
        <f>IF('Master Plan'!H5="","",'Master Plan'!H5)</f>
        <v>46296</v>
      </c>
      <c r="F21" s="11">
        <f>IF('Master Plan'!I5="","",'Master Plan'!I5)</f>
        <v>46296</v>
      </c>
    </row>
    <row r="22" spans="1:14">
      <c r="A22" s="1" t="str">
        <f>IF('Master Plan'!A32="","",'Master Plan'!A32)</f>
        <v>PM-20</v>
      </c>
      <c r="B22" s="1" t="str">
        <f>IF('Master Plan'!B32="","",'Master Plan'!B32)</f>
        <v>2 Sprint 1</v>
      </c>
      <c r="C22" s="1" t="str">
        <f>IF('Master Plan'!D32="","",'Master Plan'!D32)</f>
        <v>Sprint 1 planning</v>
      </c>
      <c r="D22" s="1" t="str">
        <f>IF('Master Plan'!F32="","",'Master Plan'!F32)</f>
        <v>Daphne Okwaro</v>
      </c>
      <c r="E22" s="11">
        <f>IF('Master Plan'!H32="","",'Master Plan'!H32)</f>
        <v>46307</v>
      </c>
      <c r="F22" s="11">
        <f>IF('Master Plan'!I32="","",'Master Plan'!I32)</f>
        <v>46307</v>
      </c>
    </row>
    <row r="23" spans="1:14" ht="23.85">
      <c r="A23" s="1" t="str">
        <f>IF('Master Plan'!A14="","",'Master Plan'!A14)</f>
        <v>PM-13</v>
      </c>
      <c r="B23" s="1" t="str">
        <f>IF('Master Plan'!B14="","",'Master Plan'!B14)</f>
        <v>1 Design</v>
      </c>
      <c r="C23" s="1" t="str">
        <f>IF('Master Plan'!D14="","",'Master Plan'!D14)</f>
        <v>Design walkthrough with NKG (mockups + zero-variance model)</v>
      </c>
      <c r="D23" s="1" t="str">
        <f>IF('Master Plan'!F14="","",'Master Plan'!F14)</f>
        <v>Daphne Okwaro</v>
      </c>
      <c r="E23" s="11">
        <f>IF('Master Plan'!H14="","",'Master Plan'!H14)</f>
        <v>46308</v>
      </c>
      <c r="F23" s="11">
        <f>IF('Master Plan'!I14="","",'Master Plan'!I14)</f>
        <v>46308</v>
      </c>
    </row>
    <row r="24" spans="1:14">
      <c r="A24" s="1" t="str">
        <f>IF('Master Plan'!A30="","",'Master Plan'!A30)</f>
        <v>WI-02</v>
      </c>
      <c r="B24" s="1" t="str">
        <f>IF('Master Plan'!B30="","",'Master Plan'!B30)</f>
        <v>1 Design</v>
      </c>
      <c r="C24" s="1" t="str">
        <f>IF('Master Plan'!D30="","",'Master Plan'!D30)</f>
        <v>Shared component library (NKG theme)</v>
      </c>
      <c r="D24" s="1" t="str">
        <f>IF('Master Plan'!F30="","",'Master Plan'!F30)</f>
        <v>William Imo</v>
      </c>
      <c r="E24" s="11">
        <f>IF('Master Plan'!H30="","",'Master Plan'!H30)</f>
        <v>46308</v>
      </c>
      <c r="F24" s="11">
        <f>IF('Master Plan'!I30="","",'Master Plan'!I30)</f>
        <v>46309</v>
      </c>
    </row>
    <row r="25" spans="1:14">
      <c r="A25" s="1" t="str">
        <f>IF('Master Plan'!A52="","",'Master Plan'!A52)</f>
        <v>PM-21</v>
      </c>
      <c r="B25" s="1" t="str">
        <f>IF('Master Plan'!B52="","",'Master Plan'!B52)</f>
        <v>2 Sprint 1</v>
      </c>
      <c r="C25" s="1" t="str">
        <f>IF('Master Plan'!D52="","",'Master Plan'!D52)</f>
        <v>Sprint 1 review / demo to NKG</v>
      </c>
      <c r="D25" s="1" t="str">
        <f>IF('Master Plan'!F52="","",'Master Plan'!F52)</f>
        <v>Daphne Okwaro</v>
      </c>
      <c r="E25" s="11">
        <f>IF('Master Plan'!H52="","",'Master Plan'!H52)</f>
        <v>46318</v>
      </c>
      <c r="F25" s="11">
        <f>IF('Master Plan'!I52="","",'Master Plan'!I52)</f>
        <v>46318</v>
      </c>
    </row>
    <row r="26" spans="1:14">
      <c r="A26" s="1" t="str">
        <f>IF('Master Plan'!A53="","",'Master Plan'!A53)</f>
        <v>PM-30</v>
      </c>
      <c r="B26" s="1" t="str">
        <f>IF('Master Plan'!B53="","",'Master Plan'!B53)</f>
        <v>3 Sprint 2</v>
      </c>
      <c r="C26" s="1" t="str">
        <f>IF('Master Plan'!D53="","",'Master Plan'!D53)</f>
        <v>Sprint 2 planning</v>
      </c>
      <c r="D26" s="1" t="str">
        <f>IF('Master Plan'!F53="","",'Master Plan'!F53)</f>
        <v>Daphne Okwaro</v>
      </c>
      <c r="E26" s="11">
        <f>IF('Master Plan'!H53="","",'Master Plan'!H53)</f>
        <v>46321</v>
      </c>
      <c r="F26" s="11">
        <f>IF('Master Plan'!I53="","",'Master Plan'!I53)</f>
        <v>46321</v>
      </c>
    </row>
    <row r="27" spans="1:14">
      <c r="A27" s="1" t="str">
        <f>IF('Master Plan'!A88="","",'Master Plan'!A88)</f>
        <v>PM-31</v>
      </c>
      <c r="B27" s="1" t="str">
        <f>IF('Master Plan'!B88="","",'Master Plan'!B88)</f>
        <v>4 SIT</v>
      </c>
      <c r="C27" s="1" t="str">
        <f>IF('Master Plan'!D88="","",'Master Plan'!D88)</f>
        <v>Plan October month-end parallel run</v>
      </c>
      <c r="D27" s="1" t="str">
        <f>IF('Master Plan'!F88="","",'Master Plan'!F88)</f>
        <v>Daphne Okwaro</v>
      </c>
      <c r="E27" s="11">
        <f>IF('Master Plan'!H88="","",'Master Plan'!H88)</f>
        <v>46321</v>
      </c>
      <c r="F27" s="11">
        <f>IF('Master Plan'!I88="","",'Master Plan'!I88)</f>
        <v>46325</v>
      </c>
    </row>
    <row r="28" spans="1:14" ht="23.85">
      <c r="A28" s="1" t="str">
        <f>IF('Master Plan'!A90="","",'Master Plan'!A90)</f>
        <v>DO-15</v>
      </c>
      <c r="B28" s="1" t="str">
        <f>IF('Master Plan'!B90="","",'Master Plan'!B90)</f>
        <v>4 SIT</v>
      </c>
      <c r="C28" s="1" t="str">
        <f>IF('Master Plan'!D90="","",'Master Plan'!D90)</f>
        <v>Load October month-end snapshots into UAT and lock</v>
      </c>
      <c r="D28" s="1" t="str">
        <f>IF('Master Plan'!F90="","",'Master Plan'!F90)</f>
        <v>Denis Otieno</v>
      </c>
      <c r="E28" s="11">
        <f>IF('Master Plan'!H90="","",'Master Plan'!H90)</f>
        <v>46328</v>
      </c>
      <c r="F28" s="11">
        <f>IF('Master Plan'!I90="","",'Master Plan'!I90)</f>
        <v>46328</v>
      </c>
    </row>
    <row r="29" spans="1:14">
      <c r="A29" s="1" t="str">
        <f>IF('Master Plan'!A91="","",'Master Plan'!A91)</f>
        <v>WI-11</v>
      </c>
      <c r="B29" s="1" t="str">
        <f>IF('Master Plan'!B91="","",'Master Plan'!B91)</f>
        <v>4 SIT</v>
      </c>
      <c r="C29" s="1" t="str">
        <f>IF('Master Plan'!D91="","",'Master Plan'!D91)</f>
        <v>Floor support during parallel count</v>
      </c>
      <c r="D29" s="1" t="str">
        <f>IF('Master Plan'!F91="","",'Master Plan'!F91)</f>
        <v>William Imo</v>
      </c>
      <c r="E29" s="11">
        <f>IF('Master Plan'!H91="","",'Master Plan'!H91)</f>
        <v>46328</v>
      </c>
      <c r="F29" s="11">
        <f>IF('Master Plan'!I91="","",'Master Plan'!I91)</f>
        <v>46330</v>
      </c>
    </row>
    <row r="30" spans="1:14">
      <c r="A30" s="1" t="str">
        <f>IF('Master Plan'!A99="","",'Master Plan'!A99)</f>
        <v>FR-04</v>
      </c>
      <c r="B30" s="1" t="str">
        <f>IF('Master Plan'!B99="","",'Master Plan'!B99)</f>
        <v>5 Training</v>
      </c>
      <c r="C30" s="1" t="str">
        <f>IF('Master Plan'!D99="","",'Master Plan'!D99)</f>
        <v>User guides and quick reference cards</v>
      </c>
      <c r="D30" s="1" t="str">
        <f>IF('Master Plan'!F99="","",'Master Plan'!F99)</f>
        <v>Frankie Omasaja</v>
      </c>
      <c r="E30" s="11">
        <f>IF('Master Plan'!H99="","",'Master Plan'!H99)</f>
        <v>46328</v>
      </c>
      <c r="F30" s="11">
        <f>IF('Master Plan'!I99="","",'Master Plan'!I99)</f>
        <v>46336</v>
      </c>
    </row>
    <row r="31" spans="1:14">
      <c r="A31" s="1" t="str">
        <f>IF('Master Plan'!A97="","",'Master Plan'!A97)</f>
        <v>PM-32</v>
      </c>
      <c r="B31" s="1" t="str">
        <f>IF('Master Plan'!B97="","",'Master Plan'!B97)</f>
        <v>4 SIT</v>
      </c>
      <c r="C31" s="1" t="str">
        <f>IF('Master Plan'!D97="","",'Master Plan'!D97)</f>
        <v>Sprint 2 review / SIT exit</v>
      </c>
      <c r="D31" s="1" t="str">
        <f>IF('Master Plan'!F97="","",'Master Plan'!F97)</f>
        <v>Daphne Okwaro</v>
      </c>
      <c r="E31" s="11">
        <f>IF('Master Plan'!H97="","",'Master Plan'!H97)</f>
        <v>46332</v>
      </c>
      <c r="F31" s="11">
        <f>IF('Master Plan'!I97="","",'Master Plan'!I97)</f>
        <v>46332</v>
      </c>
    </row>
    <row r="32" spans="1:14" ht="23.85">
      <c r="A32" s="1" t="str">
        <f>IF('Master Plan'!A102="","",'Master Plan'!A102)</f>
        <v>WI-12</v>
      </c>
      <c r="B32" s="1" t="str">
        <f>IF('Master Plan'!B102="","",'Master Plan'!B102)</f>
        <v>5 Training</v>
      </c>
      <c r="C32" s="1" t="str">
        <f>IF('Master Plan'!D102="","",'Master Plan'!D102)</f>
        <v>Train counters and supervisors (Stock Take app)</v>
      </c>
      <c r="D32" s="1" t="str">
        <f>IF('Master Plan'!F102="","",'Master Plan'!F102)</f>
        <v>William Imo</v>
      </c>
      <c r="E32" s="11">
        <f>IF('Master Plan'!H102="","",'Master Plan'!H102)</f>
        <v>46335</v>
      </c>
      <c r="F32" s="11">
        <f>IF('Master Plan'!I102="","",'Master Plan'!I102)</f>
        <v>46337</v>
      </c>
    </row>
    <row r="33" spans="1:6" ht="23.85">
      <c r="A33" s="1" t="str">
        <f>IF('Master Plan'!A122="","",'Master Plan'!A122)</f>
        <v>PM-61</v>
      </c>
      <c r="B33" s="1" t="str">
        <f>IF('Master Plan'!B122="","",'Master Plan'!B122)</f>
        <v>7 Cutover</v>
      </c>
      <c r="C33" s="1" t="str">
        <f>IF('Master Plan'!D122="","",'Master Plan'!D122)</f>
        <v>First live month-end count (November) in PROD</v>
      </c>
      <c r="D33" s="1" t="str">
        <f>IF('Master Plan'!F122="","",'Master Plan'!F122)</f>
        <v>Daphne Okwaro</v>
      </c>
      <c r="E33" s="11">
        <f>IF('Master Plan'!H122="","",'Master Plan'!H122)</f>
        <v>46357</v>
      </c>
      <c r="F33" s="11">
        <f>IF('Master Plan'!I122="","",'Master Plan'!I122)</f>
        <v>46359</v>
      </c>
    </row>
    <row r="34" spans="1:6" ht="23.85">
      <c r="A34" s="1" t="str">
        <f>IF('Master Plan'!A125="","",'Master Plan'!A125)</f>
        <v>PM-63</v>
      </c>
      <c r="B34" s="1" t="str">
        <f>IF('Master Plan'!B125="","",'Master Plan'!B125)</f>
        <v>8 Hypercare</v>
      </c>
      <c r="C34" s="1" t="str">
        <f>IF('Master Plan'!D125="","",'Master Plan'!D125)</f>
        <v>Hypercare: daily stand-up with NKG super users</v>
      </c>
      <c r="D34" s="1" t="str">
        <f>IF('Master Plan'!F125="","",'Master Plan'!F125)</f>
        <v>Daphne Okwaro</v>
      </c>
      <c r="E34" s="11">
        <f>IF('Master Plan'!H125="","",'Master Plan'!H125)</f>
        <v>46357</v>
      </c>
      <c r="F34" s="11">
        <f>IF('Master Plan'!I125="","",'Master Plan'!I125)</f>
        <v>46367</v>
      </c>
    </row>
  </sheetData>
  <conditionalFormatting sqref="M5:M17">
    <cfRule type="cellIs" dxfId="11" priority="2" operator="equal">
      <formula>"Complete"</formula>
    </cfRule>
    <cfRule type="cellIs" dxfId="10" priority="3" operator="equal">
      <formula>"In progress"</formula>
    </cfRule>
    <cfRule type="cellIs" dxfId="9" priority="4" operator="equal">
      <formula>"Blocked"</formula>
    </cfRule>
    <cfRule type="cellIs" dxfId="8" priority="5" operator="equal">
      <formula>"At risk"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N35"/>
  <sheetViews>
    <sheetView showGridLines="0" zoomScaleNormal="100" workbookViewId="0">
      <pane xSplit="3" ySplit="4" topLeftCell="D5" activePane="bottomRight" state="frozen"/>
      <selection pane="bottomRight"/>
      <selection pane="bottomLeft" activeCell="A5" sqref="A5"/>
      <selection pane="topRight" activeCell="D1" sqref="D1"/>
    </sheetView>
  </sheetViews>
  <sheetFormatPr defaultColWidth="8.7109375" defaultRowHeight="15"/>
  <cols>
    <col min="1" max="1" width="8" customWidth="1"/>
    <col min="2" max="2" width="12" customWidth="1"/>
    <col min="3" max="3" width="34" customWidth="1"/>
    <col min="4" max="4" width="60" customWidth="1"/>
    <col min="5" max="5" width="20" customWidth="1"/>
    <col min="6" max="7" width="12" customWidth="1"/>
    <col min="8" max="8" width="8" customWidth="1"/>
    <col min="9" max="9" width="12" customWidth="1"/>
    <col min="10" max="10" width="24" customWidth="1"/>
    <col min="11" max="11" width="30" customWidth="1"/>
    <col min="12" max="12" width="9" customWidth="1"/>
    <col min="13" max="13" width="12" customWidth="1"/>
    <col min="14" max="14" width="10" customWidth="1"/>
  </cols>
  <sheetData>
    <row r="1" spans="1:14" ht="19.7">
      <c r="A1" s="2" t="s">
        <v>1069</v>
      </c>
    </row>
    <row r="2" spans="1:14">
      <c r="A2" s="3" t="s">
        <v>1070</v>
      </c>
    </row>
    <row r="4" spans="1:14" ht="30" customHeight="1">
      <c r="A4" s="9" t="s">
        <v>99</v>
      </c>
      <c r="B4" s="9" t="s">
        <v>51</v>
      </c>
      <c r="C4" s="9" t="s">
        <v>101</v>
      </c>
      <c r="D4" s="9" t="s">
        <v>102</v>
      </c>
      <c r="E4" s="9" t="s">
        <v>104</v>
      </c>
      <c r="F4" s="9" t="s">
        <v>105</v>
      </c>
      <c r="G4" s="9" t="s">
        <v>106</v>
      </c>
      <c r="H4" s="9" t="s">
        <v>107</v>
      </c>
      <c r="I4" s="9" t="s">
        <v>108</v>
      </c>
      <c r="J4" s="9" t="s">
        <v>1051</v>
      </c>
      <c r="K4" s="9" t="s">
        <v>1052</v>
      </c>
      <c r="L4" s="9" t="s">
        <v>111</v>
      </c>
      <c r="M4" s="9" t="s">
        <v>112</v>
      </c>
      <c r="N4" s="9" t="s">
        <v>114</v>
      </c>
    </row>
    <row r="5" spans="1:14" ht="23.85">
      <c r="A5" s="12" t="str">
        <f>IF('Master Plan'!A29="","",'Master Plan'!A29)</f>
        <v>JO-01</v>
      </c>
      <c r="B5" s="13" t="str">
        <f>IF('Master Plan'!B29="","",'Master Plan'!B29)</f>
        <v>1 Design</v>
      </c>
      <c r="C5" s="13" t="str">
        <f>IF('Master Plan'!D29="","",'Master Plan'!D29)</f>
        <v>Copilot Studio and model-driven readiness check</v>
      </c>
      <c r="D5" s="13" t="str">
        <f>IF('Master Plan'!E29="","",'Master Plan'!E29)</f>
        <v>Check Copilot Studio availability/licensing in tenant; list knowledge sources; draft model-driven site map.</v>
      </c>
      <c r="E5" s="13" t="str">
        <f>IF('Master Plan'!G29="","",'Master Plan'!G29)</f>
        <v>Moses Masibo</v>
      </c>
      <c r="F5" s="14">
        <f>IF('Master Plan'!H29="","",'Master Plan'!H29)</f>
        <v>46307</v>
      </c>
      <c r="G5" s="14">
        <f>IF('Master Plan'!I29="","",'Master Plan'!I29)</f>
        <v>46308</v>
      </c>
      <c r="H5" s="13">
        <f>IF('Master Plan'!J29="","",'Master Plan'!J29)</f>
        <v>2</v>
      </c>
      <c r="I5" s="13" t="str">
        <f>IF('Master Plan'!K29="","",'Master Plan'!K29)</f>
        <v>PM-16</v>
      </c>
      <c r="J5" s="13" t="str">
        <f>IF('Master Plan'!L29="","",'Master Plan'!L29)</f>
        <v>Readiness note</v>
      </c>
      <c r="K5" s="13" t="str">
        <f>IF('Master Plan'!M29="","",'Master Plan'!M29)</f>
        <v>Input to OD8</v>
      </c>
      <c r="L5" s="13" t="str">
        <f>IF('Master Plan'!N29="","",'Master Plan'!N29)</f>
        <v>11, 14</v>
      </c>
      <c r="M5" s="13" t="str">
        <f>IF('Master Plan'!O29="","",'Master Plan'!O29)</f>
        <v>Not started</v>
      </c>
      <c r="N5" s="13" t="str">
        <f ca="1">IF('Master Plan'!Q29="","",'Master Plan'!Q29)</f>
        <v/>
      </c>
    </row>
    <row r="6" spans="1:14" ht="23.85">
      <c r="A6" s="5" t="str">
        <f>IF('Master Plan'!A47="","",'Master Plan'!A47)</f>
        <v>JO-02</v>
      </c>
      <c r="B6" s="1" t="str">
        <f>IF('Master Plan'!B47="","",'Master Plan'!B47)</f>
        <v>2 Sprint 1</v>
      </c>
      <c r="C6" s="1" t="str">
        <f>IF('Master Plan'!D47="","",'Master Plan'!D47)</f>
        <v>Model-driven app shell</v>
      </c>
      <c r="D6" s="1" t="str">
        <f>IF('Master Plan'!E47="","",'Master Plan'!E47)</f>
        <v>Site map (Master data, Stock positions, Reconciliation, Exceptions, Close, Insights); main forms and views for master-data tables.</v>
      </c>
      <c r="E6" s="1" t="str">
        <f>IF('Master Plan'!G47="","",'Master Plan'!G47)</f>
        <v/>
      </c>
      <c r="F6" s="11">
        <f>IF('Master Plan'!H47="","",'Master Plan'!H47)</f>
        <v>46310</v>
      </c>
      <c r="G6" s="11">
        <f>IF('Master Plan'!I47="","",'Master Plan'!I47)</f>
        <v>46314</v>
      </c>
      <c r="H6" s="1">
        <f>IF('Master Plan'!J47="","",'Master Plan'!J47)</f>
        <v>3</v>
      </c>
      <c r="I6" s="1" t="str">
        <f>IF('Master Plan'!K47="","",'Master Plan'!K47)</f>
        <v>DO-03</v>
      </c>
      <c r="J6" s="1" t="str">
        <f>IF('Master Plan'!L47="","",'Master Plan'!L47)</f>
        <v>App shell</v>
      </c>
      <c r="K6" s="1" t="str">
        <f>IF('Master Plan'!M47="","",'Master Plan'!M47)</f>
        <v>All tables navigable</v>
      </c>
      <c r="L6" s="1" t="str">
        <f>IF('Master Plan'!N47="","",'Master Plan'!N47)</f>
        <v>11.1</v>
      </c>
      <c r="M6" s="1" t="str">
        <f>IF('Master Plan'!O47="","",'Master Plan'!O47)</f>
        <v>Not started</v>
      </c>
      <c r="N6" s="1" t="str">
        <f ca="1">IF('Master Plan'!Q47="","",'Master Plan'!Q47)</f>
        <v/>
      </c>
    </row>
    <row r="7" spans="1:14" ht="23.85">
      <c r="A7" s="12" t="str">
        <f>IF('Master Plan'!A48="","",'Master Plan'!A48)</f>
        <v>JO-03</v>
      </c>
      <c r="B7" s="13" t="str">
        <f>IF('Master Plan'!B48="","",'Master Plan'!B48)</f>
        <v>2 Sprint 1</v>
      </c>
      <c r="C7" s="13" t="str">
        <f>IF('Master Plan'!D48="","",'Master Plan'!D48)</f>
        <v>Mapping BPF + F22 + versioning</v>
      </c>
      <c r="D7" s="13" t="str">
        <f>IF('Master Plan'!E48="","",'Master Plan'!E48)</f>
        <v>Proposed → QC verified → Finance approved → Active; effective dates; coverage and conflict views; F22 notifications; overlap blocked.</v>
      </c>
      <c r="E7" s="13" t="str">
        <f>IF('Master Plan'!G48="","",'Master Plan'!G48)</f>
        <v>Nicole Akinyi</v>
      </c>
      <c r="F7" s="14">
        <f>IF('Master Plan'!H48="","",'Master Plan'!H48)</f>
        <v>46316</v>
      </c>
      <c r="G7" s="14">
        <f>IF('Master Plan'!I48="","",'Master Plan'!I48)</f>
        <v>46318</v>
      </c>
      <c r="H7" s="13">
        <f>IF('Master Plan'!J48="","",'Master Plan'!J48)</f>
        <v>3</v>
      </c>
      <c r="I7" s="13" t="str">
        <f>IF('Master Plan'!K48="","",'Master Plan'!K48)</f>
        <v>JO-02</v>
      </c>
      <c r="J7" s="13" t="str">
        <f>IF('Master Plan'!L48="","",'Master Plan'!L48)</f>
        <v>Mapping BPF</v>
      </c>
      <c r="K7" s="13" t="str">
        <f>IF('Master Plan'!M48="","",'Master Plan'!M48)</f>
        <v>UAT-03 path works end to end in DEV</v>
      </c>
      <c r="L7" s="13" t="str">
        <f>IF('Master Plan'!N48="","",'Master Plan'!N48)</f>
        <v>11.2</v>
      </c>
      <c r="M7" s="13" t="str">
        <f>IF('Master Plan'!O48="","",'Master Plan'!O48)</f>
        <v>Not started</v>
      </c>
      <c r="N7" s="13" t="str">
        <f ca="1">IF('Master Plan'!Q48="","",'Master Plan'!Q48)</f>
        <v/>
      </c>
    </row>
    <row r="8" spans="1:14" ht="23.85">
      <c r="A8" s="5" t="str">
        <f>IF('Master Plan'!A77="","",'Master Plan'!A77)</f>
        <v>JO-04</v>
      </c>
      <c r="B8" s="1" t="str">
        <f>IF('Master Plan'!B77="","",'Master Plan'!B77)</f>
        <v>3 Sprint 2</v>
      </c>
      <c r="C8" s="1" t="str">
        <f>IF('Master Plan'!D77="","",'Master Plan'!D77)</f>
        <v>Contracts lineage + F26, provisional pipeline views</v>
      </c>
      <c r="D8" s="1" t="str">
        <f>IF('Master Plan'!E77="","",'Master Plan'!E77)</f>
        <v>Contract form with allocations, relief, amendments; roll-over lineage; provisional stages and ageing.</v>
      </c>
      <c r="E8" s="1" t="str">
        <f>IF('Master Plan'!G77="","",'Master Plan'!G77)</f>
        <v/>
      </c>
      <c r="F8" s="11">
        <f>IF('Master Plan'!H77="","",'Master Plan'!H77)</f>
        <v>46321</v>
      </c>
      <c r="G8" s="11">
        <f>IF('Master Plan'!I77="","",'Master Plan'!I77)</f>
        <v>46322</v>
      </c>
      <c r="H8" s="1">
        <f>IF('Master Plan'!J77="","",'Master Plan'!J77)</f>
        <v>2</v>
      </c>
      <c r="I8" s="1" t="str">
        <f>IF('Master Plan'!K77="","",'Master Plan'!K77)</f>
        <v>JO-02</v>
      </c>
      <c r="J8" s="1" t="str">
        <f>IF('Master Plan'!L77="","",'Master Plan'!L77)</f>
        <v>Forms + F26</v>
      </c>
      <c r="K8" s="1" t="str">
        <f>IF('Master Plan'!M77="","",'Master Plan'!M77)</f>
        <v>Roll-over test links successor contract</v>
      </c>
      <c r="L8" s="1" t="str">
        <f>IF('Master Plan'!N77="","",'Master Plan'!N77)</f>
        <v>11.4–11.5</v>
      </c>
      <c r="M8" s="1" t="str">
        <f>IF('Master Plan'!O77="","",'Master Plan'!O77)</f>
        <v>Not started</v>
      </c>
      <c r="N8" s="1" t="str">
        <f ca="1">IF('Master Plan'!Q77="","",'Master Plan'!Q77)</f>
        <v/>
      </c>
    </row>
    <row r="9" spans="1:14" ht="23.85">
      <c r="A9" s="12" t="str">
        <f>IF('Master Plan'!A78="","",'Master Plan'!A78)</f>
        <v>JO-05</v>
      </c>
      <c r="B9" s="13" t="str">
        <f>IF('Master Plan'!B78="","",'Master Plan'!B78)</f>
        <v>3 Sprint 2</v>
      </c>
      <c r="C9" s="13" t="str">
        <f>IF('Master Plan'!D78="","",'Master Plan'!D78)</f>
        <v>Exception register + F21 notifications</v>
      </c>
      <c r="D9" s="13" t="str">
        <f>IF('Master Plan'!E78="","",'Master Plan'!E78)</f>
        <v>Views (my, team, overdue, closed); SLA timer; comments table; resolution codes; F21 owner alerts, 16:00 reminders, escalation.</v>
      </c>
      <c r="E9" s="13" t="str">
        <f>IF('Master Plan'!G78="","",'Master Plan'!G78)</f>
        <v/>
      </c>
      <c r="F9" s="14">
        <f>IF('Master Plan'!H78="","",'Master Plan'!H78)</f>
        <v>46322</v>
      </c>
      <c r="G9" s="14">
        <f>IF('Master Plan'!I78="","",'Master Plan'!I78)</f>
        <v>46324</v>
      </c>
      <c r="H9" s="13">
        <f>IF('Master Plan'!J78="","",'Master Plan'!J78)</f>
        <v>3</v>
      </c>
      <c r="I9" s="13" t="str">
        <f>IF('Master Plan'!K78="","",'Master Plan'!K78)</f>
        <v>DO-13</v>
      </c>
      <c r="J9" s="13" t="str">
        <f>IF('Master Plan'!L78="","",'Master Plan'!L78)</f>
        <v>Register + F21</v>
      </c>
      <c r="K9" s="13" t="str">
        <f>IF('Master Plan'!M78="","",'Master Plan'!M78)</f>
        <v>Overdue test exception escalates to manager</v>
      </c>
      <c r="L9" s="13" t="str">
        <f>IF('Master Plan'!N78="","",'Master Plan'!N78)</f>
        <v>11.8</v>
      </c>
      <c r="M9" s="13" t="str">
        <f>IF('Master Plan'!O78="","",'Master Plan'!O78)</f>
        <v>Not started</v>
      </c>
      <c r="N9" s="13" t="str">
        <f ca="1">IF('Master Plan'!Q78="","",'Master Plan'!Q78)</f>
        <v/>
      </c>
    </row>
    <row r="10" spans="1:14" ht="23.85">
      <c r="A10" s="5" t="str">
        <f>IF('Master Plan'!A79="","",'Master Plan'!A79)</f>
        <v>JO-06</v>
      </c>
      <c r="B10" s="1" t="str">
        <f>IF('Master Plan'!B79="","",'Master Plan'!B79)</f>
        <v>3 Sprint 2</v>
      </c>
      <c r="C10" s="1" t="str">
        <f>IF('Master Plan'!D79="","",'Master Plan'!D79)</f>
        <v>Reconciliation workspace (custom page)</v>
      </c>
      <c r="D10" s="1" t="str">
        <f>IF('Master Plan'!E79="","",'Master Plan'!E79)</f>
        <v>Tabs L1/L2/L3; tiles raw/RIs/corrections/residual; drill grid; side panel (RIs, exceptions, comments); Attach RI, Propose correction, Re-run.</v>
      </c>
      <c r="E10" s="1" t="str">
        <f>IF('Master Plan'!G79="","",'Master Plan'!G79)</f>
        <v>Denis Otieno</v>
      </c>
      <c r="F10" s="11">
        <f>IF('Master Plan'!H79="","",'Master Plan'!H79)</f>
        <v>46323</v>
      </c>
      <c r="G10" s="11">
        <f>IF('Master Plan'!I79="","",'Master Plan'!I79)</f>
        <v>46329</v>
      </c>
      <c r="H10" s="1">
        <f>IF('Master Plan'!J79="","",'Master Plan'!J79)</f>
        <v>5</v>
      </c>
      <c r="I10" s="1" t="str">
        <f>IF('Master Plan'!K79="","",'Master Plan'!K79)</f>
        <v>DO-10</v>
      </c>
      <c r="J10" s="1" t="str">
        <f>IF('Master Plan'!L79="","",'Master Plan'!L79)</f>
        <v>Workspace</v>
      </c>
      <c r="K10" s="1" t="str">
        <f>IF('Master Plan'!M79="","",'Master Plan'!M79)</f>
        <v>Matches mockup 04 with live DEV data</v>
      </c>
      <c r="L10" s="1" t="str">
        <f>IF('Master Plan'!N79="","",'Master Plan'!N79)</f>
        <v>11.6</v>
      </c>
      <c r="M10" s="1" t="str">
        <f>IF('Master Plan'!O79="","",'Master Plan'!O79)</f>
        <v>Not started</v>
      </c>
      <c r="N10" s="1" t="str">
        <f ca="1">IF('Master Plan'!Q79="","",'Master Plan'!Q79)</f>
        <v/>
      </c>
    </row>
    <row r="11" spans="1:14" ht="23.85">
      <c r="A11" s="12" t="str">
        <f>IF('Master Plan'!A80="","",'Master Plan'!A80)</f>
        <v>JO-07</v>
      </c>
      <c r="B11" s="13" t="str">
        <f>IF('Master Plan'!B80="","",'Master Plan'!B80)</f>
        <v>3 Sprint 2</v>
      </c>
      <c r="C11" s="13" t="str">
        <f>IF('Master Plan'!D80="","",'Master Plan'!D80)</f>
        <v>Corrections + approval matrix + F27 batch</v>
      </c>
      <c r="D11" s="13" t="str">
        <f>IF('Master Plan'!E80="","",'Master Plan'!E80)</f>
        <v>Correction form, SoD (proposer ≠ approver), approval by type/value, weekly Excel batch per system owner.</v>
      </c>
      <c r="E11" s="13" t="str">
        <f>IF('Master Plan'!G80="","",'Master Plan'!G80)</f>
        <v/>
      </c>
      <c r="F11" s="14">
        <f>IF('Master Plan'!H80="","",'Master Plan'!H80)</f>
        <v>46328</v>
      </c>
      <c r="G11" s="14">
        <f>IF('Master Plan'!I80="","",'Master Plan'!I80)</f>
        <v>46329</v>
      </c>
      <c r="H11" s="13">
        <f>IF('Master Plan'!J80="","",'Master Plan'!J80)</f>
        <v>2</v>
      </c>
      <c r="I11" s="13" t="str">
        <f>IF('Master Plan'!K80="","",'Master Plan'!K80)</f>
        <v>JO-05</v>
      </c>
      <c r="J11" s="13" t="str">
        <f>IF('Master Plan'!L80="","",'Master Plan'!L80)</f>
        <v>Corrections + F27</v>
      </c>
      <c r="K11" s="13" t="str">
        <f>IF('Master Plan'!M80="","",'Master Plan'!M80)</f>
        <v>Same-user approval is blocked</v>
      </c>
      <c r="L11" s="13" t="str">
        <f>IF('Master Plan'!N80="","",'Master Plan'!N80)</f>
        <v>11.9, 15.2</v>
      </c>
      <c r="M11" s="13" t="str">
        <f>IF('Master Plan'!O80="","",'Master Plan'!O80)</f>
        <v>Not started</v>
      </c>
      <c r="N11" s="13" t="str">
        <f ca="1">IF('Master Plan'!Q80="","",'Master Plan'!Q80)</f>
        <v/>
      </c>
    </row>
    <row r="12" spans="1:14" ht="35.1">
      <c r="A12" s="5" t="str">
        <f>IF('Master Plan'!A83="","",'Master Plan'!A83)</f>
        <v>JO-10</v>
      </c>
      <c r="B12" s="1" t="str">
        <f>IF('Master Plan'!B83="","",'Master Plan'!B83)</f>
        <v>3 Sprint 2</v>
      </c>
      <c r="C12" s="1" t="str">
        <f>IF('Master Plan'!D83="","",'Master Plan'!D83)</f>
        <v>Stock Assistant set-up + topics T1–T5</v>
      </c>
      <c r="D12" s="1" t="str">
        <f>IF('Master Plan'!E83="","",'Master Plan'!E83)</f>
        <v>Agent in DEV, Entra auth, STK-Knowledge library, read-only actions; topics: where is outturn, why variance, count progress, my exceptions, explain a rule.</v>
      </c>
      <c r="E12" s="1" t="str">
        <f>IF('Master Plan'!G83="","",'Master Plan'!G83)</f>
        <v>Nicole Akinyi</v>
      </c>
      <c r="F12" s="11">
        <f>IF('Master Plan'!H83="","",'Master Plan'!H83)</f>
        <v>46328</v>
      </c>
      <c r="G12" s="11">
        <f>IF('Master Plan'!I83="","",'Master Plan'!I83)</f>
        <v>46332</v>
      </c>
      <c r="H12" s="1">
        <f>IF('Master Plan'!J83="","",'Master Plan'!J83)</f>
        <v>5</v>
      </c>
      <c r="I12" s="1" t="str">
        <f>IF('Master Plan'!K83="","",'Master Plan'!K83)</f>
        <v>JO-01, DO-10</v>
      </c>
      <c r="J12" s="1" t="str">
        <f>IF('Master Plan'!L83="","",'Master Plan'!L83)</f>
        <v>Agent with T1–T5</v>
      </c>
      <c r="K12" s="1" t="str">
        <f>IF('Master Plan'!M83="","",'Master Plan'!M83)</f>
        <v>T1–T5 answer test questions correctly</v>
      </c>
      <c r="L12" s="1" t="str">
        <f>IF('Master Plan'!N83="","",'Master Plan'!N83)</f>
        <v>14</v>
      </c>
      <c r="M12" s="1" t="str">
        <f>IF('Master Plan'!O83="","",'Master Plan'!O83)</f>
        <v>Not started</v>
      </c>
      <c r="N12" s="1" t="str">
        <f ca="1">IF('Master Plan'!Q83="","",'Master Plan'!Q83)</f>
        <v/>
      </c>
    </row>
    <row r="13" spans="1:14" ht="35.1">
      <c r="A13" s="12" t="str">
        <f>IF('Master Plan'!A81="","",'Master Plan'!A81)</f>
        <v>JO-08</v>
      </c>
      <c r="B13" s="13" t="str">
        <f>IF('Master Plan'!B81="","",'Master Plan'!B81)</f>
        <v>3 Sprint 2</v>
      </c>
      <c r="C13" s="13" t="str">
        <f>IF('Master Plan'!D81="","",'Master Plan'!D81)</f>
        <v>Downgrade worksheet + F25; SNI/shorts views; feedback log</v>
      </c>
      <c r="D13" s="13" t="str">
        <f>IF('Master Plan'!E81="","",'Master Plan'!E81)</f>
        <v>Monthly Low Grade candidates; approval creates mapping versions + basket-transfer correction.</v>
      </c>
      <c r="E13" s="13" t="str">
        <f>IF('Master Plan'!G81="","",'Master Plan'!G81)</f>
        <v>Nicole Akinyi</v>
      </c>
      <c r="F13" s="14">
        <f>IF('Master Plan'!H81="","",'Master Plan'!H81)</f>
        <v>46329</v>
      </c>
      <c r="G13" s="14">
        <f>IF('Master Plan'!I81="","",'Master Plan'!I81)</f>
        <v>46330</v>
      </c>
      <c r="H13" s="13">
        <f>IF('Master Plan'!J81="","",'Master Plan'!J81)</f>
        <v>2</v>
      </c>
      <c r="I13" s="13" t="str">
        <f>IF('Master Plan'!K81="","",'Master Plan'!K81)</f>
        <v>JO-03</v>
      </c>
      <c r="J13" s="13" t="str">
        <f>IF('Master Plan'!L81="","",'Master Plan'!L81)</f>
        <v>Worksheet + views</v>
      </c>
      <c r="K13" s="13" t="str">
        <f>IF('Master Plan'!M81="","",'Master Plan'!M81)</f>
        <v>Approved downgrade shows RI-DOWNGRADE in L2</v>
      </c>
      <c r="L13" s="13" t="str">
        <f>IF('Master Plan'!N81="","",'Master Plan'!N81)</f>
        <v>11.3, 11.7, 11.10</v>
      </c>
      <c r="M13" s="13" t="str">
        <f>IF('Master Plan'!O81="","",'Master Plan'!O81)</f>
        <v>Not started</v>
      </c>
      <c r="N13" s="13" t="str">
        <f ca="1">IF('Master Plan'!Q81="","",'Master Plan'!Q81)</f>
        <v/>
      </c>
    </row>
    <row r="14" spans="1:14" ht="23.85">
      <c r="A14" s="5" t="str">
        <f>IF('Master Plan'!A82="","",'Master Plan'!A82)</f>
        <v>JO-09</v>
      </c>
      <c r="B14" s="1" t="str">
        <f>IF('Master Plan'!B82="","",'Master Plan'!B82)</f>
        <v>3 Sprint 2</v>
      </c>
      <c r="C14" s="1" t="str">
        <f>IF('Master Plan'!D82="","",'Master Plan'!D82)</f>
        <v>Sign-off BPF + F31 gate/lock + F32 trigger</v>
      </c>
      <c r="D14" s="1" t="str">
        <f>IF('Master Plan'!E82="","",'Master Plan'!E82)</f>
        <v>Six stages with automatic gate checks; final locks period and publishes pack.</v>
      </c>
      <c r="E14" s="1" t="str">
        <f>IF('Master Plan'!G82="","",'Master Plan'!G82)</f>
        <v>Nicole Akinyi</v>
      </c>
      <c r="F14" s="11">
        <f>IF('Master Plan'!H82="","",'Master Plan'!H82)</f>
        <v>46330</v>
      </c>
      <c r="G14" s="11">
        <f>IF('Master Plan'!I82="","",'Master Plan'!I82)</f>
        <v>46332</v>
      </c>
      <c r="H14" s="1">
        <f>IF('Master Plan'!J82="","",'Master Plan'!J82)</f>
        <v>3</v>
      </c>
      <c r="I14" s="1" t="str">
        <f>IF('Master Plan'!K82="","",'Master Plan'!K82)</f>
        <v>JO-06, NI-08</v>
      </c>
      <c r="J14" s="1" t="str">
        <f>IF('Master Plan'!L82="","",'Master Plan'!L82)</f>
        <v>Sign-off BPF</v>
      </c>
      <c r="K14" s="1" t="str">
        <f>IF('Master Plan'!M82="","",'Master Plan'!M82)</f>
        <v>UAT-06: sign-off blocked while residual ≠ 0</v>
      </c>
      <c r="L14" s="1" t="str">
        <f>IF('Master Plan'!N82="","",'Master Plan'!N82)</f>
        <v>11.11</v>
      </c>
      <c r="M14" s="1" t="str">
        <f>IF('Master Plan'!O82="","",'Master Plan'!O82)</f>
        <v>Not started</v>
      </c>
      <c r="N14" s="1" t="str">
        <f ca="1">IF('Master Plan'!Q82="","",'Master Plan'!Q82)</f>
        <v/>
      </c>
    </row>
    <row r="15" spans="1:14" ht="23.85">
      <c r="A15" s="12" t="str">
        <f>IF('Master Plan'!A100="","",'Master Plan'!A100)</f>
        <v>JO-11</v>
      </c>
      <c r="B15" s="13" t="str">
        <f>IF('Master Plan'!B100="","",'Master Plan'!B100)</f>
        <v>5 Training</v>
      </c>
      <c r="C15" s="13" t="str">
        <f>IF('Master Plan'!D100="","",'Master Plan'!D100)</f>
        <v>Topics T6–T10 + evaluation set</v>
      </c>
      <c r="D15" s="13" t="str">
        <f>IF('Master Plan'!E100="","",'Master Plan'!E100)</f>
        <v>Contract status, provisional status, summarise comments, draft correction note, month-end readiness; run ~30-question evaluation built with Nicole.</v>
      </c>
      <c r="E15" s="13" t="str">
        <f>IF('Master Plan'!G100="","",'Master Plan'!G100)</f>
        <v>Nicole Akinyi</v>
      </c>
      <c r="F15" s="14">
        <f>IF('Master Plan'!H100="","",'Master Plan'!H100)</f>
        <v>46335</v>
      </c>
      <c r="G15" s="14">
        <f>IF('Master Plan'!I100="","",'Master Plan'!I100)</f>
        <v>46337</v>
      </c>
      <c r="H15" s="13">
        <f>IF('Master Plan'!J100="","",'Master Plan'!J100)</f>
        <v>3</v>
      </c>
      <c r="I15" s="13" t="str">
        <f>IF('Master Plan'!K100="","",'Master Plan'!K100)</f>
        <v>JO-10, NI-09</v>
      </c>
      <c r="J15" s="13" t="str">
        <f>IF('Master Plan'!L100="","",'Master Plan'!L100)</f>
        <v>Agent T1–T10 + eval results</v>
      </c>
      <c r="K15" s="13" t="str">
        <f>IF('Master Plan'!M100="","",'Master Plan'!M100)</f>
        <v>≥ 90% correct; 100% on numbers</v>
      </c>
      <c r="L15" s="13" t="str">
        <f>IF('Master Plan'!N100="","",'Master Plan'!N100)</f>
        <v>14.4</v>
      </c>
      <c r="M15" s="13" t="str">
        <f>IF('Master Plan'!O100="","",'Master Plan'!O100)</f>
        <v>Not started</v>
      </c>
      <c r="N15" s="13" t="str">
        <f ca="1">IF('Master Plan'!Q100="","",'Master Plan'!Q100)</f>
        <v/>
      </c>
    </row>
    <row r="16" spans="1:14" ht="23.85">
      <c r="A16" s="5" t="str">
        <f>IF('Master Plan'!A104="","",'Master Plan'!A104)</f>
        <v>JO-13</v>
      </c>
      <c r="B16" s="1" t="str">
        <f>IF('Master Plan'!B104="","",'Master Plan'!B104)</f>
        <v>5 Training</v>
      </c>
      <c r="C16" s="1" t="str">
        <f>IF('Master Plan'!D104="","",'Master Plan'!D104)</f>
        <v>Train Trade, QC, Logistics, Finance, Management (Control Centre + Copilot)</v>
      </c>
      <c r="D16" s="1" t="str">
        <f>IF('Master Plan'!E104="","",'Master Plan'!E104)</f>
        <v>1.5–2 h per group: mapping, downgrade, provisional, SNI, exceptions, corrections, workspace, sign-off, Copilot.</v>
      </c>
      <c r="E16" s="1" t="str">
        <f>IF('Master Plan'!G104="","",'Master Plan'!G104)</f>
        <v>Nicole Akinyi, Daphne Okwaro</v>
      </c>
      <c r="F16" s="11">
        <f>IF('Master Plan'!H104="","",'Master Plan'!H104)</f>
        <v>46337</v>
      </c>
      <c r="G16" s="11">
        <f>IF('Master Plan'!I104="","",'Master Plan'!I104)</f>
        <v>46339</v>
      </c>
      <c r="H16" s="1">
        <f>IF('Master Plan'!J104="","",'Master Plan'!J104)</f>
        <v>3</v>
      </c>
      <c r="I16" s="1" t="str">
        <f>IF('Master Plan'!K104="","",'Master Plan'!K104)</f>
        <v>FR-04</v>
      </c>
      <c r="J16" s="1" t="str">
        <f>IF('Master Plan'!L104="","",'Master Plan'!L104)</f>
        <v>Attendance</v>
      </c>
      <c r="K16" s="1" t="str">
        <f>IF('Master Plan'!M104="","",'Master Plan'!M104)</f>
        <v>≥ 90% of named users trained</v>
      </c>
      <c r="L16" s="1" t="str">
        <f>IF('Master Plan'!N104="","",'Master Plan'!N104)</f>
        <v>21</v>
      </c>
      <c r="M16" s="1" t="str">
        <f>IF('Master Plan'!O104="","",'Master Plan'!O104)</f>
        <v>Not started</v>
      </c>
      <c r="N16" s="1" t="str">
        <f ca="1">IF('Master Plan'!Q104="","",'Master Plan'!Q104)</f>
        <v/>
      </c>
    </row>
    <row r="17" spans="1:14">
      <c r="A17" s="12" t="str">
        <f>IF('Master Plan'!A101="","",'Master Plan'!A101)</f>
        <v>JO-12</v>
      </c>
      <c r="B17" s="13" t="str">
        <f>IF('Master Plan'!B101="","",'Master Plan'!B101)</f>
        <v>5 Training</v>
      </c>
      <c r="C17" s="13" t="str">
        <f>IF('Master Plan'!D101="","",'Master Plan'!D101)</f>
        <v>Publish Stock Assistant to Teams (UAT)</v>
      </c>
      <c r="D17" s="13" t="str">
        <f>IF('Master Plan'!E101="","",'Master Plan'!E101)</f>
        <v>Teams channel publish; Control Centre side pane; Help link in app.</v>
      </c>
      <c r="E17" s="13" t="str">
        <f>IF('Master Plan'!G101="","",'Master Plan'!G101)</f>
        <v>Moses Masibo</v>
      </c>
      <c r="F17" s="14">
        <f>IF('Master Plan'!H101="","",'Master Plan'!H101)</f>
        <v>46338</v>
      </c>
      <c r="G17" s="14">
        <f>IF('Master Plan'!I101="","",'Master Plan'!I101)</f>
        <v>46339</v>
      </c>
      <c r="H17" s="13">
        <f>IF('Master Plan'!J101="","",'Master Plan'!J101)</f>
        <v>2</v>
      </c>
      <c r="I17" s="13" t="str">
        <f>IF('Master Plan'!K101="","",'Master Plan'!K101)</f>
        <v>JO-11</v>
      </c>
      <c r="J17" s="13" t="str">
        <f>IF('Master Plan'!L101="","",'Master Plan'!L101)</f>
        <v>Published agent</v>
      </c>
      <c r="K17" s="13" t="str">
        <f>IF('Master Plan'!M101="","",'Master Plan'!M101)</f>
        <v>Available to UAT users</v>
      </c>
      <c r="L17" s="13" t="str">
        <f>IF('Master Plan'!N101="","",'Master Plan'!N101)</f>
        <v>14</v>
      </c>
      <c r="M17" s="13" t="str">
        <f>IF('Master Plan'!O101="","",'Master Plan'!O101)</f>
        <v>Not started</v>
      </c>
      <c r="N17" s="13" t="str">
        <f ca="1">IF('Master Plan'!Q101="","",'Master Plan'!Q101)</f>
        <v/>
      </c>
    </row>
    <row r="18" spans="1:14" ht="23.85">
      <c r="A18" s="5" t="str">
        <f>IF('Master Plan'!A111="","",'Master Plan'!A111)</f>
        <v>JO-14</v>
      </c>
      <c r="B18" s="1" t="str">
        <f>IF('Master Plan'!B111="","",'Master Plan'!B111)</f>
        <v>6 UAT</v>
      </c>
      <c r="C18" s="1" t="str">
        <f>IF('Master Plan'!D111="","",'Master Plan'!D111)</f>
        <v>Fix UAT defects — Control Centre + Copilot</v>
      </c>
      <c r="D18" s="1" t="str">
        <f>IF('Master Plan'!E111="","",'Master Plan'!E111)</f>
        <v>Fix and redeploy within severity SLA.</v>
      </c>
      <c r="E18" s="1" t="str">
        <f>IF('Master Plan'!G111="","",'Master Plan'!G111)</f>
        <v/>
      </c>
      <c r="F18" s="11">
        <f>IF('Master Plan'!H111="","",'Master Plan'!H111)</f>
        <v>46342</v>
      </c>
      <c r="G18" s="11">
        <f>IF('Master Plan'!I111="","",'Master Plan'!I111)</f>
        <v>46352</v>
      </c>
      <c r="H18" s="1">
        <f>IF('Master Plan'!J111="","",'Master Plan'!J111)</f>
        <v>9</v>
      </c>
      <c r="I18" s="1" t="str">
        <f>IF('Master Plan'!K111="","",'Master Plan'!K111)</f>
        <v>PM-50</v>
      </c>
      <c r="J18" s="1" t="str">
        <f>IF('Master Plan'!L111="","",'Master Plan'!L111)</f>
        <v>Fixes</v>
      </c>
      <c r="K18" s="1" t="str">
        <f>IF('Master Plan'!M111="","",'Master Plan'!M111)</f>
        <v>No open Sev 1/2</v>
      </c>
      <c r="L18" s="1" t="str">
        <f>IF('Master Plan'!N111="","",'Master Plan'!N111)</f>
        <v>—</v>
      </c>
      <c r="M18" s="1" t="str">
        <f>IF('Master Plan'!O111="","",'Master Plan'!O111)</f>
        <v>Not started</v>
      </c>
      <c r="N18" s="1" t="str">
        <f ca="1">IF('Master Plan'!Q111="","",'Master Plan'!Q111)</f>
        <v/>
      </c>
    </row>
    <row r="20" spans="1:14">
      <c r="A20" s="4" t="s">
        <v>1071</v>
      </c>
    </row>
    <row r="21" spans="1:14" ht="30" customHeight="1">
      <c r="A21" s="9" t="s">
        <v>99</v>
      </c>
      <c r="B21" s="9" t="s">
        <v>51</v>
      </c>
      <c r="C21" s="9" t="s">
        <v>101</v>
      </c>
      <c r="D21" s="9" t="s">
        <v>103</v>
      </c>
      <c r="E21" s="9" t="s">
        <v>105</v>
      </c>
      <c r="F21" s="9" t="s">
        <v>106</v>
      </c>
    </row>
    <row r="22" spans="1:14" ht="23.85">
      <c r="A22" s="1" t="str">
        <f>IF('Master Plan'!A5="","",'Master Plan'!A5)</f>
        <v>PM-01</v>
      </c>
      <c r="B22" s="1" t="str">
        <f>IF('Master Plan'!B5="","",'Master Plan'!B5)</f>
        <v>0 Discovery</v>
      </c>
      <c r="C22" s="1" t="str">
        <f>IF('Master Plan'!D5="","",'Master Plan'!D5)</f>
        <v>Project kick-off and warehouse walk-through</v>
      </c>
      <c r="D22" s="1" t="str">
        <f>IF('Master Plan'!F5="","",'Master Plan'!F5)</f>
        <v>Daphne Okwaro</v>
      </c>
      <c r="E22" s="11">
        <f>IF('Master Plan'!H5="","",'Master Plan'!H5)</f>
        <v>46296</v>
      </c>
      <c r="F22" s="11">
        <f>IF('Master Plan'!I5="","",'Master Plan'!I5)</f>
        <v>46296</v>
      </c>
    </row>
    <row r="23" spans="1:14">
      <c r="A23" s="1" t="str">
        <f>IF('Master Plan'!A32="","",'Master Plan'!A32)</f>
        <v>PM-20</v>
      </c>
      <c r="B23" s="1" t="str">
        <f>IF('Master Plan'!B32="","",'Master Plan'!B32)</f>
        <v>2 Sprint 1</v>
      </c>
      <c r="C23" s="1" t="str">
        <f>IF('Master Plan'!D32="","",'Master Plan'!D32)</f>
        <v>Sprint 1 planning</v>
      </c>
      <c r="D23" s="1" t="str">
        <f>IF('Master Plan'!F32="","",'Master Plan'!F32)</f>
        <v>Daphne Okwaro</v>
      </c>
      <c r="E23" s="11">
        <f>IF('Master Plan'!H32="","",'Master Plan'!H32)</f>
        <v>46307</v>
      </c>
      <c r="F23" s="11">
        <f>IF('Master Plan'!I32="","",'Master Plan'!I32)</f>
        <v>46307</v>
      </c>
    </row>
    <row r="24" spans="1:14" ht="23.85">
      <c r="A24" s="1" t="str">
        <f>IF('Master Plan'!A14="","",'Master Plan'!A14)</f>
        <v>PM-13</v>
      </c>
      <c r="B24" s="1" t="str">
        <f>IF('Master Plan'!B14="","",'Master Plan'!B14)</f>
        <v>1 Design</v>
      </c>
      <c r="C24" s="1" t="str">
        <f>IF('Master Plan'!D14="","",'Master Plan'!D14)</f>
        <v>Design walkthrough with NKG (mockups + zero-variance model)</v>
      </c>
      <c r="D24" s="1" t="str">
        <f>IF('Master Plan'!F14="","",'Master Plan'!F14)</f>
        <v>Daphne Okwaro</v>
      </c>
      <c r="E24" s="11">
        <f>IF('Master Plan'!H14="","",'Master Plan'!H14)</f>
        <v>46308</v>
      </c>
      <c r="F24" s="11">
        <f>IF('Master Plan'!I14="","",'Master Plan'!I14)</f>
        <v>46308</v>
      </c>
    </row>
    <row r="25" spans="1:14">
      <c r="A25" s="1" t="str">
        <f>IF('Master Plan'!A52="","",'Master Plan'!A52)</f>
        <v>PM-21</v>
      </c>
      <c r="B25" s="1" t="str">
        <f>IF('Master Plan'!B52="","",'Master Plan'!B52)</f>
        <v>2 Sprint 1</v>
      </c>
      <c r="C25" s="1" t="str">
        <f>IF('Master Plan'!D52="","",'Master Plan'!D52)</f>
        <v>Sprint 1 review / demo to NKG</v>
      </c>
      <c r="D25" s="1" t="str">
        <f>IF('Master Plan'!F52="","",'Master Plan'!F52)</f>
        <v>Daphne Okwaro</v>
      </c>
      <c r="E25" s="11">
        <f>IF('Master Plan'!H52="","",'Master Plan'!H52)</f>
        <v>46318</v>
      </c>
      <c r="F25" s="11">
        <f>IF('Master Plan'!I52="","",'Master Plan'!I52)</f>
        <v>46318</v>
      </c>
    </row>
    <row r="26" spans="1:14">
      <c r="A26" s="1" t="str">
        <f>IF('Master Plan'!A53="","",'Master Plan'!A53)</f>
        <v>PM-30</v>
      </c>
      <c r="B26" s="1" t="str">
        <f>IF('Master Plan'!B53="","",'Master Plan'!B53)</f>
        <v>3 Sprint 2</v>
      </c>
      <c r="C26" s="1" t="str">
        <f>IF('Master Plan'!D53="","",'Master Plan'!D53)</f>
        <v>Sprint 2 planning</v>
      </c>
      <c r="D26" s="1" t="str">
        <f>IF('Master Plan'!F53="","",'Master Plan'!F53)</f>
        <v>Daphne Okwaro</v>
      </c>
      <c r="E26" s="11">
        <f>IF('Master Plan'!H53="","",'Master Plan'!H53)</f>
        <v>46321</v>
      </c>
      <c r="F26" s="11">
        <f>IF('Master Plan'!I53="","",'Master Plan'!I53)</f>
        <v>46321</v>
      </c>
    </row>
    <row r="27" spans="1:14" ht="23.85">
      <c r="A27" s="1" t="str">
        <f>IF('Master Plan'!A59="","",'Master Plan'!A59)</f>
        <v>DO-13</v>
      </c>
      <c r="B27" s="1" t="str">
        <f>IF('Master Plan'!B59="","",'Master Plan'!B59)</f>
        <v>3 Sprint 2</v>
      </c>
      <c r="C27" s="1" t="str">
        <f>IF('Master Plan'!D59="","",'Master Plan'!D59)</f>
        <v>F20 daily rules EX05–EX20 + upsert child flow</v>
      </c>
      <c r="D27" s="1" t="str">
        <f>IF('Master Plan'!F59="","",'Master Plan'!F59)</f>
        <v>Denis Otieno</v>
      </c>
      <c r="E27" s="11">
        <f>IF('Master Plan'!H59="","",'Master Plan'!H59)</f>
        <v>46323</v>
      </c>
      <c r="F27" s="11">
        <f>IF('Master Plan'!I59="","",'Master Plan'!I59)</f>
        <v>46330</v>
      </c>
    </row>
    <row r="28" spans="1:14">
      <c r="A28" s="1" t="str">
        <f>IF('Master Plan'!A99="","",'Master Plan'!A99)</f>
        <v>FR-04</v>
      </c>
      <c r="B28" s="1" t="str">
        <f>IF('Master Plan'!B99="","",'Master Plan'!B99)</f>
        <v>5 Training</v>
      </c>
      <c r="C28" s="1" t="str">
        <f>IF('Master Plan'!D99="","",'Master Plan'!D99)</f>
        <v>User guides and quick reference cards</v>
      </c>
      <c r="D28" s="1" t="str">
        <f>IF('Master Plan'!F99="","",'Master Plan'!F99)</f>
        <v>Frankie Omasaja</v>
      </c>
      <c r="E28" s="11">
        <f>IF('Master Plan'!H99="","",'Master Plan'!H99)</f>
        <v>46328</v>
      </c>
      <c r="F28" s="11">
        <f>IF('Master Plan'!I99="","",'Master Plan'!I99)</f>
        <v>46336</v>
      </c>
    </row>
    <row r="29" spans="1:14">
      <c r="A29" s="1" t="str">
        <f>IF('Master Plan'!A65="","",'Master Plan'!A65)</f>
        <v>NI-08</v>
      </c>
      <c r="B29" s="1" t="str">
        <f>IF('Master Plan'!B65="","",'Master Plan'!B65)</f>
        <v>3 Sprint 2</v>
      </c>
      <c r="C29" s="1" t="str">
        <f>IF('Master Plan'!D65="","",'Master Plan'!D65)</f>
        <v>Month-end pack template (F32)</v>
      </c>
      <c r="D29" s="1" t="str">
        <f>IF('Master Plan'!F65="","",'Master Plan'!F65)</f>
        <v>Nicole Akinyi</v>
      </c>
      <c r="E29" s="11">
        <f>IF('Master Plan'!H65="","",'Master Plan'!H65)</f>
        <v>46329</v>
      </c>
      <c r="F29" s="11">
        <f>IF('Master Plan'!I65="","",'Master Plan'!I65)</f>
        <v>46332</v>
      </c>
    </row>
    <row r="30" spans="1:14">
      <c r="A30" s="1" t="str">
        <f>IF('Master Plan'!A64="","",'Master Plan'!A64)</f>
        <v>NI-07</v>
      </c>
      <c r="B30" s="1" t="str">
        <f>IF('Master Plan'!B64="","",'Master Plan'!B64)</f>
        <v>3 Sprint 2</v>
      </c>
      <c r="C30" s="1" t="str">
        <f>IF('Master Plan'!D64="","",'Master Plan'!D64)</f>
        <v>RLS, workspace app, embed</v>
      </c>
      <c r="D30" s="1" t="str">
        <f>IF('Master Plan'!F64="","",'Master Plan'!F64)</f>
        <v>Nicole Akinyi</v>
      </c>
      <c r="E30" s="11">
        <f>IF('Master Plan'!H64="","",'Master Plan'!H64)</f>
        <v>46330</v>
      </c>
      <c r="F30" s="11">
        <f>IF('Master Plan'!I64="","",'Master Plan'!I64)</f>
        <v>46331</v>
      </c>
    </row>
    <row r="31" spans="1:14">
      <c r="A31" s="1" t="str">
        <f>IF('Master Plan'!A97="","",'Master Plan'!A97)</f>
        <v>PM-32</v>
      </c>
      <c r="B31" s="1" t="str">
        <f>IF('Master Plan'!B97="","",'Master Plan'!B97)</f>
        <v>4 SIT</v>
      </c>
      <c r="C31" s="1" t="str">
        <f>IF('Master Plan'!D97="","",'Master Plan'!D97)</f>
        <v>Sprint 2 review / SIT exit</v>
      </c>
      <c r="D31" s="1" t="str">
        <f>IF('Master Plan'!F97="","",'Master Plan'!F97)</f>
        <v>Daphne Okwaro</v>
      </c>
      <c r="E31" s="11">
        <f>IF('Master Plan'!H97="","",'Master Plan'!H97)</f>
        <v>46332</v>
      </c>
      <c r="F31" s="11">
        <f>IF('Master Plan'!I97="","",'Master Plan'!I97)</f>
        <v>46332</v>
      </c>
    </row>
    <row r="32" spans="1:14" ht="23.85">
      <c r="A32" s="1" t="str">
        <f>IF('Master Plan'!A122="","",'Master Plan'!A122)</f>
        <v>PM-61</v>
      </c>
      <c r="B32" s="1" t="str">
        <f>IF('Master Plan'!B122="","",'Master Plan'!B122)</f>
        <v>7 Cutover</v>
      </c>
      <c r="C32" s="1" t="str">
        <f>IF('Master Plan'!D122="","",'Master Plan'!D122)</f>
        <v>First live month-end count (November) in PROD</v>
      </c>
      <c r="D32" s="1" t="str">
        <f>IF('Master Plan'!F122="","",'Master Plan'!F122)</f>
        <v>Daphne Okwaro</v>
      </c>
      <c r="E32" s="11">
        <f>IF('Master Plan'!H122="","",'Master Plan'!H122)</f>
        <v>46357</v>
      </c>
      <c r="F32" s="11">
        <f>IF('Master Plan'!I122="","",'Master Plan'!I122)</f>
        <v>46359</v>
      </c>
    </row>
    <row r="33" spans="1:6" ht="23.85">
      <c r="A33" s="1" t="str">
        <f>IF('Master Plan'!A125="","",'Master Plan'!A125)</f>
        <v>PM-63</v>
      </c>
      <c r="B33" s="1" t="str">
        <f>IF('Master Plan'!B125="","",'Master Plan'!B125)</f>
        <v>8 Hypercare</v>
      </c>
      <c r="C33" s="1" t="str">
        <f>IF('Master Plan'!D125="","",'Master Plan'!D125)</f>
        <v>Hypercare: daily stand-up with NKG super users</v>
      </c>
      <c r="D33" s="1" t="str">
        <f>IF('Master Plan'!F125="","",'Master Plan'!F125)</f>
        <v>Daphne Okwaro</v>
      </c>
      <c r="E33" s="11">
        <f>IF('Master Plan'!H125="","",'Master Plan'!H125)</f>
        <v>46357</v>
      </c>
      <c r="F33" s="11">
        <f>IF('Master Plan'!I125="","",'Master Plan'!I125)</f>
        <v>46367</v>
      </c>
    </row>
    <row r="34" spans="1:6">
      <c r="A34" s="1" t="str">
        <f>IF('Master Plan'!A123="","",'Master Plan'!A123)</f>
        <v>DO-22</v>
      </c>
      <c r="B34" s="1" t="str">
        <f>IF('Master Plan'!B123="","",'Master Plan'!B123)</f>
        <v>8 Hypercare</v>
      </c>
      <c r="C34" s="1" t="str">
        <f>IF('Master Plan'!D123="","",'Master Plan'!D123)</f>
        <v>November L1–L3 runs; drive residual to 0</v>
      </c>
      <c r="D34" s="1" t="str">
        <f>IF('Master Plan'!F123="","",'Master Plan'!F123)</f>
        <v>Denis Otieno</v>
      </c>
      <c r="E34" s="11">
        <f>IF('Master Plan'!H123="","",'Master Plan'!H123)</f>
        <v>46359</v>
      </c>
      <c r="F34" s="11">
        <f>IF('Master Plan'!I123="","",'Master Plan'!I123)</f>
        <v>46365</v>
      </c>
    </row>
    <row r="35" spans="1:6">
      <c r="A35" s="1" t="str">
        <f>IF('Master Plan'!A124="","",'Master Plan'!A124)</f>
        <v>PM-62</v>
      </c>
      <c r="B35" s="1" t="str">
        <f>IF('Master Plan'!B124="","",'Master Plan'!B124)</f>
        <v>8 Hypercare</v>
      </c>
      <c r="C35" s="1" t="str">
        <f>IF('Master Plan'!D124="","",'Master Plan'!D124)</f>
        <v>First live sign-off (residual = 0 gate)</v>
      </c>
      <c r="D35" s="1" t="str">
        <f>IF('Master Plan'!F124="","",'Master Plan'!F124)</f>
        <v>Daphne Okwaro</v>
      </c>
      <c r="E35" s="11">
        <f>IF('Master Plan'!H124="","",'Master Plan'!H124)</f>
        <v>46365</v>
      </c>
      <c r="F35" s="11">
        <f>IF('Master Plan'!I124="","",'Master Plan'!I124)</f>
        <v>46365</v>
      </c>
    </row>
  </sheetData>
  <conditionalFormatting sqref="M5:M18">
    <cfRule type="cellIs" dxfId="7" priority="2" operator="equal">
      <formula>"Complete"</formula>
    </cfRule>
    <cfRule type="cellIs" dxfId="6" priority="3" operator="equal">
      <formula>"In progress"</formula>
    </cfRule>
    <cfRule type="cellIs" dxfId="5" priority="4" operator="equal">
      <formula>"Blocked"</formula>
    </cfRule>
    <cfRule type="cellIs" dxfId="4" priority="5" operator="equal">
      <formula>"At risk"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N25"/>
  <sheetViews>
    <sheetView showGridLines="0" zoomScaleNormal="100" workbookViewId="0">
      <pane xSplit="3" ySplit="4" topLeftCell="D5" activePane="bottomRight" state="frozen"/>
      <selection pane="bottomRight"/>
      <selection pane="bottomLeft" activeCell="A5" sqref="A5"/>
      <selection pane="topRight" activeCell="D1" sqref="D1"/>
    </sheetView>
  </sheetViews>
  <sheetFormatPr defaultColWidth="8.7109375" defaultRowHeight="15"/>
  <cols>
    <col min="1" max="1" width="8" customWidth="1"/>
    <col min="2" max="2" width="12" customWidth="1"/>
    <col min="3" max="3" width="34" customWidth="1"/>
    <col min="4" max="4" width="60" customWidth="1"/>
    <col min="5" max="5" width="20" customWidth="1"/>
    <col min="6" max="7" width="12" customWidth="1"/>
    <col min="8" max="8" width="8" customWidth="1"/>
    <col min="9" max="9" width="12" customWidth="1"/>
    <col min="10" max="10" width="24" customWidth="1"/>
    <col min="11" max="11" width="30" customWidth="1"/>
    <col min="12" max="12" width="9" customWidth="1"/>
    <col min="13" max="13" width="12" customWidth="1"/>
    <col min="14" max="14" width="10" customWidth="1"/>
  </cols>
  <sheetData>
    <row r="1" spans="1:14" ht="19.7">
      <c r="A1" s="2" t="s">
        <v>1072</v>
      </c>
    </row>
    <row r="2" spans="1:14">
      <c r="A2" s="3" t="s">
        <v>1073</v>
      </c>
    </row>
    <row r="4" spans="1:14" ht="30" customHeight="1">
      <c r="A4" s="9" t="s">
        <v>99</v>
      </c>
      <c r="B4" s="9" t="s">
        <v>51</v>
      </c>
      <c r="C4" s="9" t="s">
        <v>101</v>
      </c>
      <c r="D4" s="9" t="s">
        <v>102</v>
      </c>
      <c r="E4" s="9" t="s">
        <v>104</v>
      </c>
      <c r="F4" s="9" t="s">
        <v>105</v>
      </c>
      <c r="G4" s="9" t="s">
        <v>106</v>
      </c>
      <c r="H4" s="9" t="s">
        <v>107</v>
      </c>
      <c r="I4" s="9" t="s">
        <v>108</v>
      </c>
      <c r="J4" s="9" t="s">
        <v>1051</v>
      </c>
      <c r="K4" s="9" t="s">
        <v>1052</v>
      </c>
      <c r="L4" s="9" t="s">
        <v>111</v>
      </c>
      <c r="M4" s="9" t="s">
        <v>112</v>
      </c>
      <c r="N4" s="9" t="s">
        <v>114</v>
      </c>
    </row>
    <row r="5" spans="1:14" ht="23.85">
      <c r="A5" s="12" t="str">
        <f>IF('Master Plan'!A31="","",'Master Plan'!A31)</f>
        <v>FR-01</v>
      </c>
      <c r="B5" s="13" t="str">
        <f>IF('Master Plan'!B31="","",'Master Plan'!B31)</f>
        <v>1 Design</v>
      </c>
      <c r="C5" s="13" t="str">
        <f>IF('Master Plan'!D31="","",'Master Plan'!D31)</f>
        <v>Test strategy and defect process</v>
      </c>
      <c r="D5" s="13" t="str">
        <f>IF('Master Plan'!E31="","",'Master Plan'!E31)</f>
        <v>Defect log (severity 1–4, owner, status), test case template, SIT script structure per area.</v>
      </c>
      <c r="E5" s="13" t="str">
        <f>IF('Master Plan'!G31="","",'Master Plan'!G31)</f>
        <v>Daphne Okwaro</v>
      </c>
      <c r="F5" s="14">
        <f>IF('Master Plan'!H31="","",'Master Plan'!H31)</f>
        <v>46308</v>
      </c>
      <c r="G5" s="14">
        <f>IF('Master Plan'!I31="","",'Master Plan'!I31)</f>
        <v>46311</v>
      </c>
      <c r="H5" s="13">
        <f>IF('Master Plan'!J31="","",'Master Plan'!J31)</f>
        <v>4</v>
      </c>
      <c r="I5" s="13" t="str">
        <f>IF('Master Plan'!K31="","",'Master Plan'!K31)</f>
        <v>PM-04</v>
      </c>
      <c r="J5" s="13" t="str">
        <f>IF('Master Plan'!L31="","",'Master Plan'!L31)</f>
        <v>Test strategy + defect log</v>
      </c>
      <c r="K5" s="13" t="str">
        <f>IF('Master Plan'!M31="","",'Master Plan'!M31)</f>
        <v>Approved by PM</v>
      </c>
      <c r="L5" s="13" t="str">
        <f>IF('Master Plan'!N31="","",'Master Plan'!N31)</f>
        <v>18</v>
      </c>
      <c r="M5" s="13" t="str">
        <f>IF('Master Plan'!O31="","",'Master Plan'!O31)</f>
        <v>Not started</v>
      </c>
      <c r="N5" s="13" t="str">
        <f ca="1">IF('Master Plan'!Q31="","",'Master Plan'!Q31)</f>
        <v/>
      </c>
    </row>
    <row r="6" spans="1:14" ht="23.85">
      <c r="A6" s="5" t="str">
        <f>IF('Master Plan'!A51="","",'Master Plan'!A51)</f>
        <v>FR-02</v>
      </c>
      <c r="B6" s="1" t="str">
        <f>IF('Master Plan'!B51="","",'Master Plan'!B51)</f>
        <v>2 Sprint 1</v>
      </c>
      <c r="C6" s="1" t="str">
        <f>IF('Master Plan'!D51="","",'Master Plan'!D51)</f>
        <v>Write SIT scripts</v>
      </c>
      <c r="D6" s="1" t="str">
        <f>IF('Master Plan'!E51="","",'Master Plan'!E51)</f>
        <v>Scripts for INT, MAP, CNT, EXC, COR, PRV, REG, 3P, CON, FB areas with steps, test data and expected results.</v>
      </c>
      <c r="E6" s="1" t="str">
        <f>IF('Master Plan'!G51="","",'Master Plan'!G51)</f>
        <v>Nicole Akinyi</v>
      </c>
      <c r="F6" s="11">
        <f>IF('Master Plan'!H51="","",'Master Plan'!H51)</f>
        <v>46314</v>
      </c>
      <c r="G6" s="11">
        <f>IF('Master Plan'!I51="","",'Master Plan'!I51)</f>
        <v>46318</v>
      </c>
      <c r="H6" s="1">
        <f>IF('Master Plan'!J51="","",'Master Plan'!J51)</f>
        <v>4</v>
      </c>
      <c r="I6" s="1" t="str">
        <f>IF('Master Plan'!K51="","",'Master Plan'!K51)</f>
        <v>FR-01, NI-03</v>
      </c>
      <c r="J6" s="1" t="str">
        <f>IF('Master Plan'!L51="","",'Master Plan'!L51)</f>
        <v>SIT script pack</v>
      </c>
      <c r="K6" s="1" t="str">
        <f>IF('Master Plan'!M51="","",'Master Plan'!M51)</f>
        <v>Reviewed by Moses</v>
      </c>
      <c r="L6" s="1" t="str">
        <f>IF('Master Plan'!N51="","",'Master Plan'!N51)</f>
        <v>18.1, App. B</v>
      </c>
      <c r="M6" s="1" t="str">
        <f>IF('Master Plan'!O51="","",'Master Plan'!O51)</f>
        <v>Not started</v>
      </c>
      <c r="N6" s="1" t="str">
        <f ca="1">IF('Master Plan'!Q51="","",'Master Plan'!Q51)</f>
        <v/>
      </c>
    </row>
    <row r="7" spans="1:14" ht="23.85">
      <c r="A7" s="12" t="str">
        <f>IF('Master Plan'!A87="","",'Master Plan'!A87)</f>
        <v>FR-03</v>
      </c>
      <c r="B7" s="13" t="str">
        <f>IF('Master Plan'!B87="","",'Master Plan'!B87)</f>
        <v>4 SIT</v>
      </c>
      <c r="C7" s="13" t="str">
        <f>IF('Master Plan'!D87="","",'Master Plan'!D87)</f>
        <v>Execute SIT scripts (rolling as features land)</v>
      </c>
      <c r="D7" s="13" t="str">
        <f>IF('Master Plan'!E87="","",'Master Plan'!E87)</f>
        <v>Run scripts per area as each feature is merged; log defects; retest fixes.</v>
      </c>
      <c r="E7" s="13" t="str">
        <f>IF('Master Plan'!G87="","",'Master Plan'!G87)</f>
        <v>Nicole Akinyi</v>
      </c>
      <c r="F7" s="14">
        <f>IF('Master Plan'!H87="","",'Master Plan'!H87)</f>
        <v>46321</v>
      </c>
      <c r="G7" s="14">
        <f>IF('Master Plan'!I87="","",'Master Plan'!I87)</f>
        <v>46332</v>
      </c>
      <c r="H7" s="13">
        <f>IF('Master Plan'!J87="","",'Master Plan'!J87)</f>
        <v>10</v>
      </c>
      <c r="I7" s="13" t="str">
        <f>IF('Master Plan'!K87="","",'Master Plan'!K87)</f>
        <v>FR-02</v>
      </c>
      <c r="J7" s="13" t="str">
        <f>IF('Master Plan'!L87="","",'Master Plan'!L87)</f>
        <v>SIT results + defect log</v>
      </c>
      <c r="K7" s="13" t="str">
        <f>IF('Master Plan'!M87="","",'Master Plan'!M87)</f>
        <v>All scripts executed; 0 open Sev 1/2</v>
      </c>
      <c r="L7" s="13" t="str">
        <f>IF('Master Plan'!N87="","",'Master Plan'!N87)</f>
        <v>18</v>
      </c>
      <c r="M7" s="13" t="str">
        <f>IF('Master Plan'!O87="","",'Master Plan'!O87)</f>
        <v>Not started</v>
      </c>
      <c r="N7" s="13" t="str">
        <f ca="1">IF('Master Plan'!Q87="","",'Master Plan'!Q87)</f>
        <v/>
      </c>
    </row>
    <row r="8" spans="1:14" ht="23.85">
      <c r="A8" s="5" t="str">
        <f>IF('Master Plan'!A99="","",'Master Plan'!A99)</f>
        <v>FR-04</v>
      </c>
      <c r="B8" s="1" t="str">
        <f>IF('Master Plan'!B99="","",'Master Plan'!B99)</f>
        <v>5 Training</v>
      </c>
      <c r="C8" s="1" t="str">
        <f>IF('Master Plan'!D99="","",'Master Plan'!D99)</f>
        <v>User guides and quick reference cards</v>
      </c>
      <c r="D8" s="1" t="str">
        <f>IF('Master Plan'!E99="","",'Master Plan'!E99)</f>
        <v>Counter card (laminated), supervisor, Ops admin, Trade/QC/Logistics, Finance/Management guides from developer inputs.</v>
      </c>
      <c r="E8" s="1" t="str">
        <f>IF('Master Plan'!G99="","",'Master Plan'!G99)</f>
        <v>William Imo, Andrew Tanui, Jones Alukwe</v>
      </c>
      <c r="F8" s="11">
        <f>IF('Master Plan'!H99="","",'Master Plan'!H99)</f>
        <v>46328</v>
      </c>
      <c r="G8" s="11">
        <f>IF('Master Plan'!I99="","",'Master Plan'!I99)</f>
        <v>46336</v>
      </c>
      <c r="H8" s="1">
        <f>IF('Master Plan'!J99="","",'Master Plan'!J99)</f>
        <v>7</v>
      </c>
      <c r="I8" s="1" t="str">
        <f>IF('Master Plan'!K99="","",'Master Plan'!K99)</f>
        <v>PM-32</v>
      </c>
      <c r="J8" s="1" t="str">
        <f>IF('Master Plan'!L99="","",'Master Plan'!L99)</f>
        <v>Guides + cards</v>
      </c>
      <c r="K8" s="1" t="str">
        <f>IF('Master Plan'!M99="","",'Master Plan'!M99)</f>
        <v>Reviewed by PM</v>
      </c>
      <c r="L8" s="1" t="str">
        <f>IF('Master Plan'!N99="","",'Master Plan'!N99)</f>
        <v>21</v>
      </c>
      <c r="M8" s="1" t="str">
        <f>IF('Master Plan'!O99="","",'Master Plan'!O99)</f>
        <v>Not started</v>
      </c>
      <c r="N8" s="1" t="str">
        <f ca="1">IF('Master Plan'!Q99="","",'Master Plan'!Q99)</f>
        <v/>
      </c>
    </row>
    <row r="9" spans="1:14">
      <c r="A9" s="12" t="str">
        <f>IF('Master Plan'!A107="","",'Master Plan'!A107)</f>
        <v>FR-05</v>
      </c>
      <c r="B9" s="13" t="str">
        <f>IF('Master Plan'!B107="","",'Master Plan'!B107)</f>
        <v>5 Training</v>
      </c>
      <c r="C9" s="13" t="str">
        <f>IF('Master Plan'!D107="","",'Master Plan'!D107)</f>
        <v>UAT scripts and UAT participant packs</v>
      </c>
      <c r="D9" s="13" t="str">
        <f>IF('Master Plan'!E107="","",'Master Plan'!E107)</f>
        <v>Scenarios UAT-01..07 per department with test data and sign-off sheet.</v>
      </c>
      <c r="E9" s="13" t="str">
        <f>IF('Master Plan'!G107="","",'Master Plan'!G107)</f>
        <v>Daphne Okwaro</v>
      </c>
      <c r="F9" s="14">
        <f>IF('Master Plan'!H107="","",'Master Plan'!H107)</f>
        <v>46335</v>
      </c>
      <c r="G9" s="14">
        <f>IF('Master Plan'!I107="","",'Master Plan'!I107)</f>
        <v>46339</v>
      </c>
      <c r="H9" s="13">
        <f>IF('Master Plan'!J107="","",'Master Plan'!J107)</f>
        <v>5</v>
      </c>
      <c r="I9" s="13" t="str">
        <f>IF('Master Plan'!K107="","",'Master Plan'!K107)</f>
        <v>PM-32</v>
      </c>
      <c r="J9" s="13" t="str">
        <f>IF('Master Plan'!L107="","",'Master Plan'!L107)</f>
        <v>UAT pack</v>
      </c>
      <c r="K9" s="13" t="str">
        <f>IF('Master Plan'!M107="","",'Master Plan'!M107)</f>
        <v>Reviewed by department leads</v>
      </c>
      <c r="L9" s="13" t="str">
        <f>IF('Master Plan'!N107="","",'Master Plan'!N107)</f>
        <v>18.3</v>
      </c>
      <c r="M9" s="13" t="str">
        <f>IF('Master Plan'!O107="","",'Master Plan'!O107)</f>
        <v>Not started</v>
      </c>
      <c r="N9" s="13" t="str">
        <f ca="1">IF('Master Plan'!Q107="","",'Master Plan'!Q107)</f>
        <v/>
      </c>
    </row>
    <row r="10" spans="1:14" ht="23.85">
      <c r="A10" s="5" t="str">
        <f>IF('Master Plan'!A128="","",'Master Plan'!A128)</f>
        <v>FR-06</v>
      </c>
      <c r="B10" s="1" t="str">
        <f>IF('Master Plan'!B128="","",'Master Plan'!B128)</f>
        <v>8 Hypercare</v>
      </c>
      <c r="C10" s="1" t="str">
        <f>IF('Master Plan'!D128="","",'Master Plan'!D128)</f>
        <v>As-built documentation pack</v>
      </c>
      <c r="D10" s="1" t="str">
        <f>IF('Master Plan'!E128="","",'Master Plan'!E128)</f>
        <v>Spec as-built, admin guide, user guides, runbooks, data dictionary in STK-Knowledge.</v>
      </c>
      <c r="E10" s="1" t="str">
        <f>IF('Master Plan'!G128="","",'Master Plan'!G128)</f>
        <v>Moses Masibo</v>
      </c>
      <c r="F10" s="11">
        <f>IF('Master Plan'!H128="","",'Master Plan'!H128)</f>
        <v>46363</v>
      </c>
      <c r="G10" s="11">
        <f>IF('Master Plan'!I128="","",'Master Plan'!I128)</f>
        <v>46367</v>
      </c>
      <c r="H10" s="1">
        <f>IF('Master Plan'!J128="","",'Master Plan'!J128)</f>
        <v>5</v>
      </c>
      <c r="I10" s="1" t="str">
        <f>IF('Master Plan'!K128="","",'Master Plan'!K128)</f>
        <v/>
      </c>
      <c r="J10" s="1" t="str">
        <f>IF('Master Plan'!L128="","",'Master Plan'!L128)</f>
        <v>Handover pack</v>
      </c>
      <c r="K10" s="1" t="str">
        <f>IF('Master Plan'!M128="","",'Master Plan'!M128)</f>
        <v>Accepted by NKG IT</v>
      </c>
      <c r="L10" s="1" t="str">
        <f>IF('Master Plan'!N128="","",'Master Plan'!N128)</f>
        <v>20.4</v>
      </c>
      <c r="M10" s="1" t="str">
        <f>IF('Master Plan'!O128="","",'Master Plan'!O128)</f>
        <v>Not started</v>
      </c>
      <c r="N10" s="1" t="str">
        <f ca="1">IF('Master Plan'!Q128="","",'Master Plan'!Q128)</f>
        <v/>
      </c>
    </row>
    <row r="12" spans="1:14">
      <c r="A12" s="4" t="s">
        <v>1074</v>
      </c>
    </row>
    <row r="13" spans="1:14" ht="30" customHeight="1">
      <c r="A13" s="9" t="s">
        <v>99</v>
      </c>
      <c r="B13" s="9" t="s">
        <v>51</v>
      </c>
      <c r="C13" s="9" t="s">
        <v>101</v>
      </c>
      <c r="D13" s="9" t="s">
        <v>103</v>
      </c>
      <c r="E13" s="9" t="s">
        <v>105</v>
      </c>
      <c r="F13" s="9" t="s">
        <v>106</v>
      </c>
    </row>
    <row r="14" spans="1:14" ht="23.85">
      <c r="A14" s="1" t="str">
        <f>IF('Master Plan'!A5="","",'Master Plan'!A5)</f>
        <v>PM-01</v>
      </c>
      <c r="B14" s="1" t="str">
        <f>IF('Master Plan'!B5="","",'Master Plan'!B5)</f>
        <v>0 Discovery</v>
      </c>
      <c r="C14" s="1" t="str">
        <f>IF('Master Plan'!D5="","",'Master Plan'!D5)</f>
        <v>Project kick-off and warehouse walk-through</v>
      </c>
      <c r="D14" s="1" t="str">
        <f>IF('Master Plan'!F5="","",'Master Plan'!F5)</f>
        <v>Daphne Okwaro</v>
      </c>
      <c r="E14" s="11">
        <f>IF('Master Plan'!H5="","",'Master Plan'!H5)</f>
        <v>46296</v>
      </c>
      <c r="F14" s="11">
        <f>IF('Master Plan'!I5="","",'Master Plan'!I5)</f>
        <v>46296</v>
      </c>
    </row>
    <row r="15" spans="1:14">
      <c r="A15" s="1" t="str">
        <f>IF('Master Plan'!A32="","",'Master Plan'!A32)</f>
        <v>PM-20</v>
      </c>
      <c r="B15" s="1" t="str">
        <f>IF('Master Plan'!B32="","",'Master Plan'!B32)</f>
        <v>2 Sprint 1</v>
      </c>
      <c r="C15" s="1" t="str">
        <f>IF('Master Plan'!D32="","",'Master Plan'!D32)</f>
        <v>Sprint 1 planning</v>
      </c>
      <c r="D15" s="1" t="str">
        <f>IF('Master Plan'!F32="","",'Master Plan'!F32)</f>
        <v>Daphne Okwaro</v>
      </c>
      <c r="E15" s="11">
        <f>IF('Master Plan'!H32="","",'Master Plan'!H32)</f>
        <v>46307</v>
      </c>
      <c r="F15" s="11">
        <f>IF('Master Plan'!I32="","",'Master Plan'!I32)</f>
        <v>46307</v>
      </c>
    </row>
    <row r="16" spans="1:14">
      <c r="A16" s="1" t="str">
        <f>IF('Master Plan'!A40="","",'Master Plan'!A40)</f>
        <v>NI-03</v>
      </c>
      <c r="B16" s="1" t="str">
        <f>IF('Master Plan'!B40="","",'Master Plan'!B40)</f>
        <v>2 Sprint 1</v>
      </c>
      <c r="C16" s="1" t="str">
        <f>IF('Master Plan'!D40="","",'Master Plan'!D40)</f>
        <v>Build test data sets</v>
      </c>
      <c r="D16" s="1" t="str">
        <f>IF('Master Plan'!F40="","",'Master Plan'!F40)</f>
        <v>Nicole Akinyi</v>
      </c>
      <c r="E16" s="11">
        <f>IF('Master Plan'!H40="","",'Master Plan'!H40)</f>
        <v>46314</v>
      </c>
      <c r="F16" s="11">
        <f>IF('Master Plan'!I40="","",'Master Plan'!I40)</f>
        <v>46318</v>
      </c>
    </row>
    <row r="17" spans="1:6">
      <c r="A17" s="1" t="str">
        <f>IF('Master Plan'!A52="","",'Master Plan'!A52)</f>
        <v>PM-21</v>
      </c>
      <c r="B17" s="1" t="str">
        <f>IF('Master Plan'!B52="","",'Master Plan'!B52)</f>
        <v>2 Sprint 1</v>
      </c>
      <c r="C17" s="1" t="str">
        <f>IF('Master Plan'!D52="","",'Master Plan'!D52)</f>
        <v>Sprint 1 review / demo to NKG</v>
      </c>
      <c r="D17" s="1" t="str">
        <f>IF('Master Plan'!F52="","",'Master Plan'!F52)</f>
        <v>Daphne Okwaro</v>
      </c>
      <c r="E17" s="11">
        <f>IF('Master Plan'!H52="","",'Master Plan'!H52)</f>
        <v>46318</v>
      </c>
      <c r="F17" s="11">
        <f>IF('Master Plan'!I52="","",'Master Plan'!I52)</f>
        <v>46318</v>
      </c>
    </row>
    <row r="18" spans="1:6">
      <c r="A18" s="1" t="str">
        <f>IF('Master Plan'!A53="","",'Master Plan'!A53)</f>
        <v>PM-30</v>
      </c>
      <c r="B18" s="1" t="str">
        <f>IF('Master Plan'!B53="","",'Master Plan'!B53)</f>
        <v>3 Sprint 2</v>
      </c>
      <c r="C18" s="1" t="str">
        <f>IF('Master Plan'!D53="","",'Master Plan'!D53)</f>
        <v>Sprint 2 planning</v>
      </c>
      <c r="D18" s="1" t="str">
        <f>IF('Master Plan'!F53="","",'Master Plan'!F53)</f>
        <v>Daphne Okwaro</v>
      </c>
      <c r="E18" s="11">
        <f>IF('Master Plan'!H53="","",'Master Plan'!H53)</f>
        <v>46321</v>
      </c>
      <c r="F18" s="11">
        <f>IF('Master Plan'!I53="","",'Master Plan'!I53)</f>
        <v>46321</v>
      </c>
    </row>
    <row r="19" spans="1:6">
      <c r="A19" s="1" t="str">
        <f>IF('Master Plan'!A98="","",'Master Plan'!A98)</f>
        <v>PM-40</v>
      </c>
      <c r="B19" s="1" t="str">
        <f>IF('Master Plan'!B98="","",'Master Plan'!B98)</f>
        <v>5 Training</v>
      </c>
      <c r="C19" s="1" t="str">
        <f>IF('Master Plan'!D98="","",'Master Plan'!D98)</f>
        <v>Training plan, schedule and invites</v>
      </c>
      <c r="D19" s="1" t="str">
        <f>IF('Master Plan'!F98="","",'Master Plan'!F98)</f>
        <v>Daphne Okwaro</v>
      </c>
      <c r="E19" s="11">
        <f>IF('Master Plan'!H98="","",'Master Plan'!H98)</f>
        <v>46324</v>
      </c>
      <c r="F19" s="11">
        <f>IF('Master Plan'!I98="","",'Master Plan'!I98)</f>
        <v>46332</v>
      </c>
    </row>
    <row r="20" spans="1:6">
      <c r="A20" s="1" t="str">
        <f>IF('Master Plan'!A70="","",'Master Plan'!A70)</f>
        <v>WI-10</v>
      </c>
      <c r="B20" s="1" t="str">
        <f>IF('Master Plan'!B70="","",'Master Plan'!B70)</f>
        <v>3 Sprint 2</v>
      </c>
      <c r="C20" s="1" t="str">
        <f>IF('Master Plan'!D70="","",'Master Plan'!D70)</f>
        <v>Device and floor testing</v>
      </c>
      <c r="D20" s="1" t="str">
        <f>IF('Master Plan'!F70="","",'Master Plan'!F70)</f>
        <v>William Imo</v>
      </c>
      <c r="E20" s="11">
        <f>IF('Master Plan'!H70="","",'Master Plan'!H70)</f>
        <v>46329</v>
      </c>
      <c r="F20" s="11">
        <f>IF('Master Plan'!I70="","",'Master Plan'!I70)</f>
        <v>46331</v>
      </c>
    </row>
    <row r="21" spans="1:6">
      <c r="A21" s="1" t="str">
        <f>IF('Master Plan'!A96="","",'Master Plan'!A96)</f>
        <v>MO-13</v>
      </c>
      <c r="B21" s="1" t="str">
        <f>IF('Master Plan'!B96="","",'Master Plan'!B96)</f>
        <v>4 SIT</v>
      </c>
      <c r="C21" s="1" t="str">
        <f>IF('Master Plan'!D96="","",'Master Plan'!D96)</f>
        <v>Performance and security tests</v>
      </c>
      <c r="D21" s="1" t="str">
        <f>IF('Master Plan'!F96="","",'Master Plan'!F96)</f>
        <v>Moses Masibo</v>
      </c>
      <c r="E21" s="11">
        <f>IF('Master Plan'!H96="","",'Master Plan'!H96)</f>
        <v>46329</v>
      </c>
      <c r="F21" s="11">
        <f>IF('Master Plan'!I96="","",'Master Plan'!I96)</f>
        <v>46332</v>
      </c>
    </row>
    <row r="22" spans="1:6">
      <c r="A22" s="1" t="str">
        <f>IF('Master Plan'!A97="","",'Master Plan'!A97)</f>
        <v>PM-32</v>
      </c>
      <c r="B22" s="1" t="str">
        <f>IF('Master Plan'!B97="","",'Master Plan'!B97)</f>
        <v>4 SIT</v>
      </c>
      <c r="C22" s="1" t="str">
        <f>IF('Master Plan'!D97="","",'Master Plan'!D97)</f>
        <v>Sprint 2 review / SIT exit</v>
      </c>
      <c r="D22" s="1" t="str">
        <f>IF('Master Plan'!F97="","",'Master Plan'!F97)</f>
        <v>Daphne Okwaro</v>
      </c>
      <c r="E22" s="11">
        <f>IF('Master Plan'!H97="","",'Master Plan'!H97)</f>
        <v>46332</v>
      </c>
      <c r="F22" s="11">
        <f>IF('Master Plan'!I97="","",'Master Plan'!I97)</f>
        <v>46332</v>
      </c>
    </row>
    <row r="23" spans="1:6">
      <c r="A23" s="1" t="str">
        <f>IF('Master Plan'!A108="","",'Master Plan'!A108)</f>
        <v>PM-50</v>
      </c>
      <c r="B23" s="1" t="str">
        <f>IF('Master Plan'!B108="","",'Master Plan'!B108)</f>
        <v>6 UAT</v>
      </c>
      <c r="C23" s="1" t="str">
        <f>IF('Master Plan'!D108="","",'Master Plan'!D108)</f>
        <v>Run UAT and daily defect triage</v>
      </c>
      <c r="D23" s="1" t="str">
        <f>IF('Master Plan'!F108="","",'Master Plan'!F108)</f>
        <v>Daphne Okwaro</v>
      </c>
      <c r="E23" s="11">
        <f>IF('Master Plan'!H108="","",'Master Plan'!H108)</f>
        <v>46342</v>
      </c>
      <c r="F23" s="11">
        <f>IF('Master Plan'!I108="","",'Master Plan'!I108)</f>
        <v>46353</v>
      </c>
    </row>
    <row r="24" spans="1:6" ht="23.85">
      <c r="A24" s="1" t="str">
        <f>IF('Master Plan'!A122="","",'Master Plan'!A122)</f>
        <v>PM-61</v>
      </c>
      <c r="B24" s="1" t="str">
        <f>IF('Master Plan'!B122="","",'Master Plan'!B122)</f>
        <v>7 Cutover</v>
      </c>
      <c r="C24" s="1" t="str">
        <f>IF('Master Plan'!D122="","",'Master Plan'!D122)</f>
        <v>First live month-end count (November) in PROD</v>
      </c>
      <c r="D24" s="1" t="str">
        <f>IF('Master Plan'!F122="","",'Master Plan'!F122)</f>
        <v>Daphne Okwaro</v>
      </c>
      <c r="E24" s="11">
        <f>IF('Master Plan'!H122="","",'Master Plan'!H122)</f>
        <v>46357</v>
      </c>
      <c r="F24" s="11">
        <f>IF('Master Plan'!I122="","",'Master Plan'!I122)</f>
        <v>46359</v>
      </c>
    </row>
    <row r="25" spans="1:6" ht="23.85">
      <c r="A25" s="1" t="str">
        <f>IF('Master Plan'!A125="","",'Master Plan'!A125)</f>
        <v>PM-63</v>
      </c>
      <c r="B25" s="1" t="str">
        <f>IF('Master Plan'!B125="","",'Master Plan'!B125)</f>
        <v>8 Hypercare</v>
      </c>
      <c r="C25" s="1" t="str">
        <f>IF('Master Plan'!D125="","",'Master Plan'!D125)</f>
        <v>Hypercare: daily stand-up with NKG super users</v>
      </c>
      <c r="D25" s="1" t="str">
        <f>IF('Master Plan'!F125="","",'Master Plan'!F125)</f>
        <v>Daphne Okwaro</v>
      </c>
      <c r="E25" s="11">
        <f>IF('Master Plan'!H125="","",'Master Plan'!H125)</f>
        <v>46357</v>
      </c>
      <c r="F25" s="11">
        <f>IF('Master Plan'!I125="","",'Master Plan'!I125)</f>
        <v>46367</v>
      </c>
    </row>
  </sheetData>
  <conditionalFormatting sqref="M5:M10">
    <cfRule type="cellIs" dxfId="3" priority="2" operator="equal">
      <formula>"Complete"</formula>
    </cfRule>
    <cfRule type="cellIs" dxfId="2" priority="3" operator="equal">
      <formula>"In progress"</formula>
    </cfRule>
    <cfRule type="cellIs" dxfId="1" priority="4" operator="equal">
      <formula>"Blocked"</formula>
    </cfRule>
    <cfRule type="cellIs" dxfId="0" priority="5" operator="equal">
      <formula>"At risk"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8"/>
  <sheetViews>
    <sheetView showGridLines="0" zoomScaleNormal="100" workbookViewId="0"/>
  </sheetViews>
  <sheetFormatPr defaultColWidth="8.7109375" defaultRowHeight="15"/>
  <cols>
    <col min="1" max="1" width="14" customWidth="1"/>
    <col min="2" max="2" width="28" customWidth="1"/>
    <col min="3" max="3" width="50" customWidth="1"/>
  </cols>
  <sheetData>
    <row r="1" spans="1:3" ht="19.7">
      <c r="A1" s="2" t="s">
        <v>1075</v>
      </c>
    </row>
    <row r="2" spans="1:3">
      <c r="A2" s="3" t="s">
        <v>1076</v>
      </c>
    </row>
    <row r="4" spans="1:3" ht="30" customHeight="1">
      <c r="A4" s="9" t="s">
        <v>920</v>
      </c>
      <c r="B4" s="9" t="s">
        <v>1077</v>
      </c>
      <c r="C4" s="9" t="s">
        <v>1078</v>
      </c>
    </row>
    <row r="5" spans="1:3">
      <c r="A5" s="22">
        <v>46315</v>
      </c>
      <c r="B5" s="1" t="s">
        <v>1079</v>
      </c>
      <c r="C5" s="1" t="s">
        <v>1080</v>
      </c>
    </row>
    <row r="6" spans="1:3">
      <c r="A6" s="22">
        <v>46368</v>
      </c>
      <c r="B6" s="1" t="s">
        <v>1081</v>
      </c>
      <c r="C6" s="1" t="s">
        <v>1082</v>
      </c>
    </row>
    <row r="7" spans="1:3">
      <c r="A7" s="22">
        <v>46381</v>
      </c>
      <c r="B7" s="1" t="s">
        <v>1083</v>
      </c>
      <c r="C7" s="1" t="s">
        <v>1084</v>
      </c>
    </row>
    <row r="8" spans="1:3">
      <c r="A8" s="22">
        <v>46382</v>
      </c>
      <c r="B8" s="1" t="s">
        <v>1085</v>
      </c>
      <c r="C8" s="1" t="s">
        <v>1084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William  Imo</cp:lastModifiedBy>
  <cp:revision>0</cp:revision>
  <dcterms:created xsi:type="dcterms:W3CDTF">2026-10-09T09:18:25Z</dcterms:created>
  <dcterms:modified xsi:type="dcterms:W3CDTF">2026-10-09T10:56:20Z</dcterms:modified>
  <cp:category/>
  <cp:contentStatus/>
</cp:coreProperties>
</file>