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A166F845BF2C10CC1D51C9BEF38A625913B71E65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ool Decisions" sheetId="1" r:id="rId1"/>
    <sheet name="Development Tasks" sheetId="2" r:id="rId2"/>
    <sheet name="By Discipline" sheetId="3" r:id="rId3"/>
    <sheet name="Integration Methods" sheetId="4" r:id="rId4"/>
  </sheets>
  <definedNames>
    <definedName name="_xlnm._FilterDatabase" localSheetId="1" hidden="1">'Development Tasks'!$A$4:$O$108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14" i="3" s="1"/>
  <c r="M108" i="2"/>
  <c r="M107" i="2"/>
  <c r="M106" i="2"/>
  <c r="C13" i="3" s="1"/>
  <c r="M105" i="2"/>
  <c r="M104" i="2"/>
  <c r="M103" i="2"/>
  <c r="M102" i="2"/>
  <c r="M101" i="2"/>
  <c r="M100" i="2"/>
  <c r="M99" i="2"/>
  <c r="M98" i="2"/>
  <c r="M97" i="2"/>
  <c r="C11" i="3" s="1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C7" i="3" s="1"/>
  <c r="M57" i="2"/>
  <c r="M56" i="2"/>
  <c r="M55" i="2"/>
  <c r="M54" i="2"/>
  <c r="M53" i="2"/>
  <c r="M52" i="2"/>
  <c r="C8" i="3" s="1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C10" i="3" s="1"/>
  <c r="M38" i="2"/>
  <c r="M37" i="2"/>
  <c r="M36" i="2"/>
  <c r="M35" i="2"/>
  <c r="M34" i="2"/>
  <c r="M33" i="2"/>
  <c r="C5" i="3" s="1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C9" i="3" s="1"/>
  <c r="M15" i="2"/>
  <c r="C6" i="3" s="1"/>
  <c r="M14" i="2"/>
  <c r="M13" i="2"/>
  <c r="M12" i="2"/>
  <c r="M11" i="2"/>
  <c r="M10" i="2"/>
  <c r="M9" i="2"/>
  <c r="M8" i="2"/>
  <c r="M7" i="2"/>
  <c r="M6" i="2"/>
  <c r="M5" i="2"/>
  <c r="C12" i="3" s="1"/>
  <c r="C14" i="3" l="1"/>
</calcChain>
</file>

<file path=xl/sharedStrings.xml><?xml version="1.0" encoding="utf-8"?>
<sst xmlns="http://schemas.openxmlformats.org/spreadsheetml/2006/main" count="1408" uniqueCount="696">
  <si>
    <t>Tool decisions — what we use and why</t>
  </si>
  <si>
    <t>Prepared 9 Oct 2026 · Pathways Technologies for NKG East Africa</t>
  </si>
  <si>
    <t>Layer</t>
  </si>
  <si>
    <t>Tool</t>
  </si>
  <si>
    <t>Why</t>
  </si>
  <si>
    <t>When we would change</t>
  </si>
  <si>
    <t>Operational data store</t>
  </si>
  <si>
    <t>Dataverse</t>
  </si>
  <si>
    <t>The apps, flows, approvals, audit and security all need a transactional store. Dataverse gives alternate keys (no duplicates), field security, audit and business process flows out of the box.</t>
  </si>
  <si>
    <t>Not expected to change.</t>
  </si>
  <si>
    <t>Data intake (now)</t>
  </si>
  <si>
    <t>Email → SharePoint → Power Query dataflow → Dataverse</t>
  </si>
  <si>
    <t>No API access to XBS or Comtras today. Scheduled report emails are fully automatic once the senders are scheduled, and need no IT integration.</t>
  </si>
  <si>
    <t>Swap to API/gateway per source when NKG grants access (C12, C13).</t>
  </si>
  <si>
    <t>Data intake (target)</t>
  </si>
  <si>
    <t>Custom connector (REST API) or on-premises data gateway (SQL view)</t>
  </si>
  <si>
    <t>Removes the email dependency and gives near real-time data.</t>
  </si>
  <si>
    <t>When XBS/Comtras API or read-only DB access is approved.</t>
  </si>
  <si>
    <t>Reconciliation engine</t>
  </si>
  <si>
    <t>Power Query dataflows + Power Automate on Dataverse</t>
  </si>
  <si>
    <t>Volumes (~1,000 outturns, ~50k lines per snapshot) fit comfortably; one platform to support.</t>
  </si>
  <si>
    <t>Move to a Fabric notebook only if the performance test (MO-13) misses the 30-minute target.</t>
  </si>
  <si>
    <t>Microsoft Fabric</t>
  </si>
  <si>
    <t>Optional, phase 2</t>
  </si>
  <si>
    <t>Not required to deliver zero-variance reconciliation. Useful for long history, trends and Direct Lake reporting if NKG already has Fabric capacity.</t>
  </si>
  <si>
    <t>Confirm whether NKG has a Fabric capacity (F-SKU); if yes, enable Dataverse Link to Fabric after go-live.</t>
  </si>
  <si>
    <t>Apps</t>
  </si>
  <si>
    <t>Power Apps canvas (Stock Take app, Hub) + model-driven (Control Centre)</t>
  </si>
  <si>
    <t>Canvas for mobile counting and operational screens; model-driven for finance-grade forms, views, BPFs and audit.</t>
  </si>
  <si>
    <t>—</t>
  </si>
  <si>
    <t>Automation</t>
  </si>
  <si>
    <t>Power Automate cloud flows</t>
  </si>
  <si>
    <t>Native to Dataverse, Outlook, SharePoint, Teams and Approvals; owned by service account.</t>
  </si>
  <si>
    <t>Reporting</t>
  </si>
  <si>
    <t>Power BI (Dataverse connector, PBIP in Git)</t>
  </si>
  <si>
    <t>Standard NKG reporting tool; RLS; embedded in Control Centre.</t>
  </si>
  <si>
    <t>Direct Lake if Fabric is adopted.</t>
  </si>
  <si>
    <t>AI assistant</t>
  </si>
  <si>
    <t>Copilot Studio</t>
  </si>
  <si>
    <t>Read-only assistant in Teams and the Control Centre, answers from Dataverse with the user's own permissions.</t>
  </si>
  <si>
    <t>Depends on Copilot approval/licensing (OD8); fallback = search and views.</t>
  </si>
  <si>
    <t>ALM</t>
  </si>
  <si>
    <t>Solutions, pac CLI, pipelines, Git</t>
  </si>
  <si>
    <t>Repeatable deployments DEV → UAT → PROD; no dependency on any personal account.</t>
  </si>
  <si>
    <t>Discipline colours</t>
  </si>
  <si>
    <t>Power Apps</t>
  </si>
  <si>
    <t>Power Automate</t>
  </si>
  <si>
    <t>UI</t>
  </si>
  <si>
    <t>UX</t>
  </si>
  <si>
    <t>Data Engineering</t>
  </si>
  <si>
    <t>Data Analyst</t>
  </si>
  <si>
    <t>Copilot</t>
  </si>
  <si>
    <t>Architecture / ALM</t>
  </si>
  <si>
    <t>Testing / QA</t>
  </si>
  <si>
    <t>Stocktake Optimization — Development Task Matrix</t>
  </si>
  <si>
    <t>Every build task, the discipline it belongs to, the tool used and how it connects. Red = to confirm with NKG. Plan ID links to STOCKTAKE_Team_Work_Plan.xlsx.</t>
  </si>
  <si>
    <t>Dev ID</t>
  </si>
  <si>
    <t>Module</t>
  </si>
  <si>
    <t>Development task</t>
  </si>
  <si>
    <t>What is built</t>
  </si>
  <si>
    <t>Discipline</t>
  </si>
  <si>
    <t>Tool / platform</t>
  </si>
  <si>
    <t>How (integration method)</t>
  </si>
  <si>
    <t>Now vs target</t>
  </si>
  <si>
    <t>Owner</t>
  </si>
  <si>
    <t>Work-plan ID</t>
  </si>
  <si>
    <t>Start</t>
  </si>
  <si>
    <t>End</t>
  </si>
  <si>
    <t>Work days</t>
  </si>
  <si>
    <t>Licence needed</t>
  </si>
  <si>
    <t>Status</t>
  </si>
  <si>
    <t>A01</t>
  </si>
  <si>
    <t>Foundation</t>
  </si>
  <si>
    <t>Set up DEV / UAT / PROD environments with Dataverse</t>
  </si>
  <si>
    <t>Three environments, Dataverse database, region, admins</t>
  </si>
  <si>
    <t>Power Platform Admin Center</t>
  </si>
  <si>
    <t>Admin centre configuration (manual, scripted later with pac admin)</t>
  </si>
  <si>
    <t>Now</t>
  </si>
  <si>
    <t>Moses Masibo</t>
  </si>
  <si>
    <t>MO-03</t>
  </si>
  <si>
    <t>Power Apps/Automate Premium</t>
  </si>
  <si>
    <t>Not started</t>
  </si>
  <si>
    <t>A02</t>
  </si>
  <si>
    <t>DLP policy</t>
  </si>
  <si>
    <t>Business group: Dataverse, SharePoint, Outlook, Teams, Approvals, Power BI, Copilot Studio; block consumer connectors</t>
  </si>
  <si>
    <t>Tenant/environment DLP policy</t>
  </si>
  <si>
    <t>Standard M365</t>
  </si>
  <si>
    <t>A03</t>
  </si>
  <si>
    <t>Publisher (prefix stk) and 4 solutions</t>
  </si>
  <si>
    <t>STK Core, STK Apps, STK Automation, STK Copilot</t>
  </si>
  <si>
    <t>Power Apps maker portal (Solutions)</t>
  </si>
  <si>
    <t>Solution framework</t>
  </si>
  <si>
    <t>MO-04</t>
  </si>
  <si>
    <t>A04</t>
  </si>
  <si>
    <t>Environment variables and connection references</t>
  </si>
  <si>
    <t>Mailbox, SharePoint URL, thresholds, Teams channel; one connection reference per connector</t>
  </si>
  <si>
    <t>Dataverse solution components</t>
  </si>
  <si>
    <t>Deployment settings JSON per environment</t>
  </si>
  <si>
    <t>A05</t>
  </si>
  <si>
    <t>Service account stk.svc</t>
  </si>
  <si>
    <t>Owns all flows/connections; licensed; MFA exception for automation</t>
  </si>
  <si>
    <t>Entra ID + M365 admin</t>
  </si>
  <si>
    <t>Admin set-up by NKG IT</t>
  </si>
  <si>
    <t>PM-16</t>
  </si>
  <si>
    <t>A06</t>
  </si>
  <si>
    <t>Git repository and branching</t>
  </si>
  <si>
    <t>/solutions /powerbi /docs /test /legacy; main/develop/feature; PR review</t>
  </si>
  <si>
    <t>Azure DevOps or GitHub — confirm</t>
  </si>
  <si>
    <t>Git + pac solution unpack</t>
  </si>
  <si>
    <t>MO-05</t>
  </si>
  <si>
    <t>A07</t>
  </si>
  <si>
    <t>Build and release pipeline</t>
  </si>
  <si>
    <t>Export → unpack → commit → managed build → deploy UAT/PROD</t>
  </si>
  <si>
    <t>Power Platform Pipelines / pac CLI in DevOps</t>
  </si>
  <si>
    <t>pac CLI + Power Platform Build Tools</t>
  </si>
  <si>
    <t>MO-09</t>
  </si>
  <si>
    <t>A08</t>
  </si>
  <si>
    <t>Security roles and Entra groups</t>
  </si>
  <si>
    <t>10 roles, SG-STK-&lt;Role&gt; groups mapped to Dataverse teams</t>
  </si>
  <si>
    <t>Dataverse security + Entra ID</t>
  </si>
  <si>
    <t>Group teams (Entra group sync)</t>
  </si>
  <si>
    <t>MO-08</t>
  </si>
  <si>
    <t>A09</t>
  </si>
  <si>
    <t>Field-level security and auditing</t>
  </si>
  <si>
    <t>Hide expected qty from counters; protect approvals/config; audit on all stk_ tables</t>
  </si>
  <si>
    <t>Field security profiles + audit settings</t>
  </si>
  <si>
    <t>A10</t>
  </si>
  <si>
    <t>Take over ITB solution</t>
  </si>
  <si>
    <t>Export managed solution, transfer flow/app ownership to stk.svc, store in Git /legacy</t>
  </si>
  <si>
    <t>Admin ownership change + solution export</t>
  </si>
  <si>
    <t>MO-01, MO-02</t>
  </si>
  <si>
    <t>A11</t>
  </si>
  <si>
    <t>Health monitoring and housekeeping (F40, F41)</t>
  </si>
  <si>
    <t>Hourly flow health check; weekly archive and purge</t>
  </si>
  <si>
    <t>Power Platform for Admins connector + Dataverse connector</t>
  </si>
  <si>
    <t>MO-11</t>
  </si>
  <si>
    <t>B01</t>
  </si>
  <si>
    <t>Data model</t>
  </si>
  <si>
    <t>Reference tables</t>
  </si>
  <si>
    <t>stk_warehouse, location, zone, grade, qualitycode, packingtype, config</t>
  </si>
  <si>
    <t>Table design in solution</t>
  </si>
  <si>
    <t>Denis Otieno</t>
  </si>
  <si>
    <t>DO-03</t>
  </si>
  <si>
    <t>B02</t>
  </si>
  <si>
    <t>Basket and contract tables</t>
  </si>
  <si>
    <t>stk_secondarybasket, primarybasket, contract (with lineage), mapping (versioned, effective dates)</t>
  </si>
  <si>
    <t>Table design + alternate keys</t>
  </si>
  <si>
    <t>B03</t>
  </si>
  <si>
    <t>Snapshot and source-line tables</t>
  </si>
  <si>
    <t>stk_snapshot, xbsline, comtrasline, movement, loadlog</t>
  </si>
  <si>
    <t>Table design; alternate key = snapshot + source row key</t>
  </si>
  <si>
    <t>B04</t>
  </si>
  <si>
    <t>Count tables</t>
  </si>
  <si>
    <t>stk_stocktake, assignment, countline (alt key stk_localid), recount</t>
  </si>
  <si>
    <t>Table design; idempotent alternate key for offline sync</t>
  </si>
  <si>
    <t>B05</t>
  </si>
  <si>
    <t>Reconciliation tables</t>
  </si>
  <si>
    <t>stk_reconrun, reconline, reconitem, period, signoff</t>
  </si>
  <si>
    <t>Table design</t>
  </si>
  <si>
    <t>B06</t>
  </si>
  <si>
    <t>Exception and control tables</t>
  </si>
  <si>
    <t>stk_exception (alt key rule+key), comment, correction, provisional, register, registermove, thirdpartyconf, feedback</t>
  </si>
  <si>
    <t>B07</t>
  </si>
  <si>
    <t>Optional: long-term history store</t>
  </si>
  <si>
    <t>24+ months of snapshots and recon lines for trend analysis</t>
  </si>
  <si>
    <t>Microsoft Fabric Lakehouse (optional)</t>
  </si>
  <si>
    <t>Dataverse "Link to Microsoft Fabric" (no-copy shortcut) — only if NKG has Fabric capacity</t>
  </si>
  <si>
    <t>Target (phase 2)</t>
  </si>
  <si>
    <t>Fabric capacity (F-SKU) — confirm NKG has it</t>
  </si>
  <si>
    <t>C01</t>
  </si>
  <si>
    <t>Data intake</t>
  </si>
  <si>
    <t>Shared mailbox and SharePoint STK-Intake site</t>
  </si>
  <si>
    <t>Mailbox stocktake.data@nkg.coffee; libraries Incoming / Rejected / Processed / Templates</t>
  </si>
  <si>
    <t>Exchange Online + SharePoint Online</t>
  </si>
  <si>
    <t>MO-07</t>
  </si>
  <si>
    <t>C02</t>
  </si>
  <si>
    <t>F01 Receive intake email</t>
  </si>
  <si>
    <t>Parse subject STK|SOURCE|DATE|TIME; sender allow-list; save attachment with standard name</t>
  </si>
  <si>
    <t>Power Automate cloud flow</t>
  </si>
  <si>
    <t>Office 365 Outlook connector (shared mailbox trigger) + SharePoint connector</t>
  </si>
  <si>
    <t>Now (email file intake)</t>
  </si>
  <si>
    <t>DO-04</t>
  </si>
  <si>
    <t>C03</t>
  </si>
  <si>
    <t>F02 Validate file (V1–V7)</t>
  </si>
  <si>
    <t>Columns, types, dates, row counts, duplicates, control totals, period; reject with reason</t>
  </si>
  <si>
    <t>Power Automate + Office Scripts / Excel Online</t>
  </si>
  <si>
    <t>Excel Online (Business) connector "List rows"/Office Script; SharePoint move file; Outlook reply</t>
  </si>
  <si>
    <t>DO-05</t>
  </si>
  <si>
    <t>C04</t>
  </si>
  <si>
    <t>Dataflow: XBS stock on hand</t>
  </si>
  <si>
    <t>Load XBS stock file to stk_xbsline with snapshot id</t>
  </si>
  <si>
    <t>Power Query dataflow (Power Platform) → Dataverse</t>
  </si>
  <si>
    <t>SharePoint folder source → Dataverse table (upsert on alt key)</t>
  </si>
  <si>
    <t>Now (file) → Target: XBS API/DB view</t>
  </si>
  <si>
    <t>DO-06</t>
  </si>
  <si>
    <t>C05</t>
  </si>
  <si>
    <t>Dataflow: XBS movements</t>
  </si>
  <si>
    <t>Receipts, issues, transfers, processing, adjustments to stk_movement</t>
  </si>
  <si>
    <t>Power Query dataflow → Dataverse</t>
  </si>
  <si>
    <t>SharePoint folder source</t>
  </si>
  <si>
    <t>Now (file) → Target: XBS API</t>
  </si>
  <si>
    <t>C06</t>
  </si>
  <si>
    <t>Dataflow: Comtras/BRIC 526 inventory</t>
  </si>
  <si>
    <t>Basket/contract/lot balances to stk_comtrasline</t>
  </si>
  <si>
    <t>Now (file) → Target: Comtras API / SQL read-only view</t>
  </si>
  <si>
    <t>C07</t>
  </si>
  <si>
    <t>Dataflow: Comtras/BRIC 537 sales relief</t>
  </si>
  <si>
    <t>Sale relief by basket/lot</t>
  </si>
  <si>
    <t>Now (file) → Target: Comtras API</t>
  </si>
  <si>
    <t>C08</t>
  </si>
  <si>
    <t>Dataflow: contracts, SNI, provisional, third-party balances</t>
  </si>
  <si>
    <t>Contracts with amendments; stuffed-not-invoiced; direct-purchase pipeline; third-party statements</t>
  </si>
  <si>
    <t>SharePoint folder source (Excel templates)</t>
  </si>
  <si>
    <t>Now (file)</t>
  </si>
  <si>
    <t>C09</t>
  </si>
  <si>
    <t>F03 Load orchestration</t>
  </si>
  <si>
    <t>Trigger dataflow refresh, poll status, write snapshot header, compare row count to file</t>
  </si>
  <si>
    <t>Dataflows connector (Refresh a dataflow) + Dataverse connector</t>
  </si>
  <si>
    <t>C10</t>
  </si>
  <si>
    <t>F04 Missing feed, F05 Reprocess, F06 Lock snapshot</t>
  </si>
  <si>
    <t>EX20 at 08:00; Hub reprocess button; lock month-end snapshot</t>
  </si>
  <si>
    <t>Recurrence + Dataverse connector; Power Apps (V2) trigger</t>
  </si>
  <si>
    <t>DO-08</t>
  </si>
  <si>
    <t>C11</t>
  </si>
  <si>
    <t>Manual upload fallback</t>
  </si>
  <si>
    <t>Hub screen uploads file into Incoming so the same validation runs</t>
  </si>
  <si>
    <t>Power Apps canvas (Hub)</t>
  </si>
  <si>
    <t>Attachment control → flow → SharePoint create file</t>
  </si>
  <si>
    <t>Andrew Tanui</t>
  </si>
  <si>
    <t>AN-10</t>
  </si>
  <si>
    <t>C12</t>
  </si>
  <si>
    <t>XBS API custom connector</t>
  </si>
  <si>
    <t>Replace email intake for XBS when API/DB access is granted; downstream unchanged</t>
  </si>
  <si>
    <t>Power Platform custom connector (or on-premises data gateway)</t>
  </si>
  <si>
    <t>REST API (OpenAPI definition) or SQL via on-premises data gateway</t>
  </si>
  <si>
    <t>Target (when NKG grants API access)</t>
  </si>
  <si>
    <t>TBC</t>
  </si>
  <si>
    <t>C13</t>
  </si>
  <si>
    <t>Comtras/BRIC API custom connector</t>
  </si>
  <si>
    <t>Same as C12 for 526/537/contracts</t>
  </si>
  <si>
    <t>Power Platform custom connector / gateway</t>
  </si>
  <si>
    <t>REST API or SQL read-only view via gateway</t>
  </si>
  <si>
    <t>C14</t>
  </si>
  <si>
    <t>Optional: Fabric ingestion pipeline</t>
  </si>
  <si>
    <t>If volumes grow: Data Factory pipeline lands files/API data in Lakehouse, Dataflow Gen2 writes curated tables</t>
  </si>
  <si>
    <t>Microsoft Fabric (Data Factory, Dataflow Gen2)</t>
  </si>
  <si>
    <t>Pipeline copy activity / REST / SQL connector</t>
  </si>
  <si>
    <t>Target (phase 2, optional)</t>
  </si>
  <si>
    <t>D01</t>
  </si>
  <si>
    <t>Master data</t>
  </si>
  <si>
    <t>Migrate reference data from ITB SharePoint lists</t>
  </si>
  <si>
    <t>Warehouses, locations, grades, packing types</t>
  </si>
  <si>
    <t>SharePoint list connector (one-off load)</t>
  </si>
  <si>
    <t>DO-07</t>
  </si>
  <si>
    <t>D02</t>
  </si>
  <si>
    <t>Load baskets, contracts and mappings</t>
  </si>
  <si>
    <t>Secondary → primary baskets; outturn → grade → basket mapping</t>
  </si>
  <si>
    <t>Excel extracts from Comtras (file) → dataflow</t>
  </si>
  <si>
    <t>D03</t>
  </si>
  <si>
    <t>Mapping coverage analysis</t>
  </si>
  <si>
    <t>Unmapped/conflicting outturns with eq60 impact for Trade/QC</t>
  </si>
  <si>
    <t>Power BI Desktop / Excel</t>
  </si>
  <si>
    <t>Dataverse connector (Power Query)</t>
  </si>
  <si>
    <t>Nicole Akinyi</t>
  </si>
  <si>
    <t>NI-02</t>
  </si>
  <si>
    <t>Power BI Pro</t>
  </si>
  <si>
    <t>D04</t>
  </si>
  <si>
    <t>Data profiling of sample files</t>
  </si>
  <si>
    <t>Row counts, keys, duplicates, blanks, codes vs templates</t>
  </si>
  <si>
    <t>Power Query / Excel (or Fabric notebook if available)</t>
  </si>
  <si>
    <t>File-based profiling</t>
  </si>
  <si>
    <t>NI-01</t>
  </si>
  <si>
    <t>E01</t>
  </si>
  <si>
    <t>Engine</t>
  </si>
  <si>
    <t>Normalisation (units, kg, eq60)</t>
  </si>
  <si>
    <t>Apply unit rules and packing nominal kg to every position</t>
  </si>
  <si>
    <t>Computed columns in dataflow (one rule set)</t>
  </si>
  <si>
    <t>DO-09</t>
  </si>
  <si>
    <t>E02</t>
  </si>
  <si>
    <t>Mass balance</t>
  </si>
  <si>
    <t>Opening + receipts − issues ± adjustments = closing per outturn</t>
  </si>
  <si>
    <t>Group/merge in dataflow; results to stk_reconline</t>
  </si>
  <si>
    <t>E03</t>
  </si>
  <si>
    <t>L1 Physical vs XBS</t>
  </si>
  <si>
    <t>Count vs locked snapshot; attach reconciling items in fixed order; EX01/EX02</t>
  </si>
  <si>
    <t>Dataflow + Power Automate (F30)</t>
  </si>
  <si>
    <t>Dataverse connector; child flows per RI rule</t>
  </si>
  <si>
    <t>DO-10</t>
  </si>
  <si>
    <t>E04</t>
  </si>
  <si>
    <t>L2 XBS vs Comtras</t>
  </si>
  <si>
    <t>SNI add-back, provisional, registers; RI DOWNGRADE, WRONG-BASKET, ROLLOVER etc.; EX15</t>
  </si>
  <si>
    <t>Dataflow + Power Automate</t>
  </si>
  <si>
    <t>Dataverse connector</t>
  </si>
  <si>
    <t>DO-11</t>
  </si>
  <si>
    <t>E05</t>
  </si>
  <si>
    <t>L3 Baskets vs Contracts</t>
  </si>
  <si>
    <t>Basket balances vs contract open qty with lineage</t>
  </si>
  <si>
    <t>DO-12</t>
  </si>
  <si>
    <t>E06</t>
  </si>
  <si>
    <t>Residual calculation and run log</t>
  </si>
  <si>
    <t>Residual = raw − Σ RI − Σ posted corrections; stk_reconrun header</t>
  </si>
  <si>
    <t>Dataverse (rollup/calculated) + flow</t>
  </si>
  <si>
    <t>Dataverse Web API via connector</t>
  </si>
  <si>
    <t>E07</t>
  </si>
  <si>
    <t>Optional: engine in Fabric notebook</t>
  </si>
  <si>
    <t>If Dataverse/flow run time exceeds NFR-02 at full volume, move L1–L3 to a PySpark/SQL notebook writing back to Dataverse</t>
  </si>
  <si>
    <t>Microsoft Fabric notebook (optional)</t>
  </si>
  <si>
    <t>Link to Fabric + Dataverse Web API write-back</t>
  </si>
  <si>
    <t>Fallback only if performance test fails</t>
  </si>
  <si>
    <t>MO-13</t>
  </si>
  <si>
    <t>F01</t>
  </si>
  <si>
    <t>Rules</t>
  </si>
  <si>
    <t>F20 Daily rules run EX05–EX20</t>
  </si>
  <si>
    <t>Mass balance and rule checks at 08:15</t>
  </si>
  <si>
    <t>Recurrence trigger + Dataverse connector + child flows</t>
  </si>
  <si>
    <t>DO-13</t>
  </si>
  <si>
    <t>F02</t>
  </si>
  <si>
    <t>Exception upsert child flow</t>
  </si>
  <si>
    <t>Upsert on alternate key rule+key; auto-close when cleared</t>
  </si>
  <si>
    <t>Power Automate child flow</t>
  </si>
  <si>
    <t>Dataverse "Upsert a row" (alternate key)</t>
  </si>
  <si>
    <t>F03</t>
  </si>
  <si>
    <t>F21 Exception notifications and escalation</t>
  </si>
  <si>
    <t>Owner alerts, 16:00 reminders, escalate after SLA × 2</t>
  </si>
  <si>
    <t>Teams connector (adaptive card) + Outlook connector</t>
  </si>
  <si>
    <t>Jones Alukwe</t>
  </si>
  <si>
    <t>JO-05</t>
  </si>
  <si>
    <t>F04</t>
  </si>
  <si>
    <t>F23 Provisional auto-match; F28 correction posting check</t>
  </si>
  <si>
    <t>Close provisional on XBS receipt; confirm corrections from next snapshot / EX13</t>
  </si>
  <si>
    <t>Dataverse "When a row is added" trigger</t>
  </si>
  <si>
    <t>DO-14</t>
  </si>
  <si>
    <t>G01</t>
  </si>
  <si>
    <t>User personas and journeys</t>
  </si>
  <si>
    <t>Counter, supervisor, Ops admin, Trade, QC, Logistics, Finance, Management — tasks and pain points from discovery</t>
  </si>
  <si>
    <t>Figma / PowerPoint</t>
  </si>
  <si>
    <t>Workshop output from discovery recordings</t>
  </si>
  <si>
    <t>William Imo</t>
  </si>
  <si>
    <t>PM-13</t>
  </si>
  <si>
    <t>G02</t>
  </si>
  <si>
    <t>Wireframes and clickable prototype</t>
  </si>
  <si>
    <t>Based on the 10 mockups; refine after NKG walkthrough</t>
  </si>
  <si>
    <t>Figma (or Power Apps prototype)</t>
  </si>
  <si>
    <t>Design review with NKG</t>
  </si>
  <si>
    <t>G03</t>
  </si>
  <si>
    <t>Count journey design (blind count, found-elsewhere, offline)</t>
  </si>
  <si>
    <t>One location at a time; 3 taps per line target; error states</t>
  </si>
  <si>
    <t>Figma</t>
  </si>
  <si>
    <t>Usability walk-through with 2 counters on the floor</t>
  </si>
  <si>
    <t>WI-05</t>
  </si>
  <si>
    <t>G04</t>
  </si>
  <si>
    <t>Reconciliation workspace journey</t>
  </si>
  <si>
    <t>Summary-first, drill-down, side panel evidence; residual always visible</t>
  </si>
  <si>
    <t>Review with Finance</t>
  </si>
  <si>
    <t>JO-06</t>
  </si>
  <si>
    <t>G05</t>
  </si>
  <si>
    <t>Usability tests</t>
  </si>
  <si>
    <t>Counters (phone, gloves, far zones), supervisors, Finance; SUS score ≥ 70</t>
  </si>
  <si>
    <t>Power Apps (UAT build)</t>
  </si>
  <si>
    <t>Moderated test sessions</t>
  </si>
  <si>
    <t>Frankie Omasaja</t>
  </si>
  <si>
    <t>WI-10</t>
  </si>
  <si>
    <t>G06</t>
  </si>
  <si>
    <t>Accessibility review</t>
  </si>
  <si>
    <t>Font ≥ 16 pt, contrast, colour not only signal, 44 px targets</t>
  </si>
  <si>
    <t>Power Apps Accessibility checker</t>
  </si>
  <si>
    <t>App checker + manual review</t>
  </si>
  <si>
    <t>H01</t>
  </si>
  <si>
    <t>NKG theme and component library</t>
  </si>
  <si>
    <t>Colours (#006330, #69ac45, teal, yellow, red, orange), header, buttons, chips, tiles, inputs</t>
  </si>
  <si>
    <t>Power Apps component library</t>
  </si>
  <si>
    <t>Shared component library imported into each canvas app</t>
  </si>
  <si>
    <t>WI-02</t>
  </si>
  <si>
    <t>H02</t>
  </si>
  <si>
    <t>Icon set and status chips</t>
  </si>
  <si>
    <t>Closed / in progress / not started / recount / elsewhere / unidentified</t>
  </si>
  <si>
    <t>Power Apps (SVG icons)</t>
  </si>
  <si>
    <t>Inline SVG in components</t>
  </si>
  <si>
    <t>H03</t>
  </si>
  <si>
    <t>Model-driven app theme</t>
  </si>
  <si>
    <t>NKG header colour/logo; form layouts; view columns</t>
  </si>
  <si>
    <t>Power Apps model-driven (modern theme)</t>
  </si>
  <si>
    <t>App theme XML / modern theming</t>
  </si>
  <si>
    <t>JO-02</t>
  </si>
  <si>
    <t>H04</t>
  </si>
  <si>
    <t>Responsive layouts</t>
  </si>
  <si>
    <t>Phone portrait for Stock Take app; desktop 1366+ for Hub; tablet check</t>
  </si>
  <si>
    <t>Power Apps canvas</t>
  </si>
  <si>
    <t>Responsive containers</t>
  </si>
  <si>
    <t>WI-03</t>
  </si>
  <si>
    <t>H05</t>
  </si>
  <si>
    <t>QR location label design</t>
  </si>
  <si>
    <t>A01–G14 labels with code, zone, warehouse, QR</t>
  </si>
  <si>
    <t>Word template + Power Automate</t>
  </si>
  <si>
    <t>Word Online (Business) "Populate a template" → PDF</t>
  </si>
  <si>
    <t>AN-03</t>
  </si>
  <si>
    <t>I01</t>
  </si>
  <si>
    <t>Stock Take app</t>
  </si>
  <si>
    <t>S1 Sign-in, version check, S2 Home</t>
  </si>
  <si>
    <t>SSO, role and warehouse; App.MinVersion; tiles and countdown banner</t>
  </si>
  <si>
    <t>Power Apps canvas (mobile)</t>
  </si>
  <si>
    <t>I02</t>
  </si>
  <si>
    <t>S3 My Assignments</t>
  </si>
  <si>
    <t>Locations by zone with status; search</t>
  </si>
  <si>
    <t>Dataverse (delegable Filter)</t>
  </si>
  <si>
    <t>WI-04</t>
  </si>
  <si>
    <t>I03</t>
  </si>
  <si>
    <t>S4 Location with QR scan</t>
  </si>
  <si>
    <t>Scan bay label or pick; start / mark empty / cannot access</t>
  </si>
  <si>
    <t>Barcode reader control</t>
  </si>
  <si>
    <t>I04</t>
  </si>
  <si>
    <t>S5 Capture</t>
  </si>
  <si>
    <t>Outturn scan/search, line types, grade from mapping, packing default, bags + pocket, live units/kg/eq60, category, photo</t>
  </si>
  <si>
    <t>Barcode reader + camera control + Dataverse</t>
  </si>
  <si>
    <t>I05</t>
  </si>
  <si>
    <t>S6 Location summary and close</t>
  </si>
  <si>
    <t>Totals, edit, close location</t>
  </si>
  <si>
    <t>ForAll + Patch to Dataverse</t>
  </si>
  <si>
    <t>WI-06</t>
  </si>
  <si>
    <t>I06</t>
  </si>
  <si>
    <t>Offline queue and sync (S9)</t>
  </si>
  <si>
    <t>SaveData/LoadData queue, timer sync, failed state, idempotent</t>
  </si>
  <si>
    <t>SaveData/LoadData + Dataverse upsert on stk_localid</t>
  </si>
  <si>
    <t>WI-07</t>
  </si>
  <si>
    <t>I07</t>
  </si>
  <si>
    <t>Smart warnings</t>
  </si>
  <si>
    <t>Duplicate, counted elsewhere, implausible qty, pocket ≥ bag, closed location</t>
  </si>
  <si>
    <t>Power Fx validation</t>
  </si>
  <si>
    <t>WI-08</t>
  </si>
  <si>
    <t>I08</t>
  </si>
  <si>
    <t>S7 Recount, S8 100% issue/receive, S10 Help</t>
  </si>
  <si>
    <t>Double-blind recount; movement during count; help + Copilot link</t>
  </si>
  <si>
    <t>Dataverse connector; Copilot deep link</t>
  </si>
  <si>
    <t>WI-09</t>
  </si>
  <si>
    <t>I09</t>
  </si>
  <si>
    <t>F11 Bulk submit; F12 Not-in-list alert</t>
  </si>
  <si>
    <t>Batch upsert &gt;50 lines; supervisor alert with photo</t>
  </si>
  <si>
    <t>Power Apps (V2) trigger; Dataverse upsert; Teams adaptive card</t>
  </si>
  <si>
    <t>WI-06, WI-08</t>
  </si>
  <si>
    <t>J01</t>
  </si>
  <si>
    <t>Hub</t>
  </si>
  <si>
    <t>Admin screens</t>
  </si>
  <si>
    <t>Warehouses, grades, packing, unit rules, config editor, users</t>
  </si>
  <si>
    <t>Power Apps canvas (desktop)</t>
  </si>
  <si>
    <t>AN-02</t>
  </si>
  <si>
    <t>J02</t>
  </si>
  <si>
    <t>Location generator + QR labels</t>
  </si>
  <si>
    <t>Generate A01–G14; print labels</t>
  </si>
  <si>
    <t>Power Apps canvas + Power Automate</t>
  </si>
  <si>
    <t>Dataverse + Word template flow</t>
  </si>
  <si>
    <t>J03</t>
  </si>
  <si>
    <t>Stock take wizard + F10 notify</t>
  </si>
  <si>
    <t>5 steps with pre-checks; creates stock take, assignments, hidden expected lines; notifies counters</t>
  </si>
  <si>
    <t>Dataverse; Teams adaptive card + Outlook</t>
  </si>
  <si>
    <t>AN-04</t>
  </si>
  <si>
    <t>J04</t>
  </si>
  <si>
    <t>Assignments board</t>
  </si>
  <si>
    <t>Assign by zone; auto-balance; block self-recount</t>
  </si>
  <si>
    <t>AN-05</t>
  </si>
  <si>
    <t>J05</t>
  </si>
  <si>
    <t>Live monitor</t>
  </si>
  <si>
    <t>KPIs, floor map, counter progress, uncounted, counted-not-in-XBS; 60-s refresh</t>
  </si>
  <si>
    <t>Dataverse (Timer + Refresh)</t>
  </si>
  <si>
    <t>AN-06</t>
  </si>
  <si>
    <t>J06</t>
  </si>
  <si>
    <t>F13 Location variance check + recount/unidentified queues</t>
  </si>
  <si>
    <t>Hidden expected vs counted; recount to different counter</t>
  </si>
  <si>
    <t>Power Automate + Power Apps</t>
  </si>
  <si>
    <t>Dataverse "When a row is modified" trigger</t>
  </si>
  <si>
    <t>AN-07</t>
  </si>
  <si>
    <t>J07</t>
  </si>
  <si>
    <t>Variance review, approvals, close count + F14</t>
  </si>
  <si>
    <t>Supervisor actions with comment; close triggers L1</t>
  </si>
  <si>
    <t>Dataverse trigger → F30 child flow</t>
  </si>
  <si>
    <t>AN-08</t>
  </si>
  <si>
    <t>J08</t>
  </si>
  <si>
    <t>Third-party confirmations + F15</t>
  </si>
  <si>
    <t>Statements M−5, chase M−3, escalate M−2</t>
  </si>
  <si>
    <t>Outlook connector (send/receive) + Dataverse</t>
  </si>
  <si>
    <t>AN-09</t>
  </si>
  <si>
    <t>J09</t>
  </si>
  <si>
    <t>Registers + F24, imports log, audit screen</t>
  </si>
  <si>
    <t>Disputed, franchise, ex-office, sweepings, loose bags, lights; release actions</t>
  </si>
  <si>
    <t>Dataverse connector; Dataverse audit</t>
  </si>
  <si>
    <t>K01</t>
  </si>
  <si>
    <t>Control Centre</t>
  </si>
  <si>
    <t>Model-driven app shell</t>
  </si>
  <si>
    <t>Site map, master-data forms and views</t>
  </si>
  <si>
    <t>Power Apps model-driven</t>
  </si>
  <si>
    <t>Dataverse (native)</t>
  </si>
  <si>
    <t>K02</t>
  </si>
  <si>
    <t>Mapping BPF + F22</t>
  </si>
  <si>
    <t>Proposed → QC → Finance → Active; versions; coverage/conflict views</t>
  </si>
  <si>
    <t>Model-driven BPF + Power Automate</t>
  </si>
  <si>
    <t>Dataverse BPF; Approvals connector</t>
  </si>
  <si>
    <t>JO-03</t>
  </si>
  <si>
    <t>K03</t>
  </si>
  <si>
    <t>Contracts lineage + F26; provisional views</t>
  </si>
  <si>
    <t>Allocations, relief, amendments; roll-over link; provisional stages</t>
  </si>
  <si>
    <t>Model-driven + Power Automate</t>
  </si>
  <si>
    <t>JO-04</t>
  </si>
  <si>
    <t>K04</t>
  </si>
  <si>
    <t>Exception register</t>
  </si>
  <si>
    <t>Views, SLA timer, comments, resolution codes</t>
  </si>
  <si>
    <t>Dataverse SLA / timer control</t>
  </si>
  <si>
    <t>K05</t>
  </si>
  <si>
    <t>Reconciliation workspace</t>
  </si>
  <si>
    <t>Custom page: L1/L2/L3 tabs, residual tiles, drill grid, side panel, actions</t>
  </si>
  <si>
    <t>Custom page (canvas inside model-driven)</t>
  </si>
  <si>
    <t>K06</t>
  </si>
  <si>
    <t>Corrections + F27 weekly batch</t>
  </si>
  <si>
    <t>Approval matrix, segregation of duties, Excel batch to system owners</t>
  </si>
  <si>
    <t>Approvals connector; Excel Online; Outlook</t>
  </si>
  <si>
    <t>Now (Excel batch) → Target: post via XBS/Comtras API</t>
  </si>
  <si>
    <t>JO-07</t>
  </si>
  <si>
    <t>K07</t>
  </si>
  <si>
    <t>Downgrade worksheet + F25; SNI/shorts; feedback log</t>
  </si>
  <si>
    <t>Monthly Low Grade candidates and approval</t>
  </si>
  <si>
    <t>Custom page + Power Automate</t>
  </si>
  <si>
    <t>JO-08</t>
  </si>
  <si>
    <t>K08</t>
  </si>
  <si>
    <t>Sign-off BPF + F31 gate/lock + F32 pack</t>
  </si>
  <si>
    <t>Six stages, automatic gate checks, period lock, pack distribution</t>
  </si>
  <si>
    <t>Dataverse real-time flow; Power BI export / Word template</t>
  </si>
  <si>
    <t>JO-09</t>
  </si>
  <si>
    <t>K09</t>
  </si>
  <si>
    <t>Embed Power BI</t>
  </si>
  <si>
    <t>Dashboards inside the Control Centre</t>
  </si>
  <si>
    <t>Model-driven + Power BI</t>
  </si>
  <si>
    <t>Power BI embedded dashboard component</t>
  </si>
  <si>
    <t>NI-07</t>
  </si>
  <si>
    <t>M01</t>
  </si>
  <si>
    <t>Power BI</t>
  </si>
  <si>
    <t>Semantic model</t>
  </si>
  <si>
    <t>FactStock, FactRecon, FactException, FactMovement + dimensions</t>
  </si>
  <si>
    <t>Power BI Desktop (PBIP)</t>
  </si>
  <si>
    <t>Dataverse connector (TDS endpoint); Import + DirectQuery</t>
  </si>
  <si>
    <t>NI-04</t>
  </si>
  <si>
    <t>M02</t>
  </si>
  <si>
    <t>DAX measures</t>
  </si>
  <si>
    <t>Residual, RI total, accuracy %, open/overdue exceptions</t>
  </si>
  <si>
    <t>Power BI Desktop</t>
  </si>
  <si>
    <t>DAX</t>
  </si>
  <si>
    <t>NI-05</t>
  </si>
  <si>
    <t>M03</t>
  </si>
  <si>
    <t>Eight report pages</t>
  </si>
  <si>
    <t>Executive, stock, recon waterfall, exceptions, count performance, provisional/SNI, third parties, data quality</t>
  </si>
  <si>
    <t>Power BI Desktop / Service</t>
  </si>
  <si>
    <t>Report authoring</t>
  </si>
  <si>
    <t>NI-06</t>
  </si>
  <si>
    <t>M04</t>
  </si>
  <si>
    <t>RLS and workspace app</t>
  </si>
  <si>
    <t>Department/warehouse security; app "NKG EA Stock Control"</t>
  </si>
  <si>
    <t>Power BI Service</t>
  </si>
  <si>
    <t>Row-level security; deployment pipeline DEV→TEST→PROD</t>
  </si>
  <si>
    <t>M05</t>
  </si>
  <si>
    <t>Scheduled refresh after intake</t>
  </si>
  <si>
    <t>Refresh after F20 completes</t>
  </si>
  <si>
    <t>Power BI Service + Power Automate</t>
  </si>
  <si>
    <t>Power BI connector "Refresh a dataset" (or Power BI REST API)</t>
  </si>
  <si>
    <t>M06</t>
  </si>
  <si>
    <t>Month-end pack</t>
  </si>
  <si>
    <t>Paginated report / Word template PDF</t>
  </si>
  <si>
    <t>Power BI paginated report (or Word template)</t>
  </si>
  <si>
    <t>Power BI "Export to file" API via flow</t>
  </si>
  <si>
    <t>NI-08</t>
  </si>
  <si>
    <t>M07</t>
  </si>
  <si>
    <t>Optional: Direct Lake model on Fabric</t>
  </si>
  <si>
    <t>History and trends at scale on Lakehouse</t>
  </si>
  <si>
    <t>Microsoft Fabric + Power BI (optional)</t>
  </si>
  <si>
    <t>Direct Lake on Link-to-Fabric tables</t>
  </si>
  <si>
    <t>N01</t>
  </si>
  <si>
    <t>Agent set-up and authentication</t>
  </si>
  <si>
    <t>Stock Assistant in DEV; Entra auth; read-only</t>
  </si>
  <si>
    <t>Authenticate with Microsoft (acts as the user)</t>
  </si>
  <si>
    <t>JO-10</t>
  </si>
  <si>
    <t>N02</t>
  </si>
  <si>
    <t>Knowledge sources</t>
  </si>
  <si>
    <t>Spec rules, BRD, SOPs, glossary in STK-Knowledge</t>
  </si>
  <si>
    <t>Copilot Studio + SharePoint</t>
  </si>
  <si>
    <t>SharePoint knowledge source</t>
  </si>
  <si>
    <t>N03</t>
  </si>
  <si>
    <t>Actions (data lookups)</t>
  </si>
  <si>
    <t>Outturn location, variance reasons, exceptions, contract, provisional</t>
  </si>
  <si>
    <t>Copilot Studio + Power Automate</t>
  </si>
  <si>
    <t>Agent flows / Dataverse connector actions (user permissions)</t>
  </si>
  <si>
    <t>N04</t>
  </si>
  <si>
    <t>Topics T1–T5</t>
  </si>
  <si>
    <t>Where is outturn, why variance, count progress, my exceptions, explain a rule</t>
  </si>
  <si>
    <t>Topics + generative answers on knowledge only</t>
  </si>
  <si>
    <t>N05</t>
  </si>
  <si>
    <t>Topics T6–T10</t>
  </si>
  <si>
    <t>Contract, provisional, summarise comments, draft correction note, month-end readiness</t>
  </si>
  <si>
    <t>Topics</t>
  </si>
  <si>
    <t>JO-11</t>
  </si>
  <si>
    <t>N06</t>
  </si>
  <si>
    <t>Evaluation set (~30 questions)</t>
  </si>
  <si>
    <t>Expected answers from parallel run; ≥ 90% pass, 100% on numbers</t>
  </si>
  <si>
    <t>Copilot Studio test pane</t>
  </si>
  <si>
    <t>Manual + analytics review</t>
  </si>
  <si>
    <t>N07</t>
  </si>
  <si>
    <t>Publish to Teams and Control Centre</t>
  </si>
  <si>
    <t>Teams app; side pane in model-driven app; link from Stock Take Help</t>
  </si>
  <si>
    <t>Teams + Power Apps channel</t>
  </si>
  <si>
    <t>JO-12</t>
  </si>
  <si>
    <t>O01</t>
  </si>
  <si>
    <t>Testing</t>
  </si>
  <si>
    <t>Test data pack</t>
  </si>
  <si>
    <t>Scenarios for every RI and EX code</t>
  </si>
  <si>
    <t>Excel + Dataverse</t>
  </si>
  <si>
    <t>Loaded via the normal intake (email/SharePoint)</t>
  </si>
  <si>
    <t>NI-03</t>
  </si>
  <si>
    <t>O02</t>
  </si>
  <si>
    <t>Tie-outs T1–T10</t>
  </si>
  <si>
    <t>Completeness, coverage, L1–L3, mass balance, report vs source, repeatability, parallel run, timeliness</t>
  </si>
  <si>
    <t>Dataverse + Power BI + Excel</t>
  </si>
  <si>
    <t>Query comparisons; evidence in Git /test</t>
  </si>
  <si>
    <t>DO-17</t>
  </si>
  <si>
    <t>O03</t>
  </si>
  <si>
    <t>SIT scripts and execution</t>
  </si>
  <si>
    <t>Per area INT, MAP, CNT, EXC, COR, PRV, REG, 3P, CON, FB</t>
  </si>
  <si>
    <t>Excel / Azure DevOps Test Plans</t>
  </si>
  <si>
    <t>Manual scripted testing</t>
  </si>
  <si>
    <t>FR-02, FR-03</t>
  </si>
  <si>
    <t>O04</t>
  </si>
  <si>
    <t>Performance and security tests</t>
  </si>
  <si>
    <t>50k XBS lines, 20k count lines; SEC-01..05</t>
  </si>
  <si>
    <t>Dataverse + Power Apps Monitor</t>
  </si>
  <si>
    <t>Bulk load via dataflow; role-based test users</t>
  </si>
  <si>
    <t>O05</t>
  </si>
  <si>
    <t>Power Apps Test Studio / Test Engine scripts</t>
  </si>
  <si>
    <t>Automated regression for capture and close-location</t>
  </si>
  <si>
    <t>Power Apps Test Engine</t>
  </si>
  <si>
    <t>YAML test plans</t>
  </si>
  <si>
    <t>FR-03</t>
  </si>
  <si>
    <t>Summary by discipline and tool</t>
  </si>
  <si>
    <t>Formulas over Development Tasks.</t>
  </si>
  <si>
    <t>Tasks</t>
  </si>
  <si>
    <t>Main tools</t>
  </si>
  <si>
    <t>Main people</t>
  </si>
  <si>
    <t>Power Apps canvas (Stock Take app, Hub), model-driven (Control Centre), custom pages</t>
  </si>
  <si>
    <t>William, Andrew, Jones</t>
  </si>
  <si>
    <t>Cloud flows F01–F41, child flows, Approvals, Teams adaptive cards, Outlook</t>
  </si>
  <si>
    <t>Denis, Jones, Andrew, William</t>
  </si>
  <si>
    <t>Power Apps component library, NKG theme, SVG icons, QR label template</t>
  </si>
  <si>
    <t>Figma / prototypes, usability tests, accessibility checker</t>
  </si>
  <si>
    <t>William, Jones, Frankie</t>
  </si>
  <si>
    <t>Dataverse, Power Query dataflows, custom connectors / gateway (target), Fabric (optional)</t>
  </si>
  <si>
    <t>Denis, Moses</t>
  </si>
  <si>
    <t>Power BI (PBIP, DAX, RLS, paginated), Excel, Power Query</t>
  </si>
  <si>
    <t>Nicole</t>
  </si>
  <si>
    <t>Copilot Studio, SharePoint knowledge, agent flows, Teams</t>
  </si>
  <si>
    <t>Jones, Nicole</t>
  </si>
  <si>
    <t>Admin centre, solutions, pac CLI, pipelines, Git, Entra ID, DLP</t>
  </si>
  <si>
    <t>Moses</t>
  </si>
  <si>
    <t>Test scripts, Power Apps Test Engine, Monitor</t>
  </si>
  <si>
    <t>Frankie, Moses</t>
  </si>
  <si>
    <t>Total</t>
  </si>
  <si>
    <t>How each source connects — now and later</t>
  </si>
  <si>
    <t>We have no API access to XBS or Comtras yet, so we start with scheduled email files. Downstream logic does not change when APIs arrive.</t>
  </si>
  <si>
    <t>Source</t>
  </si>
  <si>
    <t>Now (interim)</t>
  </si>
  <si>
    <t>Target</t>
  </si>
  <si>
    <t>Ask / note</t>
  </si>
  <si>
    <t>XBS (warehouse/outturn)</t>
  </si>
  <si>
    <t>Scheduled report email (Excel/CSV) to shared mailbox → SharePoint → dataflow</t>
  </si>
  <si>
    <t>REST API custom connector, or read-only SQL view via on-premises data gateway</t>
  </si>
  <si>
    <t>XBS system owner / NKG IT</t>
  </si>
  <si>
    <t>Ask: API documentation, read-only DB view, gateway server</t>
  </si>
  <si>
    <t>Comtras / BRIC (526, 537, contracts)</t>
  </si>
  <si>
    <t>Scheduled report email to shared mailbox</t>
  </si>
  <si>
    <t>REST API or read-only SQL view via gateway</t>
  </si>
  <si>
    <t>Comtras/BRIC owner / Finance</t>
  </si>
  <si>
    <t>Ask: report scheduler access, API/DB access</t>
  </si>
  <si>
    <t>Sun Systems (if needed for values)</t>
  </si>
  <si>
    <t>Monthly export email</t>
  </si>
  <si>
    <t>Sun connector / SQL view via gateway</t>
  </si>
  <si>
    <t>Finance</t>
  </si>
  <si>
    <t>Scope to confirm</t>
  </si>
  <si>
    <t>SNI, provisional, third-party balances</t>
  </si>
  <si>
    <t>Excel templates emailed by Logistics/Trade</t>
  </si>
  <si>
    <t>Remain email/form-based (no system of record)</t>
  </si>
  <si>
    <t>Logistics, Trade</t>
  </si>
  <si>
    <t>Templates in STK-Intake/Templates</t>
  </si>
  <si>
    <t>Physical count</t>
  </si>
  <si>
    <t>Stock Take app writes directly to Dataverse</t>
  </si>
  <si>
    <t>Same</t>
  </si>
  <si>
    <t>Operations</t>
  </si>
  <si>
    <t>Corrections back to XBS/Comtras</t>
  </si>
  <si>
    <t>Weekly Excel batch emailed to system owners; confirmed by next snapshot</t>
  </si>
  <si>
    <t>Post via API when write access is granted</t>
  </si>
  <si>
    <t>System owners</t>
  </si>
  <si>
    <t>Never write to source systems without approval</t>
  </si>
  <si>
    <t>Dataverse connector (TDS endpoint), scheduled refresh triggered by flow</t>
  </si>
  <si>
    <t>Direct Lake on Fabric (optional)</t>
  </si>
  <si>
    <t>Pathways / NKG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</si>
</sst>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-mmm"/>
  </numFmts>
  <fonts count="8">
    <font>
      <sz val="11"/>
      <color theme="1"/>
      <name val="Calibri"/>
      <family val="2"/>
      <charset val="1"/>
    </font>
    <font>
      <b/>
      <sz val="16"/>
      <color rgb="FF006330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sz val="10"/>
      <color rgb="FFC00000"/>
      <name val="Arial"/>
      <charset val="1"/>
    </font>
    <font>
      <b/>
      <sz val="12"/>
      <color rgb="FF00633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06330"/>
        <bgColor rgb="FF008080"/>
      </patternFill>
    </fill>
    <fill>
      <patternFill patternType="solid">
        <fgColor rgb="FFDDEBF7"/>
        <bgColor rgb="FFDDF4F5"/>
      </patternFill>
    </fill>
    <fill>
      <patternFill patternType="solid">
        <fgColor rgb="FFFCE4D6"/>
        <bgColor rgb="FFFCE0CC"/>
      </patternFill>
    </fill>
    <fill>
      <patternFill patternType="solid">
        <fgColor rgb="FFEADCF8"/>
        <bgColor rgb="FFF8DCEB"/>
      </patternFill>
    </fill>
    <fill>
      <patternFill patternType="solid">
        <fgColor rgb="FFF8DCEB"/>
        <bgColor rgb="FFEADCF8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FF2C4"/>
      </patternFill>
    </fill>
    <fill>
      <patternFill patternType="solid">
        <fgColor rgb="FFDDF4F5"/>
        <bgColor rgb="FFDDEBF7"/>
      </patternFill>
    </fill>
    <fill>
      <patternFill patternType="solid">
        <fgColor rgb="FFE7E6E6"/>
        <bgColor rgb="FFE2EFDA"/>
      </patternFill>
    </fill>
    <fill>
      <patternFill patternType="solid">
        <fgColor rgb="FFF2F2F2"/>
        <bgColor rgb="FFEEF4EF"/>
      </patternFill>
    </fill>
    <fill>
      <patternFill patternType="solid">
        <fgColor rgb="FFEEF4E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164" fontId="5" fillId="12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800000"/>
      <rgbColor rgb="FF006330"/>
      <rgbColor rgb="FF000080"/>
      <rgbColor rgb="FF808000"/>
      <rgbColor rgb="FF800080"/>
      <rgbColor rgb="FF008080"/>
      <rgbColor rgb="FFBFBFBF"/>
      <rgbColor rgb="FF808080"/>
      <rgbColor rgb="FFF2F2F2"/>
      <rgbColor rgb="FF993366"/>
      <rgbColor rgb="FFFFF2CC"/>
      <rgbColor rgb="FFDDF4F5"/>
      <rgbColor rgb="FF660066"/>
      <rgbColor rgb="FFFF8080"/>
      <rgbColor rgb="FF0066CC"/>
      <rgbColor rgb="FFEADCF8"/>
      <rgbColor rgb="FF000080"/>
      <rgbColor rgb="FFFF00FF"/>
      <rgbColor rgb="FFEEF4EF"/>
      <rgbColor rgb="FF00FFFF"/>
      <rgbColor rgb="FF800080"/>
      <rgbColor rgb="FF800000"/>
      <rgbColor rgb="FF008080"/>
      <rgbColor rgb="FF0000FF"/>
      <rgbColor rgb="FF00CCFF"/>
      <rgbColor rgb="FFDDEBF7"/>
      <rgbColor rgb="FFD9EAD3"/>
      <rgbColor rgb="FFFFF2C4"/>
      <rgbColor rgb="FFE7E6E6"/>
      <rgbColor rgb="FFF8DCEB"/>
      <rgbColor rgb="FFFCE0CC"/>
      <rgbColor rgb="FFF8CBCB"/>
      <rgbColor rgb="FF3366FF"/>
      <rgbColor rgb="FF33CCCC"/>
      <rgbColor rgb="FF99CC00"/>
      <rgbColor rgb="FFFCE4D6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zoomScaleNormal="100" workbookViewId="0"/>
  </sheetViews>
  <sheetFormatPr defaultColWidth="8.7109375" defaultRowHeight="15"/>
  <cols>
    <col min="1" max="1" width="22" customWidth="1"/>
    <col min="2" max="2" width="34" customWidth="1"/>
    <col min="3" max="3" width="62" customWidth="1"/>
    <col min="4" max="4" width="46" customWidth="1"/>
  </cols>
  <sheetData>
    <row r="1" spans="1:4" ht="19.7">
      <c r="A1" s="1" t="s">
        <v>0</v>
      </c>
    </row>
    <row r="2" spans="1:4">
      <c r="A2" s="2" t="s">
        <v>1</v>
      </c>
    </row>
    <row r="4" spans="1:4" ht="31.5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35.1">
      <c r="A5" s="4" t="s">
        <v>6</v>
      </c>
      <c r="B5" s="5" t="s">
        <v>7</v>
      </c>
      <c r="C5" s="5" t="s">
        <v>8</v>
      </c>
      <c r="D5" s="5" t="s">
        <v>9</v>
      </c>
    </row>
    <row r="6" spans="1:4" ht="23.85">
      <c r="A6" s="4" t="s">
        <v>10</v>
      </c>
      <c r="B6" s="5" t="s">
        <v>11</v>
      </c>
      <c r="C6" s="5" t="s">
        <v>12</v>
      </c>
      <c r="D6" s="5" t="s">
        <v>13</v>
      </c>
    </row>
    <row r="7" spans="1:4" ht="23.85">
      <c r="A7" s="4" t="s">
        <v>14</v>
      </c>
      <c r="B7" s="5" t="s">
        <v>15</v>
      </c>
      <c r="C7" s="5" t="s">
        <v>16</v>
      </c>
      <c r="D7" s="5" t="s">
        <v>17</v>
      </c>
    </row>
    <row r="8" spans="1:4" ht="23.85">
      <c r="A8" s="4" t="s">
        <v>18</v>
      </c>
      <c r="B8" s="5" t="s">
        <v>19</v>
      </c>
      <c r="C8" s="5" t="s">
        <v>20</v>
      </c>
      <c r="D8" s="5" t="s">
        <v>21</v>
      </c>
    </row>
    <row r="9" spans="1:4" ht="23.85">
      <c r="A9" s="4" t="s">
        <v>22</v>
      </c>
      <c r="B9" s="5" t="s">
        <v>23</v>
      </c>
      <c r="C9" s="5" t="s">
        <v>24</v>
      </c>
      <c r="D9" s="6" t="s">
        <v>25</v>
      </c>
    </row>
    <row r="10" spans="1:4" ht="23.85">
      <c r="A10" s="4" t="s">
        <v>26</v>
      </c>
      <c r="B10" s="5" t="s">
        <v>27</v>
      </c>
      <c r="C10" s="5" t="s">
        <v>28</v>
      </c>
      <c r="D10" s="5" t="s">
        <v>29</v>
      </c>
    </row>
    <row r="11" spans="1:4" ht="23.85">
      <c r="A11" s="4" t="s">
        <v>30</v>
      </c>
      <c r="B11" s="5" t="s">
        <v>31</v>
      </c>
      <c r="C11" s="5" t="s">
        <v>32</v>
      </c>
      <c r="D11" s="5" t="s">
        <v>29</v>
      </c>
    </row>
    <row r="12" spans="1:4" ht="23.85">
      <c r="A12" s="4" t="s">
        <v>33</v>
      </c>
      <c r="B12" s="5" t="s">
        <v>34</v>
      </c>
      <c r="C12" s="5" t="s">
        <v>35</v>
      </c>
      <c r="D12" s="5" t="s">
        <v>36</v>
      </c>
    </row>
    <row r="13" spans="1:4" ht="23.85">
      <c r="A13" s="4" t="s">
        <v>37</v>
      </c>
      <c r="B13" s="5" t="s">
        <v>38</v>
      </c>
      <c r="C13" s="5" t="s">
        <v>39</v>
      </c>
      <c r="D13" s="6" t="s">
        <v>40</v>
      </c>
    </row>
    <row r="14" spans="1:4" ht="23.85">
      <c r="A14" s="4" t="s">
        <v>41</v>
      </c>
      <c r="B14" s="5" t="s">
        <v>42</v>
      </c>
      <c r="C14" s="5" t="s">
        <v>43</v>
      </c>
      <c r="D14" s="5" t="s">
        <v>29</v>
      </c>
    </row>
    <row r="16" spans="1:4">
      <c r="A16" s="7" t="s">
        <v>44</v>
      </c>
    </row>
    <row r="17" spans="1:1">
      <c r="A17" s="8" t="s">
        <v>45</v>
      </c>
    </row>
    <row r="18" spans="1:1">
      <c r="A18" s="9" t="s">
        <v>46</v>
      </c>
    </row>
    <row r="19" spans="1:1">
      <c r="A19" s="10" t="s">
        <v>47</v>
      </c>
    </row>
    <row r="20" spans="1:1">
      <c r="A20" s="11" t="s">
        <v>48</v>
      </c>
    </row>
    <row r="21" spans="1:1">
      <c r="A21" s="12" t="s">
        <v>49</v>
      </c>
    </row>
    <row r="22" spans="1:1">
      <c r="A22" s="13" t="s">
        <v>50</v>
      </c>
    </row>
    <row r="23" spans="1:1">
      <c r="A23" s="14" t="s">
        <v>51</v>
      </c>
    </row>
    <row r="24" spans="1:1">
      <c r="A24" s="15" t="s">
        <v>52</v>
      </c>
    </row>
    <row r="25" spans="1:1">
      <c r="A25" s="16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8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7" customWidth="1"/>
    <col min="2" max="2" width="14" customWidth="1"/>
    <col min="3" max="3" width="32" customWidth="1"/>
    <col min="4" max="4" width="48" customWidth="1"/>
    <col min="5" max="5" width="15" customWidth="1"/>
    <col min="6" max="6" width="26" customWidth="1"/>
    <col min="7" max="7" width="38" customWidth="1"/>
    <col min="8" max="8" width="22" customWidth="1"/>
    <col min="9" max="9" width="15" customWidth="1"/>
    <col min="10" max="12" width="11" customWidth="1"/>
    <col min="13" max="13" width="8" customWidth="1"/>
    <col min="14" max="14" width="20" customWidth="1"/>
    <col min="15" max="15" width="12" customWidth="1"/>
  </cols>
  <sheetData>
    <row r="1" spans="1:15" ht="19.7">
      <c r="A1" s="1" t="s">
        <v>54</v>
      </c>
    </row>
    <row r="2" spans="1:15">
      <c r="A2" s="2" t="s">
        <v>55</v>
      </c>
    </row>
    <row r="4" spans="1:15" ht="31.5" customHeight="1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</row>
    <row r="5" spans="1:15" ht="23.85">
      <c r="A5" s="17" t="s">
        <v>71</v>
      </c>
      <c r="B5" s="18" t="s">
        <v>72</v>
      </c>
      <c r="C5" s="18" t="s">
        <v>73</v>
      </c>
      <c r="D5" s="18" t="s">
        <v>74</v>
      </c>
      <c r="E5" s="15" t="s">
        <v>52</v>
      </c>
      <c r="F5" s="18" t="s">
        <v>75</v>
      </c>
      <c r="G5" s="18" t="s">
        <v>76</v>
      </c>
      <c r="H5" s="18" t="s">
        <v>77</v>
      </c>
      <c r="I5" s="18" t="s">
        <v>78</v>
      </c>
      <c r="J5" s="18" t="s">
        <v>79</v>
      </c>
      <c r="K5" s="19">
        <v>46307</v>
      </c>
      <c r="L5" s="19">
        <v>46311</v>
      </c>
      <c r="M5" s="18">
        <f>IFERROR(NETWORKDAYS(K5,L5,DATE(2026,10,20)),"")</f>
        <v>5</v>
      </c>
      <c r="N5" s="18" t="s">
        <v>80</v>
      </c>
      <c r="O5" s="18" t="s">
        <v>81</v>
      </c>
    </row>
    <row r="6" spans="1:15" ht="35.1">
      <c r="A6" s="4" t="s">
        <v>82</v>
      </c>
      <c r="B6" s="5" t="s">
        <v>72</v>
      </c>
      <c r="C6" s="5" t="s">
        <v>83</v>
      </c>
      <c r="D6" s="5" t="s">
        <v>84</v>
      </c>
      <c r="E6" s="15" t="s">
        <v>52</v>
      </c>
      <c r="F6" s="5" t="s">
        <v>75</v>
      </c>
      <c r="G6" s="5" t="s">
        <v>85</v>
      </c>
      <c r="H6" s="5" t="s">
        <v>77</v>
      </c>
      <c r="I6" s="5" t="s">
        <v>78</v>
      </c>
      <c r="J6" s="5" t="s">
        <v>79</v>
      </c>
      <c r="K6" s="20">
        <v>46307</v>
      </c>
      <c r="L6" s="20">
        <v>46311</v>
      </c>
      <c r="M6" s="5">
        <f>IFERROR(NETWORKDAYS(K6,L6,DATE(2026,10,20)),"")</f>
        <v>5</v>
      </c>
      <c r="N6" s="5" t="s">
        <v>86</v>
      </c>
      <c r="O6" s="5" t="s">
        <v>81</v>
      </c>
    </row>
    <row r="7" spans="1:15" ht="23.85">
      <c r="A7" s="17" t="s">
        <v>87</v>
      </c>
      <c r="B7" s="18" t="s">
        <v>72</v>
      </c>
      <c r="C7" s="18" t="s">
        <v>88</v>
      </c>
      <c r="D7" s="18" t="s">
        <v>89</v>
      </c>
      <c r="E7" s="15" t="s">
        <v>52</v>
      </c>
      <c r="F7" s="18" t="s">
        <v>90</v>
      </c>
      <c r="G7" s="18" t="s">
        <v>91</v>
      </c>
      <c r="H7" s="18" t="s">
        <v>77</v>
      </c>
      <c r="I7" s="18" t="s">
        <v>78</v>
      </c>
      <c r="J7" s="18" t="s">
        <v>92</v>
      </c>
      <c r="K7" s="19">
        <v>46309</v>
      </c>
      <c r="L7" s="19">
        <v>46310</v>
      </c>
      <c r="M7" s="18">
        <f>IFERROR(NETWORKDAYS(K7,L7,DATE(2026,10,20)),"")</f>
        <v>2</v>
      </c>
      <c r="N7" s="18" t="s">
        <v>80</v>
      </c>
      <c r="O7" s="18" t="s">
        <v>81</v>
      </c>
    </row>
    <row r="8" spans="1:15" ht="23.85">
      <c r="A8" s="4" t="s">
        <v>93</v>
      </c>
      <c r="B8" s="5" t="s">
        <v>72</v>
      </c>
      <c r="C8" s="5" t="s">
        <v>94</v>
      </c>
      <c r="D8" s="5" t="s">
        <v>95</v>
      </c>
      <c r="E8" s="15" t="s">
        <v>52</v>
      </c>
      <c r="F8" s="5" t="s">
        <v>96</v>
      </c>
      <c r="G8" s="5" t="s">
        <v>97</v>
      </c>
      <c r="H8" s="5" t="s">
        <v>77</v>
      </c>
      <c r="I8" s="5" t="s">
        <v>78</v>
      </c>
      <c r="J8" s="5" t="s">
        <v>92</v>
      </c>
      <c r="K8" s="20">
        <v>46310</v>
      </c>
      <c r="L8" s="20">
        <v>46311</v>
      </c>
      <c r="M8" s="5">
        <f>IFERROR(NETWORKDAYS(K8,L8,DATE(2026,10,20)),"")</f>
        <v>2</v>
      </c>
      <c r="N8" s="5" t="s">
        <v>80</v>
      </c>
      <c r="O8" s="5" t="s">
        <v>81</v>
      </c>
    </row>
    <row r="9" spans="1:15" ht="23.85">
      <c r="A9" s="17" t="s">
        <v>98</v>
      </c>
      <c r="B9" s="18" t="s">
        <v>72</v>
      </c>
      <c r="C9" s="18" t="s">
        <v>99</v>
      </c>
      <c r="D9" s="18" t="s">
        <v>100</v>
      </c>
      <c r="E9" s="15" t="s">
        <v>52</v>
      </c>
      <c r="F9" s="18" t="s">
        <v>101</v>
      </c>
      <c r="G9" s="18" t="s">
        <v>102</v>
      </c>
      <c r="H9" s="18" t="s">
        <v>77</v>
      </c>
      <c r="I9" s="18" t="s">
        <v>78</v>
      </c>
      <c r="J9" s="18" t="s">
        <v>103</v>
      </c>
      <c r="K9" s="19">
        <v>46307</v>
      </c>
      <c r="L9" s="19">
        <v>46311</v>
      </c>
      <c r="M9" s="18">
        <f>IFERROR(NETWORKDAYS(K9,L9,DATE(2026,10,20)),"")</f>
        <v>5</v>
      </c>
      <c r="N9" s="18" t="s">
        <v>80</v>
      </c>
      <c r="O9" s="18" t="s">
        <v>81</v>
      </c>
    </row>
    <row r="10" spans="1:15" ht="23.85">
      <c r="A10" s="4" t="s">
        <v>104</v>
      </c>
      <c r="B10" s="5" t="s">
        <v>72</v>
      </c>
      <c r="C10" s="5" t="s">
        <v>105</v>
      </c>
      <c r="D10" s="5" t="s">
        <v>106</v>
      </c>
      <c r="E10" s="15" t="s">
        <v>52</v>
      </c>
      <c r="F10" s="6" t="s">
        <v>107</v>
      </c>
      <c r="G10" s="5" t="s">
        <v>108</v>
      </c>
      <c r="H10" s="5" t="s">
        <v>77</v>
      </c>
      <c r="I10" s="5" t="s">
        <v>78</v>
      </c>
      <c r="J10" s="5" t="s">
        <v>109</v>
      </c>
      <c r="K10" s="20">
        <v>46308</v>
      </c>
      <c r="L10" s="20">
        <v>46310</v>
      </c>
      <c r="M10" s="5">
        <f>IFERROR(NETWORKDAYS(K10,L10,DATE(2026,10,20)),"")</f>
        <v>3</v>
      </c>
      <c r="N10" s="5" t="s">
        <v>86</v>
      </c>
      <c r="O10" s="5" t="s">
        <v>81</v>
      </c>
    </row>
    <row r="11" spans="1:15" ht="23.85">
      <c r="A11" s="17" t="s">
        <v>110</v>
      </c>
      <c r="B11" s="18" t="s">
        <v>72</v>
      </c>
      <c r="C11" s="18" t="s">
        <v>111</v>
      </c>
      <c r="D11" s="18" t="s">
        <v>112</v>
      </c>
      <c r="E11" s="15" t="s">
        <v>52</v>
      </c>
      <c r="F11" s="18" t="s">
        <v>113</v>
      </c>
      <c r="G11" s="18" t="s">
        <v>114</v>
      </c>
      <c r="H11" s="18" t="s">
        <v>77</v>
      </c>
      <c r="I11" s="18" t="s">
        <v>78</v>
      </c>
      <c r="J11" s="18" t="s">
        <v>115</v>
      </c>
      <c r="K11" s="19">
        <v>46316</v>
      </c>
      <c r="L11" s="19">
        <v>46318</v>
      </c>
      <c r="M11" s="18">
        <f>IFERROR(NETWORKDAYS(K11,L11,DATE(2026,10,20)),"")</f>
        <v>3</v>
      </c>
      <c r="N11" s="18" t="s">
        <v>80</v>
      </c>
      <c r="O11" s="18" t="s">
        <v>81</v>
      </c>
    </row>
    <row r="12" spans="1:15" ht="23.85">
      <c r="A12" s="4" t="s">
        <v>116</v>
      </c>
      <c r="B12" s="5" t="s">
        <v>72</v>
      </c>
      <c r="C12" s="5" t="s">
        <v>117</v>
      </c>
      <c r="D12" s="5" t="s">
        <v>118</v>
      </c>
      <c r="E12" s="15" t="s">
        <v>52</v>
      </c>
      <c r="F12" s="5" t="s">
        <v>119</v>
      </c>
      <c r="G12" s="5" t="s">
        <v>120</v>
      </c>
      <c r="H12" s="5" t="s">
        <v>77</v>
      </c>
      <c r="I12" s="5" t="s">
        <v>78</v>
      </c>
      <c r="J12" s="5" t="s">
        <v>121</v>
      </c>
      <c r="K12" s="20">
        <v>46314</v>
      </c>
      <c r="L12" s="20">
        <v>46318</v>
      </c>
      <c r="M12" s="5">
        <f>IFERROR(NETWORKDAYS(K12,L12,DATE(2026,10,20)),"")</f>
        <v>4</v>
      </c>
      <c r="N12" s="5" t="s">
        <v>80</v>
      </c>
      <c r="O12" s="5" t="s">
        <v>81</v>
      </c>
    </row>
    <row r="13" spans="1:15" ht="23.85">
      <c r="A13" s="17" t="s">
        <v>122</v>
      </c>
      <c r="B13" s="18" t="s">
        <v>72</v>
      </c>
      <c r="C13" s="18" t="s">
        <v>123</v>
      </c>
      <c r="D13" s="18" t="s">
        <v>124</v>
      </c>
      <c r="E13" s="15" t="s">
        <v>52</v>
      </c>
      <c r="F13" s="18" t="s">
        <v>7</v>
      </c>
      <c r="G13" s="18" t="s">
        <v>125</v>
      </c>
      <c r="H13" s="18" t="s">
        <v>77</v>
      </c>
      <c r="I13" s="18" t="s">
        <v>78</v>
      </c>
      <c r="J13" s="18" t="s">
        <v>121</v>
      </c>
      <c r="K13" s="19">
        <v>46314</v>
      </c>
      <c r="L13" s="19">
        <v>46318</v>
      </c>
      <c r="M13" s="18">
        <f>IFERROR(NETWORKDAYS(K13,L13,DATE(2026,10,20)),"")</f>
        <v>4</v>
      </c>
      <c r="N13" s="18" t="s">
        <v>80</v>
      </c>
      <c r="O13" s="18" t="s">
        <v>81</v>
      </c>
    </row>
    <row r="14" spans="1:15" ht="23.85">
      <c r="A14" s="4" t="s">
        <v>126</v>
      </c>
      <c r="B14" s="5" t="s">
        <v>72</v>
      </c>
      <c r="C14" s="5" t="s">
        <v>127</v>
      </c>
      <c r="D14" s="5" t="s">
        <v>128</v>
      </c>
      <c r="E14" s="15" t="s">
        <v>52</v>
      </c>
      <c r="F14" s="5" t="s">
        <v>75</v>
      </c>
      <c r="G14" s="5" t="s">
        <v>129</v>
      </c>
      <c r="H14" s="5" t="s">
        <v>77</v>
      </c>
      <c r="I14" s="5" t="s">
        <v>78</v>
      </c>
      <c r="J14" s="5" t="s">
        <v>130</v>
      </c>
      <c r="K14" s="20">
        <v>46307</v>
      </c>
      <c r="L14" s="20">
        <v>46309</v>
      </c>
      <c r="M14" s="5">
        <f>IFERROR(NETWORKDAYS(K14,L14,DATE(2026,10,20)),"")</f>
        <v>3</v>
      </c>
      <c r="N14" s="5" t="s">
        <v>80</v>
      </c>
      <c r="O14" s="5" t="s">
        <v>81</v>
      </c>
    </row>
    <row r="15" spans="1:15" ht="23.85">
      <c r="A15" s="17" t="s">
        <v>131</v>
      </c>
      <c r="B15" s="18" t="s">
        <v>72</v>
      </c>
      <c r="C15" s="18" t="s">
        <v>132</v>
      </c>
      <c r="D15" s="18" t="s">
        <v>133</v>
      </c>
      <c r="E15" s="9" t="s">
        <v>46</v>
      </c>
      <c r="F15" s="18" t="s">
        <v>31</v>
      </c>
      <c r="G15" s="18" t="s">
        <v>134</v>
      </c>
      <c r="H15" s="18" t="s">
        <v>77</v>
      </c>
      <c r="I15" s="18" t="s">
        <v>78</v>
      </c>
      <c r="J15" s="18" t="s">
        <v>135</v>
      </c>
      <c r="K15" s="19">
        <v>46328</v>
      </c>
      <c r="L15" s="19">
        <v>46330</v>
      </c>
      <c r="M15" s="18">
        <f>IFERROR(NETWORKDAYS(K15,L15,DATE(2026,10,20)),"")</f>
        <v>3</v>
      </c>
      <c r="N15" s="18" t="s">
        <v>80</v>
      </c>
      <c r="O15" s="18" t="s">
        <v>81</v>
      </c>
    </row>
    <row r="16" spans="1:15" ht="23.85">
      <c r="A16" s="4" t="s">
        <v>136</v>
      </c>
      <c r="B16" s="5" t="s">
        <v>137</v>
      </c>
      <c r="C16" s="5" t="s">
        <v>138</v>
      </c>
      <c r="D16" s="5" t="s">
        <v>139</v>
      </c>
      <c r="E16" s="12" t="s">
        <v>49</v>
      </c>
      <c r="F16" s="5" t="s">
        <v>7</v>
      </c>
      <c r="G16" s="5" t="s">
        <v>140</v>
      </c>
      <c r="H16" s="5" t="s">
        <v>77</v>
      </c>
      <c r="I16" s="5" t="s">
        <v>141</v>
      </c>
      <c r="J16" s="5" t="s">
        <v>142</v>
      </c>
      <c r="K16" s="20">
        <v>46310</v>
      </c>
      <c r="L16" s="20">
        <v>46316</v>
      </c>
      <c r="M16" s="5">
        <f>IFERROR(NETWORKDAYS(K16,L16,DATE(2026,10,20)),"")</f>
        <v>4</v>
      </c>
      <c r="N16" s="5" t="s">
        <v>80</v>
      </c>
      <c r="O16" s="5" t="s">
        <v>81</v>
      </c>
    </row>
    <row r="17" spans="1:15" ht="23.85">
      <c r="A17" s="17" t="s">
        <v>143</v>
      </c>
      <c r="B17" s="18" t="s">
        <v>137</v>
      </c>
      <c r="C17" s="18" t="s">
        <v>144</v>
      </c>
      <c r="D17" s="18" t="s">
        <v>145</v>
      </c>
      <c r="E17" s="12" t="s">
        <v>49</v>
      </c>
      <c r="F17" s="18" t="s">
        <v>7</v>
      </c>
      <c r="G17" s="18" t="s">
        <v>146</v>
      </c>
      <c r="H17" s="18" t="s">
        <v>77</v>
      </c>
      <c r="I17" s="18" t="s">
        <v>141</v>
      </c>
      <c r="J17" s="18" t="s">
        <v>142</v>
      </c>
      <c r="K17" s="19">
        <v>46310</v>
      </c>
      <c r="L17" s="19">
        <v>46316</v>
      </c>
      <c r="M17" s="18">
        <f>IFERROR(NETWORKDAYS(K17,L17,DATE(2026,10,20)),"")</f>
        <v>4</v>
      </c>
      <c r="N17" s="18" t="s">
        <v>80</v>
      </c>
      <c r="O17" s="18" t="s">
        <v>81</v>
      </c>
    </row>
    <row r="18" spans="1:15" ht="23.85">
      <c r="A18" s="4" t="s">
        <v>147</v>
      </c>
      <c r="B18" s="5" t="s">
        <v>137</v>
      </c>
      <c r="C18" s="5" t="s">
        <v>148</v>
      </c>
      <c r="D18" s="5" t="s">
        <v>149</v>
      </c>
      <c r="E18" s="12" t="s">
        <v>49</v>
      </c>
      <c r="F18" s="5" t="s">
        <v>7</v>
      </c>
      <c r="G18" s="5" t="s">
        <v>150</v>
      </c>
      <c r="H18" s="5" t="s">
        <v>77</v>
      </c>
      <c r="I18" s="5" t="s">
        <v>141</v>
      </c>
      <c r="J18" s="5" t="s">
        <v>142</v>
      </c>
      <c r="K18" s="20">
        <v>46310</v>
      </c>
      <c r="L18" s="20">
        <v>46316</v>
      </c>
      <c r="M18" s="5">
        <f>IFERROR(NETWORKDAYS(K18,L18,DATE(2026,10,20)),"")</f>
        <v>4</v>
      </c>
      <c r="N18" s="5" t="s">
        <v>80</v>
      </c>
      <c r="O18" s="5" t="s">
        <v>81</v>
      </c>
    </row>
    <row r="19" spans="1:15" ht="23.85">
      <c r="A19" s="17" t="s">
        <v>151</v>
      </c>
      <c r="B19" s="18" t="s">
        <v>137</v>
      </c>
      <c r="C19" s="18" t="s">
        <v>152</v>
      </c>
      <c r="D19" s="18" t="s">
        <v>153</v>
      </c>
      <c r="E19" s="12" t="s">
        <v>49</v>
      </c>
      <c r="F19" s="18" t="s">
        <v>7</v>
      </c>
      <c r="G19" s="18" t="s">
        <v>154</v>
      </c>
      <c r="H19" s="18" t="s">
        <v>77</v>
      </c>
      <c r="I19" s="18" t="s">
        <v>141</v>
      </c>
      <c r="J19" s="18" t="s">
        <v>142</v>
      </c>
      <c r="K19" s="19">
        <v>46310</v>
      </c>
      <c r="L19" s="19">
        <v>46316</v>
      </c>
      <c r="M19" s="18">
        <f>IFERROR(NETWORKDAYS(K19,L19,DATE(2026,10,20)),"")</f>
        <v>4</v>
      </c>
      <c r="N19" s="18" t="s">
        <v>80</v>
      </c>
      <c r="O19" s="18" t="s">
        <v>81</v>
      </c>
    </row>
    <row r="20" spans="1:15" ht="23.85">
      <c r="A20" s="4" t="s">
        <v>155</v>
      </c>
      <c r="B20" s="5" t="s">
        <v>137</v>
      </c>
      <c r="C20" s="5" t="s">
        <v>156</v>
      </c>
      <c r="D20" s="5" t="s">
        <v>157</v>
      </c>
      <c r="E20" s="12" t="s">
        <v>49</v>
      </c>
      <c r="F20" s="5" t="s">
        <v>7</v>
      </c>
      <c r="G20" s="5" t="s">
        <v>158</v>
      </c>
      <c r="H20" s="5" t="s">
        <v>77</v>
      </c>
      <c r="I20" s="5" t="s">
        <v>141</v>
      </c>
      <c r="J20" s="5" t="s">
        <v>142</v>
      </c>
      <c r="K20" s="20">
        <v>46310</v>
      </c>
      <c r="L20" s="20">
        <v>46316</v>
      </c>
      <c r="M20" s="5">
        <f>IFERROR(NETWORKDAYS(K20,L20,DATE(2026,10,20)),"")</f>
        <v>4</v>
      </c>
      <c r="N20" s="5" t="s">
        <v>80</v>
      </c>
      <c r="O20" s="5" t="s">
        <v>81</v>
      </c>
    </row>
    <row r="21" spans="1:15" ht="23.85">
      <c r="A21" s="17" t="s">
        <v>159</v>
      </c>
      <c r="B21" s="18" t="s">
        <v>137</v>
      </c>
      <c r="C21" s="18" t="s">
        <v>160</v>
      </c>
      <c r="D21" s="18" t="s">
        <v>161</v>
      </c>
      <c r="E21" s="12" t="s">
        <v>49</v>
      </c>
      <c r="F21" s="18" t="s">
        <v>7</v>
      </c>
      <c r="G21" s="18" t="s">
        <v>158</v>
      </c>
      <c r="H21" s="18" t="s">
        <v>77</v>
      </c>
      <c r="I21" s="18" t="s">
        <v>141</v>
      </c>
      <c r="J21" s="18" t="s">
        <v>142</v>
      </c>
      <c r="K21" s="19">
        <v>46310</v>
      </c>
      <c r="L21" s="19">
        <v>46316</v>
      </c>
      <c r="M21" s="18">
        <f>IFERROR(NETWORKDAYS(K21,L21,DATE(2026,10,20)),"")</f>
        <v>4</v>
      </c>
      <c r="N21" s="18" t="s">
        <v>80</v>
      </c>
      <c r="O21" s="18" t="s">
        <v>81</v>
      </c>
    </row>
    <row r="22" spans="1:15" ht="23.85">
      <c r="A22" s="4" t="s">
        <v>162</v>
      </c>
      <c r="B22" s="5" t="s">
        <v>137</v>
      </c>
      <c r="C22" s="5" t="s">
        <v>163</v>
      </c>
      <c r="D22" s="5" t="s">
        <v>164</v>
      </c>
      <c r="E22" s="12" t="s">
        <v>49</v>
      </c>
      <c r="F22" s="5" t="s">
        <v>165</v>
      </c>
      <c r="G22" s="5" t="s">
        <v>166</v>
      </c>
      <c r="H22" s="5" t="s">
        <v>167</v>
      </c>
      <c r="I22" s="5" t="s">
        <v>141</v>
      </c>
      <c r="J22" s="5" t="s">
        <v>29</v>
      </c>
      <c r="K22" s="20">
        <v>46370</v>
      </c>
      <c r="L22" s="20">
        <v>46402</v>
      </c>
      <c r="M22" s="5">
        <f>IFERROR(NETWORKDAYS(K22,L22,DATE(2026,10,20)),"")</f>
        <v>25</v>
      </c>
      <c r="N22" s="6" t="s">
        <v>168</v>
      </c>
      <c r="O22" s="5" t="s">
        <v>81</v>
      </c>
    </row>
    <row r="23" spans="1:15" ht="23.85">
      <c r="A23" s="17" t="s">
        <v>169</v>
      </c>
      <c r="B23" s="18" t="s">
        <v>170</v>
      </c>
      <c r="C23" s="18" t="s">
        <v>171</v>
      </c>
      <c r="D23" s="21" t="s">
        <v>172</v>
      </c>
      <c r="E23" s="12" t="s">
        <v>49</v>
      </c>
      <c r="F23" s="18" t="s">
        <v>173</v>
      </c>
      <c r="G23" s="18" t="s">
        <v>102</v>
      </c>
      <c r="H23" s="18" t="s">
        <v>77</v>
      </c>
      <c r="I23" s="18" t="s">
        <v>78</v>
      </c>
      <c r="J23" s="18" t="s">
        <v>174</v>
      </c>
      <c r="K23" s="19">
        <v>46310</v>
      </c>
      <c r="L23" s="19">
        <v>46311</v>
      </c>
      <c r="M23" s="18">
        <f>IFERROR(NETWORKDAYS(K23,L23,DATE(2026,10,20)),"")</f>
        <v>2</v>
      </c>
      <c r="N23" s="18" t="s">
        <v>86</v>
      </c>
      <c r="O23" s="18" t="s">
        <v>81</v>
      </c>
    </row>
    <row r="24" spans="1:15" ht="23.85">
      <c r="A24" s="4" t="s">
        <v>175</v>
      </c>
      <c r="B24" s="5" t="s">
        <v>170</v>
      </c>
      <c r="C24" s="5" t="s">
        <v>176</v>
      </c>
      <c r="D24" s="5" t="s">
        <v>177</v>
      </c>
      <c r="E24" s="9" t="s">
        <v>46</v>
      </c>
      <c r="F24" s="5" t="s">
        <v>178</v>
      </c>
      <c r="G24" s="5" t="s">
        <v>179</v>
      </c>
      <c r="H24" s="5" t="s">
        <v>180</v>
      </c>
      <c r="I24" s="5" t="s">
        <v>141</v>
      </c>
      <c r="J24" s="5" t="s">
        <v>181</v>
      </c>
      <c r="K24" s="20">
        <v>46314</v>
      </c>
      <c r="L24" s="20">
        <v>46316</v>
      </c>
      <c r="M24" s="5">
        <f>IFERROR(NETWORKDAYS(K24,L24,DATE(2026,10,20)),"")</f>
        <v>2</v>
      </c>
      <c r="N24" s="5" t="s">
        <v>86</v>
      </c>
      <c r="O24" s="5" t="s">
        <v>81</v>
      </c>
    </row>
    <row r="25" spans="1:15" ht="35.1">
      <c r="A25" s="17" t="s">
        <v>182</v>
      </c>
      <c r="B25" s="18" t="s">
        <v>170</v>
      </c>
      <c r="C25" s="18" t="s">
        <v>183</v>
      </c>
      <c r="D25" s="18" t="s">
        <v>184</v>
      </c>
      <c r="E25" s="9" t="s">
        <v>46</v>
      </c>
      <c r="F25" s="18" t="s">
        <v>185</v>
      </c>
      <c r="G25" s="18" t="s">
        <v>186</v>
      </c>
      <c r="H25" s="18" t="s">
        <v>77</v>
      </c>
      <c r="I25" s="18" t="s">
        <v>141</v>
      </c>
      <c r="J25" s="18" t="s">
        <v>187</v>
      </c>
      <c r="K25" s="19">
        <v>46316</v>
      </c>
      <c r="L25" s="19">
        <v>46318</v>
      </c>
      <c r="M25" s="18">
        <f>IFERROR(NETWORKDAYS(K25,L25,DATE(2026,10,20)),"")</f>
        <v>3</v>
      </c>
      <c r="N25" s="18" t="s">
        <v>80</v>
      </c>
      <c r="O25" s="18" t="s">
        <v>81</v>
      </c>
    </row>
    <row r="26" spans="1:15" ht="23.85">
      <c r="A26" s="4" t="s">
        <v>188</v>
      </c>
      <c r="B26" s="5" t="s">
        <v>170</v>
      </c>
      <c r="C26" s="5" t="s">
        <v>189</v>
      </c>
      <c r="D26" s="5" t="s">
        <v>190</v>
      </c>
      <c r="E26" s="12" t="s">
        <v>49</v>
      </c>
      <c r="F26" s="5" t="s">
        <v>191</v>
      </c>
      <c r="G26" s="5" t="s">
        <v>192</v>
      </c>
      <c r="H26" s="5" t="s">
        <v>193</v>
      </c>
      <c r="I26" s="5" t="s">
        <v>141</v>
      </c>
      <c r="J26" s="5" t="s">
        <v>194</v>
      </c>
      <c r="K26" s="20">
        <v>46314</v>
      </c>
      <c r="L26" s="20">
        <v>46318</v>
      </c>
      <c r="M26" s="5">
        <f>IFERROR(NETWORKDAYS(K26,L26,DATE(2026,10,20)),"")</f>
        <v>4</v>
      </c>
      <c r="N26" s="5" t="s">
        <v>80</v>
      </c>
      <c r="O26" s="5" t="s">
        <v>81</v>
      </c>
    </row>
    <row r="27" spans="1:15" ht="23.85">
      <c r="A27" s="17" t="s">
        <v>195</v>
      </c>
      <c r="B27" s="18" t="s">
        <v>170</v>
      </c>
      <c r="C27" s="18" t="s">
        <v>196</v>
      </c>
      <c r="D27" s="18" t="s">
        <v>197</v>
      </c>
      <c r="E27" s="12" t="s">
        <v>49</v>
      </c>
      <c r="F27" s="18" t="s">
        <v>198</v>
      </c>
      <c r="G27" s="18" t="s">
        <v>199</v>
      </c>
      <c r="H27" s="18" t="s">
        <v>200</v>
      </c>
      <c r="I27" s="18" t="s">
        <v>141</v>
      </c>
      <c r="J27" s="18" t="s">
        <v>194</v>
      </c>
      <c r="K27" s="19">
        <v>46314</v>
      </c>
      <c r="L27" s="19">
        <v>46318</v>
      </c>
      <c r="M27" s="18">
        <f>IFERROR(NETWORKDAYS(K27,L27,DATE(2026,10,20)),"")</f>
        <v>4</v>
      </c>
      <c r="N27" s="18" t="s">
        <v>80</v>
      </c>
      <c r="O27" s="18" t="s">
        <v>81</v>
      </c>
    </row>
    <row r="28" spans="1:15" ht="35.1">
      <c r="A28" s="4" t="s">
        <v>201</v>
      </c>
      <c r="B28" s="5" t="s">
        <v>170</v>
      </c>
      <c r="C28" s="5" t="s">
        <v>202</v>
      </c>
      <c r="D28" s="5" t="s">
        <v>203</v>
      </c>
      <c r="E28" s="12" t="s">
        <v>49</v>
      </c>
      <c r="F28" s="5" t="s">
        <v>198</v>
      </c>
      <c r="G28" s="5" t="s">
        <v>199</v>
      </c>
      <c r="H28" s="5" t="s">
        <v>204</v>
      </c>
      <c r="I28" s="5" t="s">
        <v>141</v>
      </c>
      <c r="J28" s="5" t="s">
        <v>194</v>
      </c>
      <c r="K28" s="20">
        <v>46314</v>
      </c>
      <c r="L28" s="20">
        <v>46318</v>
      </c>
      <c r="M28" s="5">
        <f>IFERROR(NETWORKDAYS(K28,L28,DATE(2026,10,20)),"")</f>
        <v>4</v>
      </c>
      <c r="N28" s="5" t="s">
        <v>80</v>
      </c>
      <c r="O28" s="5" t="s">
        <v>81</v>
      </c>
    </row>
    <row r="29" spans="1:15" ht="23.85">
      <c r="A29" s="17" t="s">
        <v>205</v>
      </c>
      <c r="B29" s="18" t="s">
        <v>170</v>
      </c>
      <c r="C29" s="18" t="s">
        <v>206</v>
      </c>
      <c r="D29" s="18" t="s">
        <v>207</v>
      </c>
      <c r="E29" s="12" t="s">
        <v>49</v>
      </c>
      <c r="F29" s="18" t="s">
        <v>198</v>
      </c>
      <c r="G29" s="18" t="s">
        <v>199</v>
      </c>
      <c r="H29" s="18" t="s">
        <v>208</v>
      </c>
      <c r="I29" s="18" t="s">
        <v>141</v>
      </c>
      <c r="J29" s="18" t="s">
        <v>194</v>
      </c>
      <c r="K29" s="19">
        <v>46314</v>
      </c>
      <c r="L29" s="19">
        <v>46318</v>
      </c>
      <c r="M29" s="18">
        <f>IFERROR(NETWORKDAYS(K29,L29,DATE(2026,10,20)),"")</f>
        <v>4</v>
      </c>
      <c r="N29" s="18" t="s">
        <v>80</v>
      </c>
      <c r="O29" s="18" t="s">
        <v>81</v>
      </c>
    </row>
    <row r="30" spans="1:15" ht="23.85">
      <c r="A30" s="4" t="s">
        <v>209</v>
      </c>
      <c r="B30" s="5" t="s">
        <v>170</v>
      </c>
      <c r="C30" s="5" t="s">
        <v>210</v>
      </c>
      <c r="D30" s="5" t="s">
        <v>211</v>
      </c>
      <c r="E30" s="12" t="s">
        <v>49</v>
      </c>
      <c r="F30" s="5" t="s">
        <v>198</v>
      </c>
      <c r="G30" s="5" t="s">
        <v>212</v>
      </c>
      <c r="H30" s="5" t="s">
        <v>213</v>
      </c>
      <c r="I30" s="5" t="s">
        <v>141</v>
      </c>
      <c r="J30" s="5" t="s">
        <v>194</v>
      </c>
      <c r="K30" s="20">
        <v>46314</v>
      </c>
      <c r="L30" s="20">
        <v>46318</v>
      </c>
      <c r="M30" s="5">
        <f>IFERROR(NETWORKDAYS(K30,L30,DATE(2026,10,20)),"")</f>
        <v>4</v>
      </c>
      <c r="N30" s="5" t="s">
        <v>80</v>
      </c>
      <c r="O30" s="5" t="s">
        <v>81</v>
      </c>
    </row>
    <row r="31" spans="1:15" ht="23.85">
      <c r="A31" s="17" t="s">
        <v>214</v>
      </c>
      <c r="B31" s="18" t="s">
        <v>170</v>
      </c>
      <c r="C31" s="18" t="s">
        <v>215</v>
      </c>
      <c r="D31" s="18" t="s">
        <v>216</v>
      </c>
      <c r="E31" s="9" t="s">
        <v>46</v>
      </c>
      <c r="F31" s="18" t="s">
        <v>178</v>
      </c>
      <c r="G31" s="18" t="s">
        <v>217</v>
      </c>
      <c r="H31" s="18" t="s">
        <v>77</v>
      </c>
      <c r="I31" s="18" t="s">
        <v>141</v>
      </c>
      <c r="J31" s="18" t="s">
        <v>194</v>
      </c>
      <c r="K31" s="19">
        <v>46316</v>
      </c>
      <c r="L31" s="19">
        <v>46318</v>
      </c>
      <c r="M31" s="18">
        <f>IFERROR(NETWORKDAYS(K31,L31,DATE(2026,10,20)),"")</f>
        <v>3</v>
      </c>
      <c r="N31" s="18" t="s">
        <v>80</v>
      </c>
      <c r="O31" s="18" t="s">
        <v>81</v>
      </c>
    </row>
    <row r="32" spans="1:15" ht="23.85">
      <c r="A32" s="4" t="s">
        <v>218</v>
      </c>
      <c r="B32" s="5" t="s">
        <v>170</v>
      </c>
      <c r="C32" s="5" t="s">
        <v>219</v>
      </c>
      <c r="D32" s="5" t="s">
        <v>220</v>
      </c>
      <c r="E32" s="9" t="s">
        <v>46</v>
      </c>
      <c r="F32" s="5" t="s">
        <v>31</v>
      </c>
      <c r="G32" s="5" t="s">
        <v>221</v>
      </c>
      <c r="H32" s="5" t="s">
        <v>77</v>
      </c>
      <c r="I32" s="5" t="s">
        <v>141</v>
      </c>
      <c r="J32" s="5" t="s">
        <v>222</v>
      </c>
      <c r="K32" s="20">
        <v>46321</v>
      </c>
      <c r="L32" s="20">
        <v>46322</v>
      </c>
      <c r="M32" s="5">
        <f>IFERROR(NETWORKDAYS(K32,L32,DATE(2026,10,20)),"")</f>
        <v>2</v>
      </c>
      <c r="N32" s="5" t="s">
        <v>80</v>
      </c>
      <c r="O32" s="5" t="s">
        <v>81</v>
      </c>
    </row>
    <row r="33" spans="1:15" ht="23.85">
      <c r="A33" s="17" t="s">
        <v>223</v>
      </c>
      <c r="B33" s="18" t="s">
        <v>170</v>
      </c>
      <c r="C33" s="18" t="s">
        <v>224</v>
      </c>
      <c r="D33" s="18" t="s">
        <v>225</v>
      </c>
      <c r="E33" s="8" t="s">
        <v>45</v>
      </c>
      <c r="F33" s="18" t="s">
        <v>226</v>
      </c>
      <c r="G33" s="18" t="s">
        <v>227</v>
      </c>
      <c r="H33" s="18" t="s">
        <v>77</v>
      </c>
      <c r="I33" s="18" t="s">
        <v>228</v>
      </c>
      <c r="J33" s="18" t="s">
        <v>229</v>
      </c>
      <c r="K33" s="19">
        <v>46331</v>
      </c>
      <c r="L33" s="19">
        <v>46332</v>
      </c>
      <c r="M33" s="18">
        <f>IFERROR(NETWORKDAYS(K33,L33,DATE(2026,10,20)),"")</f>
        <v>2</v>
      </c>
      <c r="N33" s="18" t="s">
        <v>80</v>
      </c>
      <c r="O33" s="18" t="s">
        <v>81</v>
      </c>
    </row>
    <row r="34" spans="1:15" ht="35.1">
      <c r="A34" s="4" t="s">
        <v>230</v>
      </c>
      <c r="B34" s="5" t="s">
        <v>170</v>
      </c>
      <c r="C34" s="5" t="s">
        <v>231</v>
      </c>
      <c r="D34" s="5" t="s">
        <v>232</v>
      </c>
      <c r="E34" s="12" t="s">
        <v>49</v>
      </c>
      <c r="F34" s="5" t="s">
        <v>233</v>
      </c>
      <c r="G34" s="5" t="s">
        <v>234</v>
      </c>
      <c r="H34" s="5" t="s">
        <v>235</v>
      </c>
      <c r="I34" s="5" t="s">
        <v>141</v>
      </c>
      <c r="J34" s="5" t="s">
        <v>29</v>
      </c>
      <c r="K34" s="6" t="s">
        <v>236</v>
      </c>
      <c r="L34" s="6" t="s">
        <v>236</v>
      </c>
      <c r="M34" s="5" t="str">
        <f>IFERROR(NETWORKDAYS(K34,L34,DATE(2026,10,20)),"")</f>
        <v/>
      </c>
      <c r="N34" s="5" t="s">
        <v>80</v>
      </c>
      <c r="O34" s="5" t="s">
        <v>81</v>
      </c>
    </row>
    <row r="35" spans="1:15" ht="23.85">
      <c r="A35" s="17" t="s">
        <v>237</v>
      </c>
      <c r="B35" s="18" t="s">
        <v>170</v>
      </c>
      <c r="C35" s="18" t="s">
        <v>238</v>
      </c>
      <c r="D35" s="18" t="s">
        <v>239</v>
      </c>
      <c r="E35" s="12" t="s">
        <v>49</v>
      </c>
      <c r="F35" s="18" t="s">
        <v>240</v>
      </c>
      <c r="G35" s="18" t="s">
        <v>241</v>
      </c>
      <c r="H35" s="18" t="s">
        <v>235</v>
      </c>
      <c r="I35" s="18" t="s">
        <v>141</v>
      </c>
      <c r="J35" s="18" t="s">
        <v>29</v>
      </c>
      <c r="K35" s="21" t="s">
        <v>236</v>
      </c>
      <c r="L35" s="21" t="s">
        <v>236</v>
      </c>
      <c r="M35" s="18" t="str">
        <f>IFERROR(NETWORKDAYS(K35,L35,DATE(2026,10,20)),"")</f>
        <v/>
      </c>
      <c r="N35" s="18" t="s">
        <v>80</v>
      </c>
      <c r="O35" s="18" t="s">
        <v>81</v>
      </c>
    </row>
    <row r="36" spans="1:15" ht="23.85">
      <c r="A36" s="4" t="s">
        <v>242</v>
      </c>
      <c r="B36" s="5" t="s">
        <v>170</v>
      </c>
      <c r="C36" s="5" t="s">
        <v>243</v>
      </c>
      <c r="D36" s="5" t="s">
        <v>244</v>
      </c>
      <c r="E36" s="12" t="s">
        <v>49</v>
      </c>
      <c r="F36" s="5" t="s">
        <v>245</v>
      </c>
      <c r="G36" s="5" t="s">
        <v>246</v>
      </c>
      <c r="H36" s="5" t="s">
        <v>247</v>
      </c>
      <c r="I36" s="5" t="s">
        <v>141</v>
      </c>
      <c r="J36" s="5" t="s">
        <v>29</v>
      </c>
      <c r="K36" s="6" t="s">
        <v>236</v>
      </c>
      <c r="L36" s="6" t="s">
        <v>236</v>
      </c>
      <c r="M36" s="5" t="str">
        <f>IFERROR(NETWORKDAYS(K36,L36,DATE(2026,10,20)),"")</f>
        <v/>
      </c>
      <c r="N36" s="6" t="s">
        <v>168</v>
      </c>
      <c r="O36" s="5" t="s">
        <v>81</v>
      </c>
    </row>
    <row r="37" spans="1:15" ht="23.85">
      <c r="A37" s="17" t="s">
        <v>248</v>
      </c>
      <c r="B37" s="18" t="s">
        <v>249</v>
      </c>
      <c r="C37" s="18" t="s">
        <v>250</v>
      </c>
      <c r="D37" s="18" t="s">
        <v>251</v>
      </c>
      <c r="E37" s="12" t="s">
        <v>49</v>
      </c>
      <c r="F37" s="18" t="s">
        <v>198</v>
      </c>
      <c r="G37" s="18" t="s">
        <v>252</v>
      </c>
      <c r="H37" s="18" t="s">
        <v>77</v>
      </c>
      <c r="I37" s="18" t="s">
        <v>141</v>
      </c>
      <c r="J37" s="18" t="s">
        <v>253</v>
      </c>
      <c r="K37" s="19">
        <v>46316</v>
      </c>
      <c r="L37" s="19">
        <v>46318</v>
      </c>
      <c r="M37" s="18">
        <f>IFERROR(NETWORKDAYS(K37,L37,DATE(2026,10,20)),"")</f>
        <v>3</v>
      </c>
      <c r="N37" s="18" t="s">
        <v>80</v>
      </c>
      <c r="O37" s="18" t="s">
        <v>81</v>
      </c>
    </row>
    <row r="38" spans="1:15" ht="23.85">
      <c r="A38" s="4" t="s">
        <v>254</v>
      </c>
      <c r="B38" s="5" t="s">
        <v>249</v>
      </c>
      <c r="C38" s="5" t="s">
        <v>255</v>
      </c>
      <c r="D38" s="5" t="s">
        <v>256</v>
      </c>
      <c r="E38" s="12" t="s">
        <v>49</v>
      </c>
      <c r="F38" s="5" t="s">
        <v>198</v>
      </c>
      <c r="G38" s="5" t="s">
        <v>257</v>
      </c>
      <c r="H38" s="5" t="s">
        <v>77</v>
      </c>
      <c r="I38" s="5" t="s">
        <v>141</v>
      </c>
      <c r="J38" s="5" t="s">
        <v>253</v>
      </c>
      <c r="K38" s="20">
        <v>46316</v>
      </c>
      <c r="L38" s="20">
        <v>46318</v>
      </c>
      <c r="M38" s="5">
        <f>IFERROR(NETWORKDAYS(K38,L38,DATE(2026,10,20)),"")</f>
        <v>3</v>
      </c>
      <c r="N38" s="5" t="s">
        <v>80</v>
      </c>
      <c r="O38" s="5" t="s">
        <v>81</v>
      </c>
    </row>
    <row r="39" spans="1:15" ht="23.85">
      <c r="A39" s="17" t="s">
        <v>258</v>
      </c>
      <c r="B39" s="18" t="s">
        <v>249</v>
      </c>
      <c r="C39" s="18" t="s">
        <v>259</v>
      </c>
      <c r="D39" s="18" t="s">
        <v>260</v>
      </c>
      <c r="E39" s="13" t="s">
        <v>50</v>
      </c>
      <c r="F39" s="18" t="s">
        <v>261</v>
      </c>
      <c r="G39" s="18" t="s">
        <v>262</v>
      </c>
      <c r="H39" s="18" t="s">
        <v>77</v>
      </c>
      <c r="I39" s="18" t="s">
        <v>263</v>
      </c>
      <c r="J39" s="18" t="s">
        <v>264</v>
      </c>
      <c r="K39" s="19">
        <v>46310</v>
      </c>
      <c r="L39" s="19">
        <v>46316</v>
      </c>
      <c r="M39" s="18">
        <f>IFERROR(NETWORKDAYS(K39,L39,DATE(2026,10,20)),"")</f>
        <v>4</v>
      </c>
      <c r="N39" s="18" t="s">
        <v>265</v>
      </c>
      <c r="O39" s="18" t="s">
        <v>81</v>
      </c>
    </row>
    <row r="40" spans="1:15" ht="23.85">
      <c r="A40" s="4" t="s">
        <v>266</v>
      </c>
      <c r="B40" s="5" t="s">
        <v>249</v>
      </c>
      <c r="C40" s="5" t="s">
        <v>267</v>
      </c>
      <c r="D40" s="5" t="s">
        <v>268</v>
      </c>
      <c r="E40" s="13" t="s">
        <v>50</v>
      </c>
      <c r="F40" s="5" t="s">
        <v>269</v>
      </c>
      <c r="G40" s="5" t="s">
        <v>270</v>
      </c>
      <c r="H40" s="5" t="s">
        <v>77</v>
      </c>
      <c r="I40" s="5" t="s">
        <v>263</v>
      </c>
      <c r="J40" s="5" t="s">
        <v>271</v>
      </c>
      <c r="K40" s="20">
        <v>46308</v>
      </c>
      <c r="L40" s="20">
        <v>46311</v>
      </c>
      <c r="M40" s="5">
        <f>IFERROR(NETWORKDAYS(K40,L40,DATE(2026,10,20)),"")</f>
        <v>4</v>
      </c>
      <c r="N40" s="5" t="s">
        <v>86</v>
      </c>
      <c r="O40" s="5" t="s">
        <v>81</v>
      </c>
    </row>
    <row r="41" spans="1:15" ht="23.85">
      <c r="A41" s="17" t="s">
        <v>272</v>
      </c>
      <c r="B41" s="18" t="s">
        <v>273</v>
      </c>
      <c r="C41" s="18" t="s">
        <v>274</v>
      </c>
      <c r="D41" s="18" t="s">
        <v>275</v>
      </c>
      <c r="E41" s="12" t="s">
        <v>49</v>
      </c>
      <c r="F41" s="18" t="s">
        <v>198</v>
      </c>
      <c r="G41" s="18" t="s">
        <v>276</v>
      </c>
      <c r="H41" s="18" t="s">
        <v>77</v>
      </c>
      <c r="I41" s="18" t="s">
        <v>141</v>
      </c>
      <c r="J41" s="18" t="s">
        <v>277</v>
      </c>
      <c r="K41" s="19">
        <v>46321</v>
      </c>
      <c r="L41" s="19">
        <v>46323</v>
      </c>
      <c r="M41" s="18">
        <f>IFERROR(NETWORKDAYS(K41,L41,DATE(2026,10,20)),"")</f>
        <v>3</v>
      </c>
      <c r="N41" s="18" t="s">
        <v>80</v>
      </c>
      <c r="O41" s="18" t="s">
        <v>81</v>
      </c>
    </row>
    <row r="42" spans="1:15" ht="23.85">
      <c r="A42" s="4" t="s">
        <v>278</v>
      </c>
      <c r="B42" s="5" t="s">
        <v>273</v>
      </c>
      <c r="C42" s="5" t="s">
        <v>279</v>
      </c>
      <c r="D42" s="5" t="s">
        <v>280</v>
      </c>
      <c r="E42" s="12" t="s">
        <v>49</v>
      </c>
      <c r="F42" s="5" t="s">
        <v>198</v>
      </c>
      <c r="G42" s="5" t="s">
        <v>281</v>
      </c>
      <c r="H42" s="5" t="s">
        <v>77</v>
      </c>
      <c r="I42" s="5" t="s">
        <v>141</v>
      </c>
      <c r="J42" s="5" t="s">
        <v>277</v>
      </c>
      <c r="K42" s="20">
        <v>46321</v>
      </c>
      <c r="L42" s="20">
        <v>46323</v>
      </c>
      <c r="M42" s="5">
        <f>IFERROR(NETWORKDAYS(K42,L42,DATE(2026,10,20)),"")</f>
        <v>3</v>
      </c>
      <c r="N42" s="5" t="s">
        <v>80</v>
      </c>
      <c r="O42" s="5" t="s">
        <v>81</v>
      </c>
    </row>
    <row r="43" spans="1:15" ht="23.85">
      <c r="A43" s="17" t="s">
        <v>282</v>
      </c>
      <c r="B43" s="18" t="s">
        <v>273</v>
      </c>
      <c r="C43" s="18" t="s">
        <v>283</v>
      </c>
      <c r="D43" s="18" t="s">
        <v>284</v>
      </c>
      <c r="E43" s="12" t="s">
        <v>49</v>
      </c>
      <c r="F43" s="18" t="s">
        <v>285</v>
      </c>
      <c r="G43" s="18" t="s">
        <v>286</v>
      </c>
      <c r="H43" s="18" t="s">
        <v>77</v>
      </c>
      <c r="I43" s="18" t="s">
        <v>141</v>
      </c>
      <c r="J43" s="18" t="s">
        <v>287</v>
      </c>
      <c r="K43" s="19">
        <v>46322</v>
      </c>
      <c r="L43" s="19">
        <v>46324</v>
      </c>
      <c r="M43" s="18">
        <f>IFERROR(NETWORKDAYS(K43,L43,DATE(2026,10,20)),"")</f>
        <v>3</v>
      </c>
      <c r="N43" s="18" t="s">
        <v>80</v>
      </c>
      <c r="O43" s="18" t="s">
        <v>81</v>
      </c>
    </row>
    <row r="44" spans="1:15" ht="23.85">
      <c r="A44" s="4" t="s">
        <v>288</v>
      </c>
      <c r="B44" s="5" t="s">
        <v>273</v>
      </c>
      <c r="C44" s="5" t="s">
        <v>289</v>
      </c>
      <c r="D44" s="5" t="s">
        <v>290</v>
      </c>
      <c r="E44" s="12" t="s">
        <v>49</v>
      </c>
      <c r="F44" s="5" t="s">
        <v>291</v>
      </c>
      <c r="G44" s="5" t="s">
        <v>292</v>
      </c>
      <c r="H44" s="5" t="s">
        <v>77</v>
      </c>
      <c r="I44" s="5" t="s">
        <v>141</v>
      </c>
      <c r="J44" s="5" t="s">
        <v>293</v>
      </c>
      <c r="K44" s="20">
        <v>46324</v>
      </c>
      <c r="L44" s="20">
        <v>46329</v>
      </c>
      <c r="M44" s="5">
        <f>IFERROR(NETWORKDAYS(K44,L44,DATE(2026,10,20)),"")</f>
        <v>4</v>
      </c>
      <c r="N44" s="5" t="s">
        <v>80</v>
      </c>
      <c r="O44" s="5" t="s">
        <v>81</v>
      </c>
    </row>
    <row r="45" spans="1:15" ht="23.85">
      <c r="A45" s="17" t="s">
        <v>294</v>
      </c>
      <c r="B45" s="18" t="s">
        <v>273</v>
      </c>
      <c r="C45" s="18" t="s">
        <v>295</v>
      </c>
      <c r="D45" s="18" t="s">
        <v>296</v>
      </c>
      <c r="E45" s="12" t="s">
        <v>49</v>
      </c>
      <c r="F45" s="18" t="s">
        <v>291</v>
      </c>
      <c r="G45" s="18" t="s">
        <v>292</v>
      </c>
      <c r="H45" s="18" t="s">
        <v>77</v>
      </c>
      <c r="I45" s="18" t="s">
        <v>141</v>
      </c>
      <c r="J45" s="18" t="s">
        <v>297</v>
      </c>
      <c r="K45" s="19">
        <v>46328</v>
      </c>
      <c r="L45" s="19">
        <v>46330</v>
      </c>
      <c r="M45" s="18">
        <f>IFERROR(NETWORKDAYS(K45,L45,DATE(2026,10,20)),"")</f>
        <v>3</v>
      </c>
      <c r="N45" s="18" t="s">
        <v>80</v>
      </c>
      <c r="O45" s="18" t="s">
        <v>81</v>
      </c>
    </row>
    <row r="46" spans="1:15" ht="23.85">
      <c r="A46" s="4" t="s">
        <v>298</v>
      </c>
      <c r="B46" s="5" t="s">
        <v>273</v>
      </c>
      <c r="C46" s="5" t="s">
        <v>299</v>
      </c>
      <c r="D46" s="5" t="s">
        <v>300</v>
      </c>
      <c r="E46" s="12" t="s">
        <v>49</v>
      </c>
      <c r="F46" s="5" t="s">
        <v>301</v>
      </c>
      <c r="G46" s="5" t="s">
        <v>302</v>
      </c>
      <c r="H46" s="5" t="s">
        <v>77</v>
      </c>
      <c r="I46" s="5" t="s">
        <v>141</v>
      </c>
      <c r="J46" s="5" t="s">
        <v>287</v>
      </c>
      <c r="K46" s="20">
        <v>46322</v>
      </c>
      <c r="L46" s="20">
        <v>46324</v>
      </c>
      <c r="M46" s="5">
        <f>IFERROR(NETWORKDAYS(K46,L46,DATE(2026,10,20)),"")</f>
        <v>3</v>
      </c>
      <c r="N46" s="5" t="s">
        <v>80</v>
      </c>
      <c r="O46" s="5" t="s">
        <v>81</v>
      </c>
    </row>
    <row r="47" spans="1:15" ht="35.1">
      <c r="A47" s="17" t="s">
        <v>303</v>
      </c>
      <c r="B47" s="18" t="s">
        <v>273</v>
      </c>
      <c r="C47" s="18" t="s">
        <v>304</v>
      </c>
      <c r="D47" s="18" t="s">
        <v>305</v>
      </c>
      <c r="E47" s="12" t="s">
        <v>49</v>
      </c>
      <c r="F47" s="18" t="s">
        <v>306</v>
      </c>
      <c r="G47" s="18" t="s">
        <v>307</v>
      </c>
      <c r="H47" s="18" t="s">
        <v>308</v>
      </c>
      <c r="I47" s="18" t="s">
        <v>141</v>
      </c>
      <c r="J47" s="18" t="s">
        <v>309</v>
      </c>
      <c r="K47" s="21" t="s">
        <v>236</v>
      </c>
      <c r="L47" s="21" t="s">
        <v>236</v>
      </c>
      <c r="M47" s="18" t="str">
        <f>IFERROR(NETWORKDAYS(K47,L47,DATE(2026,10,20)),"")</f>
        <v/>
      </c>
      <c r="N47" s="21" t="s">
        <v>168</v>
      </c>
      <c r="O47" s="18" t="s">
        <v>81</v>
      </c>
    </row>
    <row r="48" spans="1:15" ht="23.85">
      <c r="A48" s="4" t="s">
        <v>310</v>
      </c>
      <c r="B48" s="5" t="s">
        <v>311</v>
      </c>
      <c r="C48" s="5" t="s">
        <v>312</v>
      </c>
      <c r="D48" s="5" t="s">
        <v>313</v>
      </c>
      <c r="E48" s="9" t="s">
        <v>46</v>
      </c>
      <c r="F48" s="5" t="s">
        <v>178</v>
      </c>
      <c r="G48" s="5" t="s">
        <v>314</v>
      </c>
      <c r="H48" s="5" t="s">
        <v>77</v>
      </c>
      <c r="I48" s="5" t="s">
        <v>141</v>
      </c>
      <c r="J48" s="5" t="s">
        <v>315</v>
      </c>
      <c r="K48" s="20">
        <v>46323</v>
      </c>
      <c r="L48" s="20">
        <v>46330</v>
      </c>
      <c r="M48" s="5">
        <f>IFERROR(NETWORKDAYS(K48,L48,DATE(2026,10,20)),"")</f>
        <v>6</v>
      </c>
      <c r="N48" s="5" t="s">
        <v>80</v>
      </c>
      <c r="O48" s="5" t="s">
        <v>81</v>
      </c>
    </row>
    <row r="49" spans="1:15" ht="23.85">
      <c r="A49" s="17" t="s">
        <v>316</v>
      </c>
      <c r="B49" s="18" t="s">
        <v>311</v>
      </c>
      <c r="C49" s="18" t="s">
        <v>317</v>
      </c>
      <c r="D49" s="18" t="s">
        <v>318</v>
      </c>
      <c r="E49" s="9" t="s">
        <v>46</v>
      </c>
      <c r="F49" s="18" t="s">
        <v>319</v>
      </c>
      <c r="G49" s="18" t="s">
        <v>320</v>
      </c>
      <c r="H49" s="18" t="s">
        <v>77</v>
      </c>
      <c r="I49" s="18" t="s">
        <v>141</v>
      </c>
      <c r="J49" s="18" t="s">
        <v>315</v>
      </c>
      <c r="K49" s="19">
        <v>46323</v>
      </c>
      <c r="L49" s="19">
        <v>46330</v>
      </c>
      <c r="M49" s="18">
        <f>IFERROR(NETWORKDAYS(K49,L49,DATE(2026,10,20)),"")</f>
        <v>6</v>
      </c>
      <c r="N49" s="18" t="s">
        <v>80</v>
      </c>
      <c r="O49" s="18" t="s">
        <v>81</v>
      </c>
    </row>
    <row r="50" spans="1:15" ht="23.85">
      <c r="A50" s="4" t="s">
        <v>321</v>
      </c>
      <c r="B50" s="5" t="s">
        <v>311</v>
      </c>
      <c r="C50" s="5" t="s">
        <v>322</v>
      </c>
      <c r="D50" s="5" t="s">
        <v>323</v>
      </c>
      <c r="E50" s="9" t="s">
        <v>46</v>
      </c>
      <c r="F50" s="5" t="s">
        <v>178</v>
      </c>
      <c r="G50" s="5" t="s">
        <v>324</v>
      </c>
      <c r="H50" s="5" t="s">
        <v>77</v>
      </c>
      <c r="I50" s="5" t="s">
        <v>325</v>
      </c>
      <c r="J50" s="5" t="s">
        <v>326</v>
      </c>
      <c r="K50" s="20">
        <v>46322</v>
      </c>
      <c r="L50" s="20">
        <v>46324</v>
      </c>
      <c r="M50" s="5">
        <f>IFERROR(NETWORKDAYS(K50,L50,DATE(2026,10,20)),"")</f>
        <v>3</v>
      </c>
      <c r="N50" s="5" t="s">
        <v>86</v>
      </c>
      <c r="O50" s="5" t="s">
        <v>81</v>
      </c>
    </row>
    <row r="51" spans="1:15" ht="23.85">
      <c r="A51" s="17" t="s">
        <v>327</v>
      </c>
      <c r="B51" s="18" t="s">
        <v>311</v>
      </c>
      <c r="C51" s="18" t="s">
        <v>328</v>
      </c>
      <c r="D51" s="18" t="s">
        <v>329</v>
      </c>
      <c r="E51" s="9" t="s">
        <v>46</v>
      </c>
      <c r="F51" s="18" t="s">
        <v>31</v>
      </c>
      <c r="G51" s="18" t="s">
        <v>330</v>
      </c>
      <c r="H51" s="18" t="s">
        <v>77</v>
      </c>
      <c r="I51" s="18" t="s">
        <v>141</v>
      </c>
      <c r="J51" s="18" t="s">
        <v>331</v>
      </c>
      <c r="K51" s="19">
        <v>46329</v>
      </c>
      <c r="L51" s="19">
        <v>46331</v>
      </c>
      <c r="M51" s="18">
        <f>IFERROR(NETWORKDAYS(K51,L51,DATE(2026,10,20)),"")</f>
        <v>3</v>
      </c>
      <c r="N51" s="18" t="s">
        <v>80</v>
      </c>
      <c r="O51" s="18" t="s">
        <v>81</v>
      </c>
    </row>
    <row r="52" spans="1:15" ht="35.1">
      <c r="A52" s="4" t="s">
        <v>332</v>
      </c>
      <c r="B52" s="5" t="s">
        <v>48</v>
      </c>
      <c r="C52" s="5" t="s">
        <v>333</v>
      </c>
      <c r="D52" s="5" t="s">
        <v>334</v>
      </c>
      <c r="E52" s="11" t="s">
        <v>48</v>
      </c>
      <c r="F52" s="5" t="s">
        <v>335</v>
      </c>
      <c r="G52" s="5" t="s">
        <v>336</v>
      </c>
      <c r="H52" s="5" t="s">
        <v>77</v>
      </c>
      <c r="I52" s="5" t="s">
        <v>337</v>
      </c>
      <c r="J52" s="5" t="s">
        <v>338</v>
      </c>
      <c r="K52" s="20">
        <v>46307</v>
      </c>
      <c r="L52" s="20">
        <v>46308</v>
      </c>
      <c r="M52" s="5">
        <f>IFERROR(NETWORKDAYS(K52,L52,DATE(2026,10,20)),"")</f>
        <v>2</v>
      </c>
      <c r="N52" s="5" t="s">
        <v>86</v>
      </c>
      <c r="O52" s="5" t="s">
        <v>81</v>
      </c>
    </row>
    <row r="53" spans="1:15" ht="23.85">
      <c r="A53" s="17" t="s">
        <v>339</v>
      </c>
      <c r="B53" s="18" t="s">
        <v>48</v>
      </c>
      <c r="C53" s="18" t="s">
        <v>340</v>
      </c>
      <c r="D53" s="18" t="s">
        <v>341</v>
      </c>
      <c r="E53" s="11" t="s">
        <v>48</v>
      </c>
      <c r="F53" s="18" t="s">
        <v>342</v>
      </c>
      <c r="G53" s="18" t="s">
        <v>343</v>
      </c>
      <c r="H53" s="18" t="s">
        <v>77</v>
      </c>
      <c r="I53" s="18" t="s">
        <v>337</v>
      </c>
      <c r="J53" s="18" t="s">
        <v>338</v>
      </c>
      <c r="K53" s="19">
        <v>46307</v>
      </c>
      <c r="L53" s="19">
        <v>46309</v>
      </c>
      <c r="M53" s="18">
        <f>IFERROR(NETWORKDAYS(K53,L53,DATE(2026,10,20)),"")</f>
        <v>3</v>
      </c>
      <c r="N53" s="18" t="s">
        <v>86</v>
      </c>
      <c r="O53" s="18" t="s">
        <v>81</v>
      </c>
    </row>
    <row r="54" spans="1:15" ht="23.85">
      <c r="A54" s="4" t="s">
        <v>344</v>
      </c>
      <c r="B54" s="5" t="s">
        <v>48</v>
      </c>
      <c r="C54" s="5" t="s">
        <v>345</v>
      </c>
      <c r="D54" s="5" t="s">
        <v>346</v>
      </c>
      <c r="E54" s="11" t="s">
        <v>48</v>
      </c>
      <c r="F54" s="5" t="s">
        <v>347</v>
      </c>
      <c r="G54" s="5" t="s">
        <v>348</v>
      </c>
      <c r="H54" s="5" t="s">
        <v>77</v>
      </c>
      <c r="I54" s="5" t="s">
        <v>337</v>
      </c>
      <c r="J54" s="5" t="s">
        <v>349</v>
      </c>
      <c r="K54" s="20">
        <v>46309</v>
      </c>
      <c r="L54" s="20">
        <v>46311</v>
      </c>
      <c r="M54" s="5">
        <f>IFERROR(NETWORKDAYS(K54,L54,DATE(2026,10,20)),"")</f>
        <v>3</v>
      </c>
      <c r="N54" s="5" t="s">
        <v>86</v>
      </c>
      <c r="O54" s="5" t="s">
        <v>81</v>
      </c>
    </row>
    <row r="55" spans="1:15" ht="23.85">
      <c r="A55" s="17" t="s">
        <v>350</v>
      </c>
      <c r="B55" s="18" t="s">
        <v>48</v>
      </c>
      <c r="C55" s="18" t="s">
        <v>351</v>
      </c>
      <c r="D55" s="18" t="s">
        <v>352</v>
      </c>
      <c r="E55" s="11" t="s">
        <v>48</v>
      </c>
      <c r="F55" s="18" t="s">
        <v>347</v>
      </c>
      <c r="G55" s="18" t="s">
        <v>353</v>
      </c>
      <c r="H55" s="18" t="s">
        <v>77</v>
      </c>
      <c r="I55" s="18" t="s">
        <v>325</v>
      </c>
      <c r="J55" s="18" t="s">
        <v>354</v>
      </c>
      <c r="K55" s="19">
        <v>46321</v>
      </c>
      <c r="L55" s="19">
        <v>46322</v>
      </c>
      <c r="M55" s="18">
        <f>IFERROR(NETWORKDAYS(K55,L55,DATE(2026,10,20)),"")</f>
        <v>2</v>
      </c>
      <c r="N55" s="18" t="s">
        <v>86</v>
      </c>
      <c r="O55" s="18" t="s">
        <v>81</v>
      </c>
    </row>
    <row r="56" spans="1:15" ht="23.85">
      <c r="A56" s="4" t="s">
        <v>355</v>
      </c>
      <c r="B56" s="5" t="s">
        <v>48</v>
      </c>
      <c r="C56" s="5" t="s">
        <v>356</v>
      </c>
      <c r="D56" s="5" t="s">
        <v>357</v>
      </c>
      <c r="E56" s="11" t="s">
        <v>48</v>
      </c>
      <c r="F56" s="5" t="s">
        <v>358</v>
      </c>
      <c r="G56" s="5" t="s">
        <v>359</v>
      </c>
      <c r="H56" s="5" t="s">
        <v>77</v>
      </c>
      <c r="I56" s="5" t="s">
        <v>360</v>
      </c>
      <c r="J56" s="5" t="s">
        <v>361</v>
      </c>
      <c r="K56" s="20">
        <v>46329</v>
      </c>
      <c r="L56" s="20">
        <v>46331</v>
      </c>
      <c r="M56" s="5">
        <f>IFERROR(NETWORKDAYS(K56,L56,DATE(2026,10,20)),"")</f>
        <v>3</v>
      </c>
      <c r="N56" s="5" t="s">
        <v>86</v>
      </c>
      <c r="O56" s="5" t="s">
        <v>81</v>
      </c>
    </row>
    <row r="57" spans="1:15" ht="23.85">
      <c r="A57" s="17" t="s">
        <v>362</v>
      </c>
      <c r="B57" s="18" t="s">
        <v>48</v>
      </c>
      <c r="C57" s="18" t="s">
        <v>363</v>
      </c>
      <c r="D57" s="18" t="s">
        <v>364</v>
      </c>
      <c r="E57" s="11" t="s">
        <v>48</v>
      </c>
      <c r="F57" s="18" t="s">
        <v>365</v>
      </c>
      <c r="G57" s="18" t="s">
        <v>366</v>
      </c>
      <c r="H57" s="18" t="s">
        <v>77</v>
      </c>
      <c r="I57" s="18" t="s">
        <v>337</v>
      </c>
      <c r="J57" s="18" t="s">
        <v>361</v>
      </c>
      <c r="K57" s="19">
        <v>46330</v>
      </c>
      <c r="L57" s="19">
        <v>46331</v>
      </c>
      <c r="M57" s="18">
        <f>IFERROR(NETWORKDAYS(K57,L57,DATE(2026,10,20)),"")</f>
        <v>2</v>
      </c>
      <c r="N57" s="18" t="s">
        <v>86</v>
      </c>
      <c r="O57" s="18" t="s">
        <v>81</v>
      </c>
    </row>
    <row r="58" spans="1:15" ht="23.85">
      <c r="A58" s="4" t="s">
        <v>367</v>
      </c>
      <c r="B58" s="5" t="s">
        <v>47</v>
      </c>
      <c r="C58" s="5" t="s">
        <v>368</v>
      </c>
      <c r="D58" s="5" t="s">
        <v>369</v>
      </c>
      <c r="E58" s="10" t="s">
        <v>47</v>
      </c>
      <c r="F58" s="5" t="s">
        <v>370</v>
      </c>
      <c r="G58" s="5" t="s">
        <v>371</v>
      </c>
      <c r="H58" s="5" t="s">
        <v>77</v>
      </c>
      <c r="I58" s="5" t="s">
        <v>337</v>
      </c>
      <c r="J58" s="5" t="s">
        <v>372</v>
      </c>
      <c r="K58" s="20">
        <v>46308</v>
      </c>
      <c r="L58" s="20">
        <v>46309</v>
      </c>
      <c r="M58" s="5">
        <f>IFERROR(NETWORKDAYS(K58,L58,DATE(2026,10,20)),"")</f>
        <v>2</v>
      </c>
      <c r="N58" s="5" t="s">
        <v>80</v>
      </c>
      <c r="O58" s="5" t="s">
        <v>81</v>
      </c>
    </row>
    <row r="59" spans="1:15" ht="23.85">
      <c r="A59" s="17" t="s">
        <v>373</v>
      </c>
      <c r="B59" s="18" t="s">
        <v>47</v>
      </c>
      <c r="C59" s="18" t="s">
        <v>374</v>
      </c>
      <c r="D59" s="18" t="s">
        <v>375</v>
      </c>
      <c r="E59" s="10" t="s">
        <v>47</v>
      </c>
      <c r="F59" s="18" t="s">
        <v>376</v>
      </c>
      <c r="G59" s="18" t="s">
        <v>377</v>
      </c>
      <c r="H59" s="18" t="s">
        <v>77</v>
      </c>
      <c r="I59" s="18" t="s">
        <v>228</v>
      </c>
      <c r="J59" s="18" t="s">
        <v>372</v>
      </c>
      <c r="K59" s="19">
        <v>46308</v>
      </c>
      <c r="L59" s="19">
        <v>46309</v>
      </c>
      <c r="M59" s="18">
        <f>IFERROR(NETWORKDAYS(K59,L59,DATE(2026,10,20)),"")</f>
        <v>2</v>
      </c>
      <c r="N59" s="18" t="s">
        <v>80</v>
      </c>
      <c r="O59" s="18" t="s">
        <v>81</v>
      </c>
    </row>
    <row r="60" spans="1:15" ht="23.85">
      <c r="A60" s="4" t="s">
        <v>378</v>
      </c>
      <c r="B60" s="5" t="s">
        <v>47</v>
      </c>
      <c r="C60" s="5" t="s">
        <v>379</v>
      </c>
      <c r="D60" s="5" t="s">
        <v>380</v>
      </c>
      <c r="E60" s="10" t="s">
        <v>47</v>
      </c>
      <c r="F60" s="5" t="s">
        <v>381</v>
      </c>
      <c r="G60" s="5" t="s">
        <v>382</v>
      </c>
      <c r="H60" s="5" t="s">
        <v>77</v>
      </c>
      <c r="I60" s="5" t="s">
        <v>325</v>
      </c>
      <c r="J60" s="5" t="s">
        <v>383</v>
      </c>
      <c r="K60" s="20">
        <v>46310</v>
      </c>
      <c r="L60" s="20">
        <v>46314</v>
      </c>
      <c r="M60" s="5">
        <f>IFERROR(NETWORKDAYS(K60,L60,DATE(2026,10,20)),"")</f>
        <v>3</v>
      </c>
      <c r="N60" s="5" t="s">
        <v>80</v>
      </c>
      <c r="O60" s="5" t="s">
        <v>81</v>
      </c>
    </row>
    <row r="61" spans="1:15" ht="23.85">
      <c r="A61" s="17" t="s">
        <v>384</v>
      </c>
      <c r="B61" s="18" t="s">
        <v>47</v>
      </c>
      <c r="C61" s="18" t="s">
        <v>385</v>
      </c>
      <c r="D61" s="18" t="s">
        <v>386</v>
      </c>
      <c r="E61" s="10" t="s">
        <v>47</v>
      </c>
      <c r="F61" s="18" t="s">
        <v>387</v>
      </c>
      <c r="G61" s="18" t="s">
        <v>388</v>
      </c>
      <c r="H61" s="18" t="s">
        <v>77</v>
      </c>
      <c r="I61" s="18" t="s">
        <v>337</v>
      </c>
      <c r="J61" s="18" t="s">
        <v>389</v>
      </c>
      <c r="K61" s="19">
        <v>46310</v>
      </c>
      <c r="L61" s="19">
        <v>46311</v>
      </c>
      <c r="M61" s="18">
        <f>IFERROR(NETWORKDAYS(K61,L61,DATE(2026,10,20)),"")</f>
        <v>2</v>
      </c>
      <c r="N61" s="18" t="s">
        <v>80</v>
      </c>
      <c r="O61" s="18" t="s">
        <v>81</v>
      </c>
    </row>
    <row r="62" spans="1:15" ht="23.85">
      <c r="A62" s="4" t="s">
        <v>390</v>
      </c>
      <c r="B62" s="5" t="s">
        <v>47</v>
      </c>
      <c r="C62" s="5" t="s">
        <v>391</v>
      </c>
      <c r="D62" s="5" t="s">
        <v>392</v>
      </c>
      <c r="E62" s="10" t="s">
        <v>47</v>
      </c>
      <c r="F62" s="5" t="s">
        <v>393</v>
      </c>
      <c r="G62" s="5" t="s">
        <v>394</v>
      </c>
      <c r="H62" s="5" t="s">
        <v>77</v>
      </c>
      <c r="I62" s="5" t="s">
        <v>228</v>
      </c>
      <c r="J62" s="5" t="s">
        <v>395</v>
      </c>
      <c r="K62" s="20">
        <v>46316</v>
      </c>
      <c r="L62" s="20">
        <v>46317</v>
      </c>
      <c r="M62" s="5">
        <f>IFERROR(NETWORKDAYS(K62,L62,DATE(2026,10,20)),"")</f>
        <v>2</v>
      </c>
      <c r="N62" s="5" t="s">
        <v>80</v>
      </c>
      <c r="O62" s="5" t="s">
        <v>81</v>
      </c>
    </row>
    <row r="63" spans="1:15" ht="23.85">
      <c r="A63" s="17" t="s">
        <v>396</v>
      </c>
      <c r="B63" s="18" t="s">
        <v>397</v>
      </c>
      <c r="C63" s="18" t="s">
        <v>398</v>
      </c>
      <c r="D63" s="18" t="s">
        <v>399</v>
      </c>
      <c r="E63" s="8" t="s">
        <v>45</v>
      </c>
      <c r="F63" s="18" t="s">
        <v>400</v>
      </c>
      <c r="G63" s="18" t="s">
        <v>292</v>
      </c>
      <c r="H63" s="18" t="s">
        <v>77</v>
      </c>
      <c r="I63" s="18" t="s">
        <v>337</v>
      </c>
      <c r="J63" s="18" t="s">
        <v>389</v>
      </c>
      <c r="K63" s="19">
        <v>46310</v>
      </c>
      <c r="L63" s="19">
        <v>46311</v>
      </c>
      <c r="M63" s="18">
        <f>IFERROR(NETWORKDAYS(K63,L63,DATE(2026,10,20)),"")</f>
        <v>2</v>
      </c>
      <c r="N63" s="18" t="s">
        <v>80</v>
      </c>
      <c r="O63" s="18" t="s">
        <v>81</v>
      </c>
    </row>
    <row r="64" spans="1:15" ht="23.85">
      <c r="A64" s="4" t="s">
        <v>401</v>
      </c>
      <c r="B64" s="5" t="s">
        <v>397</v>
      </c>
      <c r="C64" s="5" t="s">
        <v>402</v>
      </c>
      <c r="D64" s="5" t="s">
        <v>403</v>
      </c>
      <c r="E64" s="8" t="s">
        <v>45</v>
      </c>
      <c r="F64" s="5" t="s">
        <v>387</v>
      </c>
      <c r="G64" s="5" t="s">
        <v>404</v>
      </c>
      <c r="H64" s="5" t="s">
        <v>77</v>
      </c>
      <c r="I64" s="5" t="s">
        <v>337</v>
      </c>
      <c r="J64" s="5" t="s">
        <v>405</v>
      </c>
      <c r="K64" s="20">
        <v>46314</v>
      </c>
      <c r="L64" s="20">
        <v>46317</v>
      </c>
      <c r="M64" s="5">
        <f>IFERROR(NETWORKDAYS(K64,L64,DATE(2026,10,20)),"")</f>
        <v>3</v>
      </c>
      <c r="N64" s="5" t="s">
        <v>80</v>
      </c>
      <c r="O64" s="5" t="s">
        <v>81</v>
      </c>
    </row>
    <row r="65" spans="1:15" ht="23.85">
      <c r="A65" s="17" t="s">
        <v>406</v>
      </c>
      <c r="B65" s="18" t="s">
        <v>397</v>
      </c>
      <c r="C65" s="18" t="s">
        <v>407</v>
      </c>
      <c r="D65" s="18" t="s">
        <v>408</v>
      </c>
      <c r="E65" s="8" t="s">
        <v>45</v>
      </c>
      <c r="F65" s="18" t="s">
        <v>387</v>
      </c>
      <c r="G65" s="18" t="s">
        <v>409</v>
      </c>
      <c r="H65" s="18" t="s">
        <v>77</v>
      </c>
      <c r="I65" s="18" t="s">
        <v>337</v>
      </c>
      <c r="J65" s="18" t="s">
        <v>405</v>
      </c>
      <c r="K65" s="19">
        <v>46314</v>
      </c>
      <c r="L65" s="19">
        <v>46317</v>
      </c>
      <c r="M65" s="18">
        <f>IFERROR(NETWORKDAYS(K65,L65,DATE(2026,10,20)),"")</f>
        <v>3</v>
      </c>
      <c r="N65" s="18" t="s">
        <v>80</v>
      </c>
      <c r="O65" s="18" t="s">
        <v>81</v>
      </c>
    </row>
    <row r="66" spans="1:15" ht="35.1">
      <c r="A66" s="4" t="s">
        <v>410</v>
      </c>
      <c r="B66" s="5" t="s">
        <v>397</v>
      </c>
      <c r="C66" s="5" t="s">
        <v>411</v>
      </c>
      <c r="D66" s="5" t="s">
        <v>412</v>
      </c>
      <c r="E66" s="8" t="s">
        <v>45</v>
      </c>
      <c r="F66" s="5" t="s">
        <v>387</v>
      </c>
      <c r="G66" s="5" t="s">
        <v>413</v>
      </c>
      <c r="H66" s="5" t="s">
        <v>77</v>
      </c>
      <c r="I66" s="5" t="s">
        <v>337</v>
      </c>
      <c r="J66" s="5" t="s">
        <v>349</v>
      </c>
      <c r="K66" s="20">
        <v>46316</v>
      </c>
      <c r="L66" s="20">
        <v>46318</v>
      </c>
      <c r="M66" s="5">
        <f>IFERROR(NETWORKDAYS(K66,L66,DATE(2026,10,20)),"")</f>
        <v>3</v>
      </c>
      <c r="N66" s="5" t="s">
        <v>80</v>
      </c>
      <c r="O66" s="5" t="s">
        <v>81</v>
      </c>
    </row>
    <row r="67" spans="1:15" ht="23.85">
      <c r="A67" s="17" t="s">
        <v>414</v>
      </c>
      <c r="B67" s="18" t="s">
        <v>397</v>
      </c>
      <c r="C67" s="18" t="s">
        <v>415</v>
      </c>
      <c r="D67" s="18" t="s">
        <v>416</v>
      </c>
      <c r="E67" s="8" t="s">
        <v>45</v>
      </c>
      <c r="F67" s="18" t="s">
        <v>387</v>
      </c>
      <c r="G67" s="18" t="s">
        <v>417</v>
      </c>
      <c r="H67" s="18" t="s">
        <v>77</v>
      </c>
      <c r="I67" s="18" t="s">
        <v>337</v>
      </c>
      <c r="J67" s="18" t="s">
        <v>418</v>
      </c>
      <c r="K67" s="19">
        <v>46321</v>
      </c>
      <c r="L67" s="19">
        <v>46322</v>
      </c>
      <c r="M67" s="18">
        <f>IFERROR(NETWORKDAYS(K67,L67,DATE(2026,10,20)),"")</f>
        <v>2</v>
      </c>
      <c r="N67" s="18" t="s">
        <v>80</v>
      </c>
      <c r="O67" s="18" t="s">
        <v>81</v>
      </c>
    </row>
    <row r="68" spans="1:15" ht="23.85">
      <c r="A68" s="4" t="s">
        <v>419</v>
      </c>
      <c r="B68" s="5" t="s">
        <v>397</v>
      </c>
      <c r="C68" s="5" t="s">
        <v>420</v>
      </c>
      <c r="D68" s="5" t="s">
        <v>421</v>
      </c>
      <c r="E68" s="8" t="s">
        <v>45</v>
      </c>
      <c r="F68" s="5" t="s">
        <v>387</v>
      </c>
      <c r="G68" s="5" t="s">
        <v>422</v>
      </c>
      <c r="H68" s="5" t="s">
        <v>77</v>
      </c>
      <c r="I68" s="5" t="s">
        <v>337</v>
      </c>
      <c r="J68" s="5" t="s">
        <v>423</v>
      </c>
      <c r="K68" s="20">
        <v>46322</v>
      </c>
      <c r="L68" s="20">
        <v>46324</v>
      </c>
      <c r="M68" s="5">
        <f>IFERROR(NETWORKDAYS(K68,L68,DATE(2026,10,20)),"")</f>
        <v>3</v>
      </c>
      <c r="N68" s="5" t="s">
        <v>80</v>
      </c>
      <c r="O68" s="5" t="s">
        <v>81</v>
      </c>
    </row>
    <row r="69" spans="1:15" ht="23.85">
      <c r="A69" s="17" t="s">
        <v>424</v>
      </c>
      <c r="B69" s="18" t="s">
        <v>397</v>
      </c>
      <c r="C69" s="18" t="s">
        <v>425</v>
      </c>
      <c r="D69" s="18" t="s">
        <v>426</v>
      </c>
      <c r="E69" s="8" t="s">
        <v>45</v>
      </c>
      <c r="F69" s="18" t="s">
        <v>387</v>
      </c>
      <c r="G69" s="18" t="s">
        <v>427</v>
      </c>
      <c r="H69" s="18" t="s">
        <v>77</v>
      </c>
      <c r="I69" s="18" t="s">
        <v>337</v>
      </c>
      <c r="J69" s="18" t="s">
        <v>428</v>
      </c>
      <c r="K69" s="19">
        <v>46323</v>
      </c>
      <c r="L69" s="19">
        <v>46325</v>
      </c>
      <c r="M69" s="18">
        <f>IFERROR(NETWORKDAYS(K69,L69,DATE(2026,10,20)),"")</f>
        <v>3</v>
      </c>
      <c r="N69" s="18" t="s">
        <v>80</v>
      </c>
      <c r="O69" s="18" t="s">
        <v>81</v>
      </c>
    </row>
    <row r="70" spans="1:15" ht="23.85">
      <c r="A70" s="4" t="s">
        <v>429</v>
      </c>
      <c r="B70" s="5" t="s">
        <v>397</v>
      </c>
      <c r="C70" s="5" t="s">
        <v>430</v>
      </c>
      <c r="D70" s="5" t="s">
        <v>431</v>
      </c>
      <c r="E70" s="8" t="s">
        <v>45</v>
      </c>
      <c r="F70" s="5" t="s">
        <v>387</v>
      </c>
      <c r="G70" s="5" t="s">
        <v>432</v>
      </c>
      <c r="H70" s="5" t="s">
        <v>77</v>
      </c>
      <c r="I70" s="5" t="s">
        <v>337</v>
      </c>
      <c r="J70" s="5" t="s">
        <v>433</v>
      </c>
      <c r="K70" s="20">
        <v>46324</v>
      </c>
      <c r="L70" s="20">
        <v>46328</v>
      </c>
      <c r="M70" s="5">
        <f>IFERROR(NETWORKDAYS(K70,L70,DATE(2026,10,20)),"")</f>
        <v>3</v>
      </c>
      <c r="N70" s="5" t="s">
        <v>80</v>
      </c>
      <c r="O70" s="5" t="s">
        <v>81</v>
      </c>
    </row>
    <row r="71" spans="1:15" ht="23.85">
      <c r="A71" s="17" t="s">
        <v>434</v>
      </c>
      <c r="B71" s="18" t="s">
        <v>397</v>
      </c>
      <c r="C71" s="18" t="s">
        <v>435</v>
      </c>
      <c r="D71" s="18" t="s">
        <v>436</v>
      </c>
      <c r="E71" s="9" t="s">
        <v>46</v>
      </c>
      <c r="F71" s="18" t="s">
        <v>31</v>
      </c>
      <c r="G71" s="18" t="s">
        <v>437</v>
      </c>
      <c r="H71" s="18" t="s">
        <v>77</v>
      </c>
      <c r="I71" s="18" t="s">
        <v>337</v>
      </c>
      <c r="J71" s="18" t="s">
        <v>438</v>
      </c>
      <c r="K71" s="19">
        <v>46321</v>
      </c>
      <c r="L71" s="19">
        <v>46325</v>
      </c>
      <c r="M71" s="18">
        <f>IFERROR(NETWORKDAYS(K71,L71,DATE(2026,10,20)),"")</f>
        <v>5</v>
      </c>
      <c r="N71" s="18" t="s">
        <v>80</v>
      </c>
      <c r="O71" s="18" t="s">
        <v>81</v>
      </c>
    </row>
    <row r="72" spans="1:15" ht="23.85">
      <c r="A72" s="4" t="s">
        <v>439</v>
      </c>
      <c r="B72" s="5" t="s">
        <v>440</v>
      </c>
      <c r="C72" s="5" t="s">
        <v>441</v>
      </c>
      <c r="D72" s="5" t="s">
        <v>442</v>
      </c>
      <c r="E72" s="8" t="s">
        <v>45</v>
      </c>
      <c r="F72" s="5" t="s">
        <v>443</v>
      </c>
      <c r="G72" s="5" t="s">
        <v>292</v>
      </c>
      <c r="H72" s="5" t="s">
        <v>77</v>
      </c>
      <c r="I72" s="5" t="s">
        <v>228</v>
      </c>
      <c r="J72" s="5" t="s">
        <v>444</v>
      </c>
      <c r="K72" s="20">
        <v>46310</v>
      </c>
      <c r="L72" s="20">
        <v>46314</v>
      </c>
      <c r="M72" s="5">
        <f>IFERROR(NETWORKDAYS(K72,L72,DATE(2026,10,20)),"")</f>
        <v>3</v>
      </c>
      <c r="N72" s="5" t="s">
        <v>80</v>
      </c>
      <c r="O72" s="5" t="s">
        <v>81</v>
      </c>
    </row>
    <row r="73" spans="1:15" ht="23.85">
      <c r="A73" s="17" t="s">
        <v>445</v>
      </c>
      <c r="B73" s="18" t="s">
        <v>440</v>
      </c>
      <c r="C73" s="18" t="s">
        <v>446</v>
      </c>
      <c r="D73" s="18" t="s">
        <v>447</v>
      </c>
      <c r="E73" s="8" t="s">
        <v>45</v>
      </c>
      <c r="F73" s="18" t="s">
        <v>448</v>
      </c>
      <c r="G73" s="18" t="s">
        <v>449</v>
      </c>
      <c r="H73" s="18" t="s">
        <v>77</v>
      </c>
      <c r="I73" s="18" t="s">
        <v>228</v>
      </c>
      <c r="J73" s="18" t="s">
        <v>395</v>
      </c>
      <c r="K73" s="19">
        <v>46316</v>
      </c>
      <c r="L73" s="19">
        <v>46317</v>
      </c>
      <c r="M73" s="18">
        <f>IFERROR(NETWORKDAYS(K73,L73,DATE(2026,10,20)),"")</f>
        <v>2</v>
      </c>
      <c r="N73" s="18" t="s">
        <v>80</v>
      </c>
      <c r="O73" s="18" t="s">
        <v>81</v>
      </c>
    </row>
    <row r="74" spans="1:15" ht="23.85">
      <c r="A74" s="4" t="s">
        <v>450</v>
      </c>
      <c r="B74" s="5" t="s">
        <v>440</v>
      </c>
      <c r="C74" s="5" t="s">
        <v>451</v>
      </c>
      <c r="D74" s="5" t="s">
        <v>452</v>
      </c>
      <c r="E74" s="8" t="s">
        <v>45</v>
      </c>
      <c r="F74" s="5" t="s">
        <v>448</v>
      </c>
      <c r="G74" s="5" t="s">
        <v>453</v>
      </c>
      <c r="H74" s="5" t="s">
        <v>77</v>
      </c>
      <c r="I74" s="5" t="s">
        <v>228</v>
      </c>
      <c r="J74" s="5" t="s">
        <v>454</v>
      </c>
      <c r="K74" s="20">
        <v>46316</v>
      </c>
      <c r="L74" s="20">
        <v>46321</v>
      </c>
      <c r="M74" s="5">
        <f>IFERROR(NETWORKDAYS(K74,L74,DATE(2026,10,20)),"")</f>
        <v>4</v>
      </c>
      <c r="N74" s="5" t="s">
        <v>80</v>
      </c>
      <c r="O74" s="5" t="s">
        <v>81</v>
      </c>
    </row>
    <row r="75" spans="1:15" ht="23.85">
      <c r="A75" s="17" t="s">
        <v>455</v>
      </c>
      <c r="B75" s="18" t="s">
        <v>440</v>
      </c>
      <c r="C75" s="18" t="s">
        <v>456</v>
      </c>
      <c r="D75" s="18" t="s">
        <v>457</v>
      </c>
      <c r="E75" s="8" t="s">
        <v>45</v>
      </c>
      <c r="F75" s="18" t="s">
        <v>387</v>
      </c>
      <c r="G75" s="18" t="s">
        <v>292</v>
      </c>
      <c r="H75" s="18" t="s">
        <v>77</v>
      </c>
      <c r="I75" s="18" t="s">
        <v>228</v>
      </c>
      <c r="J75" s="18" t="s">
        <v>458</v>
      </c>
      <c r="K75" s="19">
        <v>46321</v>
      </c>
      <c r="L75" s="19">
        <v>46322</v>
      </c>
      <c r="M75" s="18">
        <f>IFERROR(NETWORKDAYS(K75,L75,DATE(2026,10,20)),"")</f>
        <v>2</v>
      </c>
      <c r="N75" s="18" t="s">
        <v>80</v>
      </c>
      <c r="O75" s="18" t="s">
        <v>81</v>
      </c>
    </row>
    <row r="76" spans="1:15" ht="23.85">
      <c r="A76" s="4" t="s">
        <v>459</v>
      </c>
      <c r="B76" s="5" t="s">
        <v>440</v>
      </c>
      <c r="C76" s="5" t="s">
        <v>460</v>
      </c>
      <c r="D76" s="5" t="s">
        <v>461</v>
      </c>
      <c r="E76" s="8" t="s">
        <v>45</v>
      </c>
      <c r="F76" s="5" t="s">
        <v>387</v>
      </c>
      <c r="G76" s="5" t="s">
        <v>462</v>
      </c>
      <c r="H76" s="5" t="s">
        <v>77</v>
      </c>
      <c r="I76" s="5" t="s">
        <v>228</v>
      </c>
      <c r="J76" s="5" t="s">
        <v>463</v>
      </c>
      <c r="K76" s="20">
        <v>46322</v>
      </c>
      <c r="L76" s="20">
        <v>46324</v>
      </c>
      <c r="M76" s="5">
        <f>IFERROR(NETWORKDAYS(K76,L76,DATE(2026,10,20)),"")</f>
        <v>3</v>
      </c>
      <c r="N76" s="5" t="s">
        <v>80</v>
      </c>
      <c r="O76" s="5" t="s">
        <v>81</v>
      </c>
    </row>
    <row r="77" spans="1:15" ht="23.85">
      <c r="A77" s="17" t="s">
        <v>464</v>
      </c>
      <c r="B77" s="18" t="s">
        <v>440</v>
      </c>
      <c r="C77" s="18" t="s">
        <v>465</v>
      </c>
      <c r="D77" s="18" t="s">
        <v>466</v>
      </c>
      <c r="E77" s="9" t="s">
        <v>46</v>
      </c>
      <c r="F77" s="18" t="s">
        <v>467</v>
      </c>
      <c r="G77" s="18" t="s">
        <v>468</v>
      </c>
      <c r="H77" s="18" t="s">
        <v>77</v>
      </c>
      <c r="I77" s="18" t="s">
        <v>228</v>
      </c>
      <c r="J77" s="18" t="s">
        <v>469</v>
      </c>
      <c r="K77" s="19">
        <v>46324</v>
      </c>
      <c r="L77" s="19">
        <v>46325</v>
      </c>
      <c r="M77" s="18">
        <f>IFERROR(NETWORKDAYS(K77,L77,DATE(2026,10,20)),"")</f>
        <v>2</v>
      </c>
      <c r="N77" s="18" t="s">
        <v>80</v>
      </c>
      <c r="O77" s="18" t="s">
        <v>81</v>
      </c>
    </row>
    <row r="78" spans="1:15" ht="23.85">
      <c r="A78" s="4" t="s">
        <v>470</v>
      </c>
      <c r="B78" s="5" t="s">
        <v>440</v>
      </c>
      <c r="C78" s="5" t="s">
        <v>471</v>
      </c>
      <c r="D78" s="5" t="s">
        <v>472</v>
      </c>
      <c r="E78" s="8" t="s">
        <v>45</v>
      </c>
      <c r="F78" s="5" t="s">
        <v>448</v>
      </c>
      <c r="G78" s="5" t="s">
        <v>473</v>
      </c>
      <c r="H78" s="5" t="s">
        <v>77</v>
      </c>
      <c r="I78" s="5" t="s">
        <v>228</v>
      </c>
      <c r="J78" s="5" t="s">
        <v>474</v>
      </c>
      <c r="K78" s="20">
        <v>46328</v>
      </c>
      <c r="L78" s="20">
        <v>46329</v>
      </c>
      <c r="M78" s="5">
        <f>IFERROR(NETWORKDAYS(K78,L78,DATE(2026,10,20)),"")</f>
        <v>2</v>
      </c>
      <c r="N78" s="5" t="s">
        <v>80</v>
      </c>
      <c r="O78" s="5" t="s">
        <v>81</v>
      </c>
    </row>
    <row r="79" spans="1:15" ht="23.85">
      <c r="A79" s="17" t="s">
        <v>475</v>
      </c>
      <c r="B79" s="18" t="s">
        <v>440</v>
      </c>
      <c r="C79" s="18" t="s">
        <v>476</v>
      </c>
      <c r="D79" s="18" t="s">
        <v>477</v>
      </c>
      <c r="E79" s="9" t="s">
        <v>46</v>
      </c>
      <c r="F79" s="18" t="s">
        <v>467</v>
      </c>
      <c r="G79" s="18" t="s">
        <v>478</v>
      </c>
      <c r="H79" s="18" t="s">
        <v>77</v>
      </c>
      <c r="I79" s="18" t="s">
        <v>228</v>
      </c>
      <c r="J79" s="18" t="s">
        <v>479</v>
      </c>
      <c r="K79" s="19">
        <v>46330</v>
      </c>
      <c r="L79" s="19">
        <v>46331</v>
      </c>
      <c r="M79" s="18">
        <f>IFERROR(NETWORKDAYS(K79,L79,DATE(2026,10,20)),"")</f>
        <v>2</v>
      </c>
      <c r="N79" s="18" t="s">
        <v>80</v>
      </c>
      <c r="O79" s="18" t="s">
        <v>81</v>
      </c>
    </row>
    <row r="80" spans="1:15" ht="23.85">
      <c r="A80" s="4" t="s">
        <v>480</v>
      </c>
      <c r="B80" s="5" t="s">
        <v>440</v>
      </c>
      <c r="C80" s="5" t="s">
        <v>481</v>
      </c>
      <c r="D80" s="5" t="s">
        <v>482</v>
      </c>
      <c r="E80" s="8" t="s">
        <v>45</v>
      </c>
      <c r="F80" s="5" t="s">
        <v>448</v>
      </c>
      <c r="G80" s="5" t="s">
        <v>483</v>
      </c>
      <c r="H80" s="5" t="s">
        <v>77</v>
      </c>
      <c r="I80" s="5" t="s">
        <v>228</v>
      </c>
      <c r="J80" s="5" t="s">
        <v>229</v>
      </c>
      <c r="K80" s="20">
        <v>46331</v>
      </c>
      <c r="L80" s="20">
        <v>46332</v>
      </c>
      <c r="M80" s="5">
        <f>IFERROR(NETWORKDAYS(K80,L80,DATE(2026,10,20)),"")</f>
        <v>2</v>
      </c>
      <c r="N80" s="5" t="s">
        <v>80</v>
      </c>
      <c r="O80" s="5" t="s">
        <v>81</v>
      </c>
    </row>
    <row r="81" spans="1:15" ht="23.85">
      <c r="A81" s="17" t="s">
        <v>484</v>
      </c>
      <c r="B81" s="18" t="s">
        <v>485</v>
      </c>
      <c r="C81" s="18" t="s">
        <v>486</v>
      </c>
      <c r="D81" s="18" t="s">
        <v>487</v>
      </c>
      <c r="E81" s="8" t="s">
        <v>45</v>
      </c>
      <c r="F81" s="18" t="s">
        <v>488</v>
      </c>
      <c r="G81" s="18" t="s">
        <v>489</v>
      </c>
      <c r="H81" s="18" t="s">
        <v>77</v>
      </c>
      <c r="I81" s="18" t="s">
        <v>325</v>
      </c>
      <c r="J81" s="18" t="s">
        <v>383</v>
      </c>
      <c r="K81" s="19">
        <v>46310</v>
      </c>
      <c r="L81" s="19">
        <v>46314</v>
      </c>
      <c r="M81" s="18">
        <f>IFERROR(NETWORKDAYS(K81,L81,DATE(2026,10,20)),"")</f>
        <v>3</v>
      </c>
      <c r="N81" s="18" t="s">
        <v>80</v>
      </c>
      <c r="O81" s="18" t="s">
        <v>81</v>
      </c>
    </row>
    <row r="82" spans="1:15" ht="23.85">
      <c r="A82" s="4" t="s">
        <v>490</v>
      </c>
      <c r="B82" s="5" t="s">
        <v>485</v>
      </c>
      <c r="C82" s="5" t="s">
        <v>491</v>
      </c>
      <c r="D82" s="5" t="s">
        <v>492</v>
      </c>
      <c r="E82" s="8" t="s">
        <v>45</v>
      </c>
      <c r="F82" s="5" t="s">
        <v>493</v>
      </c>
      <c r="G82" s="5" t="s">
        <v>494</v>
      </c>
      <c r="H82" s="5" t="s">
        <v>77</v>
      </c>
      <c r="I82" s="5" t="s">
        <v>325</v>
      </c>
      <c r="J82" s="5" t="s">
        <v>495</v>
      </c>
      <c r="K82" s="20">
        <v>46316</v>
      </c>
      <c r="L82" s="20">
        <v>46318</v>
      </c>
      <c r="M82" s="5">
        <f>IFERROR(NETWORKDAYS(K82,L82,DATE(2026,10,20)),"")</f>
        <v>3</v>
      </c>
      <c r="N82" s="5" t="s">
        <v>80</v>
      </c>
      <c r="O82" s="5" t="s">
        <v>81</v>
      </c>
    </row>
    <row r="83" spans="1:15" ht="23.85">
      <c r="A83" s="17" t="s">
        <v>496</v>
      </c>
      <c r="B83" s="18" t="s">
        <v>485</v>
      </c>
      <c r="C83" s="18" t="s">
        <v>497</v>
      </c>
      <c r="D83" s="18" t="s">
        <v>498</v>
      </c>
      <c r="E83" s="8" t="s">
        <v>45</v>
      </c>
      <c r="F83" s="18" t="s">
        <v>499</v>
      </c>
      <c r="G83" s="18" t="s">
        <v>7</v>
      </c>
      <c r="H83" s="18" t="s">
        <v>77</v>
      </c>
      <c r="I83" s="18" t="s">
        <v>325</v>
      </c>
      <c r="J83" s="18" t="s">
        <v>500</v>
      </c>
      <c r="K83" s="19">
        <v>46321</v>
      </c>
      <c r="L83" s="19">
        <v>46322</v>
      </c>
      <c r="M83" s="18">
        <f>IFERROR(NETWORKDAYS(K83,L83,DATE(2026,10,20)),"")</f>
        <v>2</v>
      </c>
      <c r="N83" s="18" t="s">
        <v>80</v>
      </c>
      <c r="O83" s="18" t="s">
        <v>81</v>
      </c>
    </row>
    <row r="84" spans="1:15" ht="23.85">
      <c r="A84" s="4" t="s">
        <v>501</v>
      </c>
      <c r="B84" s="5" t="s">
        <v>485</v>
      </c>
      <c r="C84" s="5" t="s">
        <v>502</v>
      </c>
      <c r="D84" s="5" t="s">
        <v>503</v>
      </c>
      <c r="E84" s="8" t="s">
        <v>45</v>
      </c>
      <c r="F84" s="5" t="s">
        <v>488</v>
      </c>
      <c r="G84" s="5" t="s">
        <v>504</v>
      </c>
      <c r="H84" s="5" t="s">
        <v>77</v>
      </c>
      <c r="I84" s="5" t="s">
        <v>325</v>
      </c>
      <c r="J84" s="5" t="s">
        <v>326</v>
      </c>
      <c r="K84" s="20">
        <v>46322</v>
      </c>
      <c r="L84" s="20">
        <v>46324</v>
      </c>
      <c r="M84" s="5">
        <f>IFERROR(NETWORKDAYS(K84,L84,DATE(2026,10,20)),"")</f>
        <v>3</v>
      </c>
      <c r="N84" s="5" t="s">
        <v>80</v>
      </c>
      <c r="O84" s="5" t="s">
        <v>81</v>
      </c>
    </row>
    <row r="85" spans="1:15" ht="23.85">
      <c r="A85" s="17" t="s">
        <v>505</v>
      </c>
      <c r="B85" s="18" t="s">
        <v>485</v>
      </c>
      <c r="C85" s="18" t="s">
        <v>506</v>
      </c>
      <c r="D85" s="18" t="s">
        <v>507</v>
      </c>
      <c r="E85" s="8" t="s">
        <v>45</v>
      </c>
      <c r="F85" s="18" t="s">
        <v>508</v>
      </c>
      <c r="G85" s="18" t="s">
        <v>292</v>
      </c>
      <c r="H85" s="18" t="s">
        <v>77</v>
      </c>
      <c r="I85" s="18" t="s">
        <v>325</v>
      </c>
      <c r="J85" s="18" t="s">
        <v>354</v>
      </c>
      <c r="K85" s="19">
        <v>46323</v>
      </c>
      <c r="L85" s="19">
        <v>46329</v>
      </c>
      <c r="M85" s="18">
        <f>IFERROR(NETWORKDAYS(K85,L85,DATE(2026,10,20)),"")</f>
        <v>5</v>
      </c>
      <c r="N85" s="18" t="s">
        <v>80</v>
      </c>
      <c r="O85" s="18" t="s">
        <v>81</v>
      </c>
    </row>
    <row r="86" spans="1:15" ht="35.1">
      <c r="A86" s="4" t="s">
        <v>509</v>
      </c>
      <c r="B86" s="5" t="s">
        <v>485</v>
      </c>
      <c r="C86" s="5" t="s">
        <v>510</v>
      </c>
      <c r="D86" s="5" t="s">
        <v>511</v>
      </c>
      <c r="E86" s="9" t="s">
        <v>46</v>
      </c>
      <c r="F86" s="5" t="s">
        <v>499</v>
      </c>
      <c r="G86" s="5" t="s">
        <v>512</v>
      </c>
      <c r="H86" s="5" t="s">
        <v>513</v>
      </c>
      <c r="I86" s="5" t="s">
        <v>325</v>
      </c>
      <c r="J86" s="5" t="s">
        <v>514</v>
      </c>
      <c r="K86" s="20">
        <v>46328</v>
      </c>
      <c r="L86" s="20">
        <v>46329</v>
      </c>
      <c r="M86" s="5">
        <f>IFERROR(NETWORKDAYS(K86,L86,DATE(2026,10,20)),"")</f>
        <v>2</v>
      </c>
      <c r="N86" s="5" t="s">
        <v>80</v>
      </c>
      <c r="O86" s="5" t="s">
        <v>81</v>
      </c>
    </row>
    <row r="87" spans="1:15" ht="23.85">
      <c r="A87" s="17" t="s">
        <v>515</v>
      </c>
      <c r="B87" s="18" t="s">
        <v>485</v>
      </c>
      <c r="C87" s="18" t="s">
        <v>516</v>
      </c>
      <c r="D87" s="18" t="s">
        <v>517</v>
      </c>
      <c r="E87" s="8" t="s">
        <v>45</v>
      </c>
      <c r="F87" s="18" t="s">
        <v>518</v>
      </c>
      <c r="G87" s="18" t="s">
        <v>7</v>
      </c>
      <c r="H87" s="18" t="s">
        <v>77</v>
      </c>
      <c r="I87" s="18" t="s">
        <v>325</v>
      </c>
      <c r="J87" s="18" t="s">
        <v>519</v>
      </c>
      <c r="K87" s="19">
        <v>46329</v>
      </c>
      <c r="L87" s="19">
        <v>46330</v>
      </c>
      <c r="M87" s="18">
        <f>IFERROR(NETWORKDAYS(K87,L87,DATE(2026,10,20)),"")</f>
        <v>2</v>
      </c>
      <c r="N87" s="18" t="s">
        <v>80</v>
      </c>
      <c r="O87" s="18" t="s">
        <v>81</v>
      </c>
    </row>
    <row r="88" spans="1:15" ht="23.85">
      <c r="A88" s="4" t="s">
        <v>520</v>
      </c>
      <c r="B88" s="5" t="s">
        <v>485</v>
      </c>
      <c r="C88" s="5" t="s">
        <v>521</v>
      </c>
      <c r="D88" s="5" t="s">
        <v>522</v>
      </c>
      <c r="E88" s="8" t="s">
        <v>45</v>
      </c>
      <c r="F88" s="5" t="s">
        <v>493</v>
      </c>
      <c r="G88" s="5" t="s">
        <v>523</v>
      </c>
      <c r="H88" s="5" t="s">
        <v>77</v>
      </c>
      <c r="I88" s="5" t="s">
        <v>325</v>
      </c>
      <c r="J88" s="5" t="s">
        <v>524</v>
      </c>
      <c r="K88" s="20">
        <v>46330</v>
      </c>
      <c r="L88" s="20">
        <v>46332</v>
      </c>
      <c r="M88" s="5">
        <f>IFERROR(NETWORKDAYS(K88,L88,DATE(2026,10,20)),"")</f>
        <v>3</v>
      </c>
      <c r="N88" s="5" t="s">
        <v>80</v>
      </c>
      <c r="O88" s="5" t="s">
        <v>81</v>
      </c>
    </row>
    <row r="89" spans="1:15">
      <c r="A89" s="17" t="s">
        <v>525</v>
      </c>
      <c r="B89" s="18" t="s">
        <v>485</v>
      </c>
      <c r="C89" s="18" t="s">
        <v>526</v>
      </c>
      <c r="D89" s="18" t="s">
        <v>527</v>
      </c>
      <c r="E89" s="8" t="s">
        <v>45</v>
      </c>
      <c r="F89" s="18" t="s">
        <v>528</v>
      </c>
      <c r="G89" s="18" t="s">
        <v>529</v>
      </c>
      <c r="H89" s="18" t="s">
        <v>77</v>
      </c>
      <c r="I89" s="18" t="s">
        <v>263</v>
      </c>
      <c r="J89" s="18" t="s">
        <v>530</v>
      </c>
      <c r="K89" s="19">
        <v>46330</v>
      </c>
      <c r="L89" s="19">
        <v>46331</v>
      </c>
      <c r="M89" s="18">
        <f>IFERROR(NETWORKDAYS(K89,L89,DATE(2026,10,20)),"")</f>
        <v>2</v>
      </c>
      <c r="N89" s="18" t="s">
        <v>265</v>
      </c>
      <c r="O89" s="18" t="s">
        <v>81</v>
      </c>
    </row>
    <row r="90" spans="1:15" ht="23.85">
      <c r="A90" s="4" t="s">
        <v>531</v>
      </c>
      <c r="B90" s="5" t="s">
        <v>532</v>
      </c>
      <c r="C90" s="5" t="s">
        <v>533</v>
      </c>
      <c r="D90" s="5" t="s">
        <v>534</v>
      </c>
      <c r="E90" s="13" t="s">
        <v>50</v>
      </c>
      <c r="F90" s="5" t="s">
        <v>535</v>
      </c>
      <c r="G90" s="5" t="s">
        <v>536</v>
      </c>
      <c r="H90" s="5" t="s">
        <v>77</v>
      </c>
      <c r="I90" s="5" t="s">
        <v>263</v>
      </c>
      <c r="J90" s="5" t="s">
        <v>537</v>
      </c>
      <c r="K90" s="20">
        <v>46321</v>
      </c>
      <c r="L90" s="20">
        <v>46323</v>
      </c>
      <c r="M90" s="5">
        <f>IFERROR(NETWORKDAYS(K90,L90,DATE(2026,10,20)),"")</f>
        <v>3</v>
      </c>
      <c r="N90" s="5" t="s">
        <v>265</v>
      </c>
      <c r="O90" s="5" t="s">
        <v>81</v>
      </c>
    </row>
    <row r="91" spans="1:15">
      <c r="A91" s="17" t="s">
        <v>538</v>
      </c>
      <c r="B91" s="18" t="s">
        <v>532</v>
      </c>
      <c r="C91" s="18" t="s">
        <v>539</v>
      </c>
      <c r="D91" s="18" t="s">
        <v>540</v>
      </c>
      <c r="E91" s="13" t="s">
        <v>50</v>
      </c>
      <c r="F91" s="18" t="s">
        <v>541</v>
      </c>
      <c r="G91" s="18" t="s">
        <v>542</v>
      </c>
      <c r="H91" s="18" t="s">
        <v>77</v>
      </c>
      <c r="I91" s="18" t="s">
        <v>263</v>
      </c>
      <c r="J91" s="18" t="s">
        <v>543</v>
      </c>
      <c r="K91" s="19">
        <v>46323</v>
      </c>
      <c r="L91" s="19">
        <v>46324</v>
      </c>
      <c r="M91" s="18">
        <f>IFERROR(NETWORKDAYS(K91,L91,DATE(2026,10,20)),"")</f>
        <v>2</v>
      </c>
      <c r="N91" s="18" t="s">
        <v>265</v>
      </c>
      <c r="O91" s="18" t="s">
        <v>81</v>
      </c>
    </row>
    <row r="92" spans="1:15" ht="23.85">
      <c r="A92" s="4" t="s">
        <v>544</v>
      </c>
      <c r="B92" s="5" t="s">
        <v>532</v>
      </c>
      <c r="C92" s="5" t="s">
        <v>545</v>
      </c>
      <c r="D92" s="5" t="s">
        <v>546</v>
      </c>
      <c r="E92" s="13" t="s">
        <v>50</v>
      </c>
      <c r="F92" s="5" t="s">
        <v>547</v>
      </c>
      <c r="G92" s="5" t="s">
        <v>548</v>
      </c>
      <c r="H92" s="5" t="s">
        <v>77</v>
      </c>
      <c r="I92" s="5" t="s">
        <v>263</v>
      </c>
      <c r="J92" s="5" t="s">
        <v>549</v>
      </c>
      <c r="K92" s="20">
        <v>46324</v>
      </c>
      <c r="L92" s="20">
        <v>46330</v>
      </c>
      <c r="M92" s="5">
        <f>IFERROR(NETWORKDAYS(K92,L92,DATE(2026,10,20)),"")</f>
        <v>5</v>
      </c>
      <c r="N92" s="5" t="s">
        <v>265</v>
      </c>
      <c r="O92" s="5" t="s">
        <v>81</v>
      </c>
    </row>
    <row r="93" spans="1:15" ht="23.85">
      <c r="A93" s="17" t="s">
        <v>550</v>
      </c>
      <c r="B93" s="18" t="s">
        <v>532</v>
      </c>
      <c r="C93" s="18" t="s">
        <v>551</v>
      </c>
      <c r="D93" s="18" t="s">
        <v>552</v>
      </c>
      <c r="E93" s="13" t="s">
        <v>50</v>
      </c>
      <c r="F93" s="18" t="s">
        <v>553</v>
      </c>
      <c r="G93" s="18" t="s">
        <v>554</v>
      </c>
      <c r="H93" s="18" t="s">
        <v>77</v>
      </c>
      <c r="I93" s="18" t="s">
        <v>263</v>
      </c>
      <c r="J93" s="18" t="s">
        <v>530</v>
      </c>
      <c r="K93" s="19">
        <v>46330</v>
      </c>
      <c r="L93" s="19">
        <v>46331</v>
      </c>
      <c r="M93" s="18">
        <f>IFERROR(NETWORKDAYS(K93,L93,DATE(2026,10,20)),"")</f>
        <v>2</v>
      </c>
      <c r="N93" s="18" t="s">
        <v>265</v>
      </c>
      <c r="O93" s="18" t="s">
        <v>81</v>
      </c>
    </row>
    <row r="94" spans="1:15" ht="23.85">
      <c r="A94" s="4" t="s">
        <v>555</v>
      </c>
      <c r="B94" s="5" t="s">
        <v>532</v>
      </c>
      <c r="C94" s="5" t="s">
        <v>556</v>
      </c>
      <c r="D94" s="5" t="s">
        <v>557</v>
      </c>
      <c r="E94" s="13" t="s">
        <v>50</v>
      </c>
      <c r="F94" s="5" t="s">
        <v>558</v>
      </c>
      <c r="G94" s="5" t="s">
        <v>559</v>
      </c>
      <c r="H94" s="5" t="s">
        <v>77</v>
      </c>
      <c r="I94" s="5" t="s">
        <v>263</v>
      </c>
      <c r="J94" s="5" t="s">
        <v>537</v>
      </c>
      <c r="K94" s="20">
        <v>46323</v>
      </c>
      <c r="L94" s="20">
        <v>46324</v>
      </c>
      <c r="M94" s="5">
        <f>IFERROR(NETWORKDAYS(K94,L94,DATE(2026,10,20)),"")</f>
        <v>2</v>
      </c>
      <c r="N94" s="5" t="s">
        <v>265</v>
      </c>
      <c r="O94" s="5" t="s">
        <v>81</v>
      </c>
    </row>
    <row r="95" spans="1:15" ht="23.85">
      <c r="A95" s="17" t="s">
        <v>560</v>
      </c>
      <c r="B95" s="18" t="s">
        <v>532</v>
      </c>
      <c r="C95" s="18" t="s">
        <v>561</v>
      </c>
      <c r="D95" s="18" t="s">
        <v>562</v>
      </c>
      <c r="E95" s="13" t="s">
        <v>50</v>
      </c>
      <c r="F95" s="18" t="s">
        <v>563</v>
      </c>
      <c r="G95" s="18" t="s">
        <v>564</v>
      </c>
      <c r="H95" s="18" t="s">
        <v>77</v>
      </c>
      <c r="I95" s="18" t="s">
        <v>263</v>
      </c>
      <c r="J95" s="18" t="s">
        <v>565</v>
      </c>
      <c r="K95" s="19">
        <v>46329</v>
      </c>
      <c r="L95" s="19">
        <v>46332</v>
      </c>
      <c r="M95" s="18">
        <f>IFERROR(NETWORKDAYS(K95,L95,DATE(2026,10,20)),"")</f>
        <v>4</v>
      </c>
      <c r="N95" s="18" t="s">
        <v>265</v>
      </c>
      <c r="O95" s="18" t="s">
        <v>81</v>
      </c>
    </row>
    <row r="96" spans="1:15" ht="23.85">
      <c r="A96" s="4" t="s">
        <v>566</v>
      </c>
      <c r="B96" s="5" t="s">
        <v>532</v>
      </c>
      <c r="C96" s="5" t="s">
        <v>567</v>
      </c>
      <c r="D96" s="5" t="s">
        <v>568</v>
      </c>
      <c r="E96" s="13" t="s">
        <v>50</v>
      </c>
      <c r="F96" s="5" t="s">
        <v>569</v>
      </c>
      <c r="G96" s="5" t="s">
        <v>570</v>
      </c>
      <c r="H96" s="5" t="s">
        <v>247</v>
      </c>
      <c r="I96" s="5" t="s">
        <v>263</v>
      </c>
      <c r="J96" s="5" t="s">
        <v>29</v>
      </c>
      <c r="K96" s="6" t="s">
        <v>236</v>
      </c>
      <c r="L96" s="6" t="s">
        <v>236</v>
      </c>
      <c r="M96" s="5" t="str">
        <f>IFERROR(NETWORKDAYS(K96,L96,DATE(2026,10,20)),"")</f>
        <v/>
      </c>
      <c r="N96" s="6" t="s">
        <v>168</v>
      </c>
      <c r="O96" s="5" t="s">
        <v>81</v>
      </c>
    </row>
    <row r="97" spans="1:15">
      <c r="A97" s="17" t="s">
        <v>571</v>
      </c>
      <c r="B97" s="18" t="s">
        <v>51</v>
      </c>
      <c r="C97" s="18" t="s">
        <v>572</v>
      </c>
      <c r="D97" s="18" t="s">
        <v>573</v>
      </c>
      <c r="E97" s="14" t="s">
        <v>51</v>
      </c>
      <c r="F97" s="18" t="s">
        <v>38</v>
      </c>
      <c r="G97" s="18" t="s">
        <v>574</v>
      </c>
      <c r="H97" s="18" t="s">
        <v>77</v>
      </c>
      <c r="I97" s="18" t="s">
        <v>325</v>
      </c>
      <c r="J97" s="18" t="s">
        <v>575</v>
      </c>
      <c r="K97" s="19">
        <v>46328</v>
      </c>
      <c r="L97" s="19">
        <v>46329</v>
      </c>
      <c r="M97" s="18">
        <f>IFERROR(NETWORKDAYS(K97,L97,DATE(2026,10,20)),"")</f>
        <v>2</v>
      </c>
      <c r="N97" s="18" t="s">
        <v>38</v>
      </c>
      <c r="O97" s="18" t="s">
        <v>81</v>
      </c>
    </row>
    <row r="98" spans="1:15">
      <c r="A98" s="4" t="s">
        <v>576</v>
      </c>
      <c r="B98" s="5" t="s">
        <v>51</v>
      </c>
      <c r="C98" s="5" t="s">
        <v>577</v>
      </c>
      <c r="D98" s="5" t="s">
        <v>578</v>
      </c>
      <c r="E98" s="14" t="s">
        <v>51</v>
      </c>
      <c r="F98" s="5" t="s">
        <v>579</v>
      </c>
      <c r="G98" s="5" t="s">
        <v>580</v>
      </c>
      <c r="H98" s="5" t="s">
        <v>77</v>
      </c>
      <c r="I98" s="5" t="s">
        <v>325</v>
      </c>
      <c r="J98" s="5" t="s">
        <v>575</v>
      </c>
      <c r="K98" s="20">
        <v>46328</v>
      </c>
      <c r="L98" s="20">
        <v>46329</v>
      </c>
      <c r="M98" s="5">
        <f>IFERROR(NETWORKDAYS(K98,L98,DATE(2026,10,20)),"")</f>
        <v>2</v>
      </c>
      <c r="N98" s="5" t="s">
        <v>38</v>
      </c>
      <c r="O98" s="5" t="s">
        <v>81</v>
      </c>
    </row>
    <row r="99" spans="1:15" ht="23.85">
      <c r="A99" s="17" t="s">
        <v>581</v>
      </c>
      <c r="B99" s="18" t="s">
        <v>51</v>
      </c>
      <c r="C99" s="18" t="s">
        <v>582</v>
      </c>
      <c r="D99" s="18" t="s">
        <v>583</v>
      </c>
      <c r="E99" s="14" t="s">
        <v>51</v>
      </c>
      <c r="F99" s="18" t="s">
        <v>584</v>
      </c>
      <c r="G99" s="18" t="s">
        <v>585</v>
      </c>
      <c r="H99" s="18" t="s">
        <v>77</v>
      </c>
      <c r="I99" s="18" t="s">
        <v>325</v>
      </c>
      <c r="J99" s="18" t="s">
        <v>575</v>
      </c>
      <c r="K99" s="19">
        <v>46329</v>
      </c>
      <c r="L99" s="19">
        <v>46332</v>
      </c>
      <c r="M99" s="18">
        <f>IFERROR(NETWORKDAYS(K99,L99,DATE(2026,10,20)),"")</f>
        <v>4</v>
      </c>
      <c r="N99" s="18" t="s">
        <v>38</v>
      </c>
      <c r="O99" s="18" t="s">
        <v>81</v>
      </c>
    </row>
    <row r="100" spans="1:15" ht="23.85">
      <c r="A100" s="4" t="s">
        <v>586</v>
      </c>
      <c r="B100" s="5" t="s">
        <v>51</v>
      </c>
      <c r="C100" s="5" t="s">
        <v>587</v>
      </c>
      <c r="D100" s="5" t="s">
        <v>588</v>
      </c>
      <c r="E100" s="14" t="s">
        <v>51</v>
      </c>
      <c r="F100" s="5" t="s">
        <v>38</v>
      </c>
      <c r="G100" s="5" t="s">
        <v>589</v>
      </c>
      <c r="H100" s="5" t="s">
        <v>77</v>
      </c>
      <c r="I100" s="5" t="s">
        <v>325</v>
      </c>
      <c r="J100" s="5" t="s">
        <v>575</v>
      </c>
      <c r="K100" s="20">
        <v>46329</v>
      </c>
      <c r="L100" s="20">
        <v>46332</v>
      </c>
      <c r="M100" s="5">
        <f>IFERROR(NETWORKDAYS(K100,L100,DATE(2026,10,20)),"")</f>
        <v>4</v>
      </c>
      <c r="N100" s="5" t="s">
        <v>38</v>
      </c>
      <c r="O100" s="5" t="s">
        <v>81</v>
      </c>
    </row>
    <row r="101" spans="1:15" ht="23.85">
      <c r="A101" s="17" t="s">
        <v>590</v>
      </c>
      <c r="B101" s="18" t="s">
        <v>51</v>
      </c>
      <c r="C101" s="18" t="s">
        <v>591</v>
      </c>
      <c r="D101" s="18" t="s">
        <v>592</v>
      </c>
      <c r="E101" s="14" t="s">
        <v>51</v>
      </c>
      <c r="F101" s="18" t="s">
        <v>38</v>
      </c>
      <c r="G101" s="18" t="s">
        <v>593</v>
      </c>
      <c r="H101" s="18" t="s">
        <v>77</v>
      </c>
      <c r="I101" s="18" t="s">
        <v>325</v>
      </c>
      <c r="J101" s="18" t="s">
        <v>594</v>
      </c>
      <c r="K101" s="19">
        <v>46335</v>
      </c>
      <c r="L101" s="19">
        <v>46337</v>
      </c>
      <c r="M101" s="18">
        <f>IFERROR(NETWORKDAYS(K101,L101,DATE(2026,10,20)),"")</f>
        <v>3</v>
      </c>
      <c r="N101" s="18" t="s">
        <v>38</v>
      </c>
      <c r="O101" s="18" t="s">
        <v>81</v>
      </c>
    </row>
    <row r="102" spans="1:15" ht="23.85">
      <c r="A102" s="4" t="s">
        <v>595</v>
      </c>
      <c r="B102" s="5" t="s">
        <v>51</v>
      </c>
      <c r="C102" s="5" t="s">
        <v>596</v>
      </c>
      <c r="D102" s="5" t="s">
        <v>597</v>
      </c>
      <c r="E102" s="14" t="s">
        <v>51</v>
      </c>
      <c r="F102" s="5" t="s">
        <v>598</v>
      </c>
      <c r="G102" s="5" t="s">
        <v>599</v>
      </c>
      <c r="H102" s="5" t="s">
        <v>77</v>
      </c>
      <c r="I102" s="5" t="s">
        <v>263</v>
      </c>
      <c r="J102" s="5" t="s">
        <v>594</v>
      </c>
      <c r="K102" s="20">
        <v>46335</v>
      </c>
      <c r="L102" s="20">
        <v>46337</v>
      </c>
      <c r="M102" s="5">
        <f>IFERROR(NETWORKDAYS(K102,L102,DATE(2026,10,20)),"")</f>
        <v>3</v>
      </c>
      <c r="N102" s="5" t="s">
        <v>38</v>
      </c>
      <c r="O102" s="5" t="s">
        <v>81</v>
      </c>
    </row>
    <row r="103" spans="1:15" ht="23.85">
      <c r="A103" s="17" t="s">
        <v>600</v>
      </c>
      <c r="B103" s="18" t="s">
        <v>51</v>
      </c>
      <c r="C103" s="18" t="s">
        <v>601</v>
      </c>
      <c r="D103" s="18" t="s">
        <v>602</v>
      </c>
      <c r="E103" s="14" t="s">
        <v>51</v>
      </c>
      <c r="F103" s="18" t="s">
        <v>38</v>
      </c>
      <c r="G103" s="18" t="s">
        <v>603</v>
      </c>
      <c r="H103" s="18" t="s">
        <v>77</v>
      </c>
      <c r="I103" s="18" t="s">
        <v>325</v>
      </c>
      <c r="J103" s="18" t="s">
        <v>604</v>
      </c>
      <c r="K103" s="19">
        <v>46338</v>
      </c>
      <c r="L103" s="19">
        <v>46339</v>
      </c>
      <c r="M103" s="18">
        <f>IFERROR(NETWORKDAYS(K103,L103,DATE(2026,10,20)),"")</f>
        <v>2</v>
      </c>
      <c r="N103" s="18" t="s">
        <v>38</v>
      </c>
      <c r="O103" s="18" t="s">
        <v>81</v>
      </c>
    </row>
    <row r="104" spans="1:15" ht="23.85">
      <c r="A104" s="4" t="s">
        <v>605</v>
      </c>
      <c r="B104" s="5" t="s">
        <v>606</v>
      </c>
      <c r="C104" s="5" t="s">
        <v>607</v>
      </c>
      <c r="D104" s="5" t="s">
        <v>608</v>
      </c>
      <c r="E104" s="13" t="s">
        <v>50</v>
      </c>
      <c r="F104" s="5" t="s">
        <v>609</v>
      </c>
      <c r="G104" s="5" t="s">
        <v>610</v>
      </c>
      <c r="H104" s="5" t="s">
        <v>77</v>
      </c>
      <c r="I104" s="5" t="s">
        <v>263</v>
      </c>
      <c r="J104" s="5" t="s">
        <v>611</v>
      </c>
      <c r="K104" s="20">
        <v>46314</v>
      </c>
      <c r="L104" s="20">
        <v>46318</v>
      </c>
      <c r="M104" s="5">
        <f>IFERROR(NETWORKDAYS(K104,L104,DATE(2026,10,20)),"")</f>
        <v>4</v>
      </c>
      <c r="N104" s="5" t="s">
        <v>86</v>
      </c>
      <c r="O104" s="5" t="s">
        <v>81</v>
      </c>
    </row>
    <row r="105" spans="1:15" ht="23.85">
      <c r="A105" s="17" t="s">
        <v>612</v>
      </c>
      <c r="B105" s="18" t="s">
        <v>606</v>
      </c>
      <c r="C105" s="18" t="s">
        <v>613</v>
      </c>
      <c r="D105" s="18" t="s">
        <v>614</v>
      </c>
      <c r="E105" s="12" t="s">
        <v>49</v>
      </c>
      <c r="F105" s="18" t="s">
        <v>615</v>
      </c>
      <c r="G105" s="18" t="s">
        <v>616</v>
      </c>
      <c r="H105" s="18" t="s">
        <v>77</v>
      </c>
      <c r="I105" s="18" t="s">
        <v>141</v>
      </c>
      <c r="J105" s="18" t="s">
        <v>617</v>
      </c>
      <c r="K105" s="19">
        <v>46328</v>
      </c>
      <c r="L105" s="19">
        <v>46332</v>
      </c>
      <c r="M105" s="18">
        <f>IFERROR(NETWORKDAYS(K105,L105,DATE(2026,10,20)),"")</f>
        <v>5</v>
      </c>
      <c r="N105" s="18" t="s">
        <v>86</v>
      </c>
      <c r="O105" s="18" t="s">
        <v>81</v>
      </c>
    </row>
    <row r="106" spans="1:15" ht="23.85">
      <c r="A106" s="4" t="s">
        <v>618</v>
      </c>
      <c r="B106" s="5" t="s">
        <v>606</v>
      </c>
      <c r="C106" s="5" t="s">
        <v>619</v>
      </c>
      <c r="D106" s="5" t="s">
        <v>620</v>
      </c>
      <c r="E106" s="16" t="s">
        <v>53</v>
      </c>
      <c r="F106" s="5" t="s">
        <v>621</v>
      </c>
      <c r="G106" s="5" t="s">
        <v>622</v>
      </c>
      <c r="H106" s="5" t="s">
        <v>77</v>
      </c>
      <c r="I106" s="5" t="s">
        <v>360</v>
      </c>
      <c r="J106" s="5" t="s">
        <v>623</v>
      </c>
      <c r="K106" s="20">
        <v>46314</v>
      </c>
      <c r="L106" s="20">
        <v>46332</v>
      </c>
      <c r="M106" s="5">
        <f>IFERROR(NETWORKDAYS(K106,L106,DATE(2026,10,20)),"")</f>
        <v>14</v>
      </c>
      <c r="N106" s="5" t="s">
        <v>86</v>
      </c>
      <c r="O106" s="5" t="s">
        <v>81</v>
      </c>
    </row>
    <row r="107" spans="1:15" ht="23.85">
      <c r="A107" s="17" t="s">
        <v>624</v>
      </c>
      <c r="B107" s="18" t="s">
        <v>606</v>
      </c>
      <c r="C107" s="18" t="s">
        <v>625</v>
      </c>
      <c r="D107" s="18" t="s">
        <v>626</v>
      </c>
      <c r="E107" s="16" t="s">
        <v>53</v>
      </c>
      <c r="F107" s="18" t="s">
        <v>627</v>
      </c>
      <c r="G107" s="18" t="s">
        <v>628</v>
      </c>
      <c r="H107" s="18" t="s">
        <v>77</v>
      </c>
      <c r="I107" s="18" t="s">
        <v>78</v>
      </c>
      <c r="J107" s="18" t="s">
        <v>309</v>
      </c>
      <c r="K107" s="19">
        <v>46329</v>
      </c>
      <c r="L107" s="19">
        <v>46332</v>
      </c>
      <c r="M107" s="18">
        <f>IFERROR(NETWORKDAYS(K107,L107,DATE(2026,10,20)),"")</f>
        <v>4</v>
      </c>
      <c r="N107" s="18" t="s">
        <v>80</v>
      </c>
      <c r="O107" s="18" t="s">
        <v>81</v>
      </c>
    </row>
    <row r="108" spans="1:15" ht="23.85">
      <c r="A108" s="4" t="s">
        <v>629</v>
      </c>
      <c r="B108" s="5" t="s">
        <v>606</v>
      </c>
      <c r="C108" s="5" t="s">
        <v>630</v>
      </c>
      <c r="D108" s="5" t="s">
        <v>631</v>
      </c>
      <c r="E108" s="16" t="s">
        <v>53</v>
      </c>
      <c r="F108" s="5" t="s">
        <v>632</v>
      </c>
      <c r="G108" s="5" t="s">
        <v>633</v>
      </c>
      <c r="H108" s="5" t="s">
        <v>77</v>
      </c>
      <c r="I108" s="5" t="s">
        <v>360</v>
      </c>
      <c r="J108" s="5" t="s">
        <v>634</v>
      </c>
      <c r="K108" s="20">
        <v>46323</v>
      </c>
      <c r="L108" s="20">
        <v>46332</v>
      </c>
      <c r="M108" s="5">
        <f>IFERROR(NETWORKDAYS(K108,L108,DATE(2026,10,20)),"")</f>
        <v>8</v>
      </c>
      <c r="N108" s="5" t="s">
        <v>80</v>
      </c>
      <c r="O108" s="5" t="s">
        <v>81</v>
      </c>
    </row>
  </sheetData>
  <autoFilter ref="A4:O108" xr:uid="{00000000-0009-0000-0000-000001000000}"/>
  <conditionalFormatting sqref="O5:O108">
    <cfRule type="cellIs" dxfId="3" priority="2" operator="equal">
      <formula>"Complete"</formula>
    </cfRule>
    <cfRule type="cellIs" dxfId="2" priority="3" operator="equal">
      <formula>"In progress"</formula>
    </cfRule>
    <cfRule type="cellIs" dxfId="1" priority="4" operator="equal">
      <formula>"Blocked"</formula>
    </cfRule>
    <cfRule type="cellIs" dxfId="0" priority="5" operator="equal">
      <formula>"At risk"</formula>
    </cfRule>
  </conditionalFormatting>
  <dataValidations count="1">
    <dataValidation type="list" sqref="O5:O108" xr:uid="{00000000-0002-0000-0100-000000000000}">
      <formula1>"Not started,In progress,Complete,Blocked,At risk"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/>
  </sheetViews>
  <sheetFormatPr defaultColWidth="8.7109375" defaultRowHeight="15"/>
  <cols>
    <col min="1" max="1" width="22" customWidth="1"/>
    <col min="2" max="2" width="9" customWidth="1"/>
    <col min="3" max="3" width="10" customWidth="1"/>
    <col min="4" max="4" width="55" customWidth="1"/>
    <col min="5" max="5" width="40" customWidth="1"/>
  </cols>
  <sheetData>
    <row r="1" spans="1:5" ht="19.7">
      <c r="A1" s="1" t="s">
        <v>635</v>
      </c>
    </row>
    <row r="2" spans="1:5">
      <c r="A2" s="2" t="s">
        <v>636</v>
      </c>
    </row>
    <row r="4" spans="1:5" ht="31.5" customHeight="1">
      <c r="A4" s="3" t="s">
        <v>60</v>
      </c>
      <c r="B4" s="3" t="s">
        <v>637</v>
      </c>
      <c r="C4" s="3" t="s">
        <v>68</v>
      </c>
      <c r="D4" s="3" t="s">
        <v>638</v>
      </c>
      <c r="E4" s="3" t="s">
        <v>639</v>
      </c>
    </row>
    <row r="5" spans="1:5" ht="23.85">
      <c r="A5" s="8" t="s">
        <v>45</v>
      </c>
      <c r="B5" s="5">
        <f>COUNTIF('Development Tasks'!$E$5:$E$108,A5)</f>
        <v>24</v>
      </c>
      <c r="C5" s="5">
        <f>SUMIF('Development Tasks'!$E$5:$E$108,A5,'Development Tasks'!$M$5:$M$108)</f>
        <v>65</v>
      </c>
      <c r="D5" s="5" t="s">
        <v>640</v>
      </c>
      <c r="E5" s="5" t="s">
        <v>641</v>
      </c>
    </row>
    <row r="6" spans="1:5" ht="23.85">
      <c r="A6" s="9" t="s">
        <v>46</v>
      </c>
      <c r="B6" s="5">
        <f>COUNTIF('Development Tasks'!$E$5:$E$108,A6)</f>
        <v>13</v>
      </c>
      <c r="C6" s="5">
        <f>SUMIF('Development Tasks'!$E$5:$E$108,A6,'Development Tasks'!$M$5:$M$108)</f>
        <v>42</v>
      </c>
      <c r="D6" s="5" t="s">
        <v>642</v>
      </c>
      <c r="E6" s="5" t="s">
        <v>643</v>
      </c>
    </row>
    <row r="7" spans="1:5" ht="23.85">
      <c r="A7" s="10" t="s">
        <v>47</v>
      </c>
      <c r="B7" s="5">
        <f>COUNTIF('Development Tasks'!$E$5:$E$108,A7)</f>
        <v>5</v>
      </c>
      <c r="C7" s="5">
        <f>SUMIF('Development Tasks'!$E$5:$E$108,A7,'Development Tasks'!$M$5:$M$108)</f>
        <v>11</v>
      </c>
      <c r="D7" s="5" t="s">
        <v>644</v>
      </c>
      <c r="E7" s="5" t="s">
        <v>641</v>
      </c>
    </row>
    <row r="8" spans="1:5">
      <c r="A8" s="11" t="s">
        <v>48</v>
      </c>
      <c r="B8" s="5">
        <f>COUNTIF('Development Tasks'!$E$5:$E$108,A8)</f>
        <v>6</v>
      </c>
      <c r="C8" s="5">
        <f>SUMIF('Development Tasks'!$E$5:$E$108,A8,'Development Tasks'!$M$5:$M$108)</f>
        <v>15</v>
      </c>
      <c r="D8" s="5" t="s">
        <v>645</v>
      </c>
      <c r="E8" s="5" t="s">
        <v>646</v>
      </c>
    </row>
    <row r="9" spans="1:5" ht="23.85">
      <c r="A9" s="12" t="s">
        <v>49</v>
      </c>
      <c r="B9" s="5">
        <f>COUNTIF('Development Tasks'!$E$5:$E$108,A9)</f>
        <v>26</v>
      </c>
      <c r="C9" s="5">
        <f>SUMIF('Development Tasks'!$E$5:$E$108,A9,'Development Tasks'!$M$5:$M$108)</f>
        <v>101</v>
      </c>
      <c r="D9" s="5" t="s">
        <v>647</v>
      </c>
      <c r="E9" s="5" t="s">
        <v>648</v>
      </c>
    </row>
    <row r="10" spans="1:5">
      <c r="A10" s="13" t="s">
        <v>50</v>
      </c>
      <c r="B10" s="5">
        <f>COUNTIF('Development Tasks'!$E$5:$E$108,A10)</f>
        <v>10</v>
      </c>
      <c r="C10" s="5">
        <f>SUMIF('Development Tasks'!$E$5:$E$108,A10,'Development Tasks'!$M$5:$M$108)</f>
        <v>30</v>
      </c>
      <c r="D10" s="5" t="s">
        <v>649</v>
      </c>
      <c r="E10" s="5" t="s">
        <v>650</v>
      </c>
    </row>
    <row r="11" spans="1:5">
      <c r="A11" s="14" t="s">
        <v>51</v>
      </c>
      <c r="B11" s="5">
        <f>COUNTIF('Development Tasks'!$E$5:$E$108,A11)</f>
        <v>7</v>
      </c>
      <c r="C11" s="5">
        <f>SUMIF('Development Tasks'!$E$5:$E$108,A11,'Development Tasks'!$M$5:$M$108)</f>
        <v>20</v>
      </c>
      <c r="D11" s="5" t="s">
        <v>651</v>
      </c>
      <c r="E11" s="5" t="s">
        <v>652</v>
      </c>
    </row>
    <row r="12" spans="1:5">
      <c r="A12" s="15" t="s">
        <v>52</v>
      </c>
      <c r="B12" s="5">
        <f>COUNTIF('Development Tasks'!$E$5:$E$108,A12)</f>
        <v>10</v>
      </c>
      <c r="C12" s="5">
        <f>SUMIF('Development Tasks'!$E$5:$E$108,A12,'Development Tasks'!$M$5:$M$108)</f>
        <v>36</v>
      </c>
      <c r="D12" s="5" t="s">
        <v>653</v>
      </c>
      <c r="E12" s="5" t="s">
        <v>654</v>
      </c>
    </row>
    <row r="13" spans="1:5">
      <c r="A13" s="16" t="s">
        <v>53</v>
      </c>
      <c r="B13" s="5">
        <f>COUNTIF('Development Tasks'!$E$5:$E$108,A13)</f>
        <v>3</v>
      </c>
      <c r="C13" s="5">
        <f>SUMIF('Development Tasks'!$E$5:$E$108,A13,'Development Tasks'!$M$5:$M$108)</f>
        <v>26</v>
      </c>
      <c r="D13" s="5" t="s">
        <v>655</v>
      </c>
      <c r="E13" s="5" t="s">
        <v>656</v>
      </c>
    </row>
    <row r="14" spans="1:5">
      <c r="A14" s="4" t="s">
        <v>657</v>
      </c>
      <c r="B14" s="4">
        <f>SUM(B5:B13)</f>
        <v>104</v>
      </c>
      <c r="C14" s="4">
        <f>SUM(C5:C13)</f>
        <v>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zoomScaleNormal="100" workbookViewId="0"/>
  </sheetViews>
  <sheetFormatPr defaultColWidth="8.7109375" defaultRowHeight="15"/>
  <cols>
    <col min="1" max="1" width="30" customWidth="1"/>
    <col min="2" max="2" width="50" customWidth="1"/>
    <col min="3" max="3" width="45" customWidth="1"/>
    <col min="4" max="4" width="26" customWidth="1"/>
    <col min="5" max="5" width="40" customWidth="1"/>
  </cols>
  <sheetData>
    <row r="1" spans="1:5" ht="19.7">
      <c r="A1" s="1" t="s">
        <v>658</v>
      </c>
    </row>
    <row r="2" spans="1:5">
      <c r="A2" s="2" t="s">
        <v>659</v>
      </c>
    </row>
    <row r="4" spans="1:5" ht="31.5" customHeight="1">
      <c r="A4" s="3" t="s">
        <v>660</v>
      </c>
      <c r="B4" s="3" t="s">
        <v>661</v>
      </c>
      <c r="C4" s="3" t="s">
        <v>662</v>
      </c>
      <c r="D4" s="3" t="s">
        <v>64</v>
      </c>
      <c r="E4" s="3" t="s">
        <v>663</v>
      </c>
    </row>
    <row r="5" spans="1:5" ht="23.85">
      <c r="A5" s="4" t="s">
        <v>664</v>
      </c>
      <c r="B5" s="5" t="s">
        <v>665</v>
      </c>
      <c r="C5" s="5" t="s">
        <v>666</v>
      </c>
      <c r="D5" s="5" t="s">
        <v>667</v>
      </c>
      <c r="E5" s="5" t="s">
        <v>668</v>
      </c>
    </row>
    <row r="6" spans="1:5" ht="23.85">
      <c r="A6" s="4" t="s">
        <v>669</v>
      </c>
      <c r="B6" s="5" t="s">
        <v>670</v>
      </c>
      <c r="C6" s="5" t="s">
        <v>671</v>
      </c>
      <c r="D6" s="5" t="s">
        <v>672</v>
      </c>
      <c r="E6" s="5" t="s">
        <v>673</v>
      </c>
    </row>
    <row r="7" spans="1:5" ht="23.85">
      <c r="A7" s="4" t="s">
        <v>674</v>
      </c>
      <c r="B7" s="5" t="s">
        <v>675</v>
      </c>
      <c r="C7" s="5" t="s">
        <v>676</v>
      </c>
      <c r="D7" s="5" t="s">
        <v>677</v>
      </c>
      <c r="E7" s="5" t="s">
        <v>678</v>
      </c>
    </row>
    <row r="8" spans="1:5" ht="23.85">
      <c r="A8" s="4" t="s">
        <v>679</v>
      </c>
      <c r="B8" s="5" t="s">
        <v>680</v>
      </c>
      <c r="C8" s="5" t="s">
        <v>681</v>
      </c>
      <c r="D8" s="5" t="s">
        <v>682</v>
      </c>
      <c r="E8" s="5" t="s">
        <v>683</v>
      </c>
    </row>
    <row r="9" spans="1:5">
      <c r="A9" s="4" t="s">
        <v>684</v>
      </c>
      <c r="B9" s="5" t="s">
        <v>685</v>
      </c>
      <c r="C9" s="5" t="s">
        <v>686</v>
      </c>
      <c r="D9" s="5" t="s">
        <v>687</v>
      </c>
      <c r="E9" s="5" t="s">
        <v>29</v>
      </c>
    </row>
    <row r="10" spans="1:5" ht="23.85">
      <c r="A10" s="4" t="s">
        <v>688</v>
      </c>
      <c r="B10" s="5" t="s">
        <v>689</v>
      </c>
      <c r="C10" s="5" t="s">
        <v>690</v>
      </c>
      <c r="D10" s="5" t="s">
        <v>691</v>
      </c>
      <c r="E10" s="5" t="s">
        <v>692</v>
      </c>
    </row>
    <row r="11" spans="1:5" ht="23.85">
      <c r="A11" s="4" t="s">
        <v>532</v>
      </c>
      <c r="B11" s="5" t="s">
        <v>693</v>
      </c>
      <c r="C11" s="5" t="s">
        <v>694</v>
      </c>
      <c r="D11" s="5" t="s">
        <v>695</v>
      </c>
      <c r="E11" s="5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  Imo</cp:lastModifiedBy>
  <cp:revision>0</cp:revision>
  <dcterms:created xsi:type="dcterms:W3CDTF">2026-10-09T09:32:19Z</dcterms:created>
  <dcterms:modified xsi:type="dcterms:W3CDTF">2026-10-09T10:57:04Z</dcterms:modified>
  <cp:category/>
  <cp:contentStatus/>
</cp:coreProperties>
</file>