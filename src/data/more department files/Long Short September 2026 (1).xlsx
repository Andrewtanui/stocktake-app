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kg2017-my.sharepoint.com/personal/caroline_njambi_nkg_coffee/Documents/Desktop/"/>
    </mc:Choice>
  </mc:AlternateContent>
  <xr:revisionPtr revIDLastSave="0" documentId="8_{52C33101-C722-47E6-AF01-BE732C46BAF5}" xr6:coauthVersionLast="47" xr6:coauthVersionMax="47" xr10:uidLastSave="{00000000-0000-0000-0000-000000000000}"/>
  <bookViews>
    <workbookView xWindow="28680" yWindow="-120" windowWidth="29040" windowHeight="15720" activeTab="1" xr2:uid="{B664DD6B-4788-4DAE-A35F-E2A627B124CF}"/>
  </bookViews>
  <sheets>
    <sheet name="P526CCCC (2)" sheetId="2" r:id="rId1"/>
    <sheet name="Sheet2" sheetId="1" r:id="rId2"/>
  </sheets>
  <definedNames>
    <definedName name="_xlnm._FilterDatabase" localSheetId="0" hidden="1">'P526CCCC (2)'!$A$1:$N$177</definedName>
  </definedNames>
  <calcPr calcId="191029"/>
  <pivotCaches>
    <pivotCache cacheId="94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177" i="2" l="1"/>
  <c r="M177" i="2" s="1"/>
  <c r="L176" i="2"/>
  <c r="M176" i="2" s="1"/>
  <c r="L175" i="2"/>
  <c r="M175" i="2" s="1"/>
  <c r="L174" i="2"/>
  <c r="M174" i="2" s="1"/>
  <c r="L173" i="2"/>
  <c r="M173" i="2" s="1"/>
  <c r="L172" i="2"/>
  <c r="M172" i="2" s="1"/>
  <c r="L171" i="2"/>
  <c r="M171" i="2" s="1"/>
  <c r="L170" i="2"/>
  <c r="M170" i="2" s="1"/>
  <c r="L169" i="2"/>
  <c r="M169" i="2" s="1"/>
  <c r="L168" i="2"/>
  <c r="M168" i="2" s="1"/>
  <c r="L167" i="2"/>
  <c r="M167" i="2" s="1"/>
  <c r="L166" i="2"/>
  <c r="M166" i="2" s="1"/>
  <c r="L165" i="2"/>
  <c r="M165" i="2" s="1"/>
  <c r="L164" i="2"/>
  <c r="M164" i="2" s="1"/>
  <c r="L163" i="2"/>
  <c r="M163" i="2" s="1"/>
  <c r="L162" i="2"/>
  <c r="M162" i="2" s="1"/>
  <c r="L161" i="2"/>
  <c r="M161" i="2" s="1"/>
  <c r="L160" i="2"/>
  <c r="M160" i="2" s="1"/>
  <c r="L159" i="2"/>
  <c r="M159" i="2" s="1"/>
  <c r="L158" i="2"/>
  <c r="M158" i="2" s="1"/>
  <c r="L157" i="2"/>
  <c r="M157" i="2" s="1"/>
  <c r="L156" i="2"/>
  <c r="M156" i="2" s="1"/>
  <c r="L155" i="2"/>
  <c r="M155" i="2" s="1"/>
  <c r="L154" i="2"/>
  <c r="M154" i="2" s="1"/>
  <c r="L153" i="2"/>
  <c r="M153" i="2" s="1"/>
  <c r="L152" i="2"/>
  <c r="M152" i="2" s="1"/>
  <c r="L151" i="2"/>
  <c r="M151" i="2" s="1"/>
  <c r="L150" i="2"/>
  <c r="M150" i="2" s="1"/>
  <c r="L149" i="2"/>
  <c r="M149" i="2" s="1"/>
  <c r="L148" i="2"/>
  <c r="M148" i="2" s="1"/>
  <c r="L147" i="2"/>
  <c r="M147" i="2" s="1"/>
  <c r="L146" i="2"/>
  <c r="M146" i="2" s="1"/>
  <c r="L145" i="2"/>
  <c r="M145" i="2" s="1"/>
  <c r="L144" i="2"/>
  <c r="M144" i="2" s="1"/>
  <c r="L143" i="2"/>
  <c r="M143" i="2" s="1"/>
  <c r="L142" i="2"/>
  <c r="M142" i="2" s="1"/>
  <c r="L141" i="2"/>
  <c r="M141" i="2" s="1"/>
  <c r="L140" i="2"/>
  <c r="M140" i="2" s="1"/>
  <c r="L139" i="2"/>
  <c r="M139" i="2" s="1"/>
  <c r="L138" i="2"/>
  <c r="M138" i="2" s="1"/>
  <c r="L137" i="2"/>
  <c r="M137" i="2" s="1"/>
  <c r="L136" i="2"/>
  <c r="M136" i="2" s="1"/>
  <c r="L135" i="2"/>
  <c r="M135" i="2" s="1"/>
  <c r="L134" i="2"/>
  <c r="M134" i="2" s="1"/>
  <c r="L133" i="2"/>
  <c r="M133" i="2" s="1"/>
  <c r="L132" i="2"/>
  <c r="M132" i="2" s="1"/>
  <c r="L131" i="2"/>
  <c r="M131" i="2" s="1"/>
  <c r="L130" i="2"/>
  <c r="M130" i="2" s="1"/>
  <c r="L129" i="2"/>
  <c r="M129" i="2" s="1"/>
  <c r="L128" i="2"/>
  <c r="M128" i="2" s="1"/>
  <c r="L127" i="2"/>
  <c r="M127" i="2" s="1"/>
  <c r="L126" i="2"/>
  <c r="M126" i="2" s="1"/>
  <c r="L125" i="2"/>
  <c r="M125" i="2" s="1"/>
  <c r="L124" i="2"/>
  <c r="M124" i="2" s="1"/>
  <c r="L123" i="2"/>
  <c r="M123" i="2" s="1"/>
  <c r="L122" i="2"/>
  <c r="M122" i="2" s="1"/>
  <c r="L121" i="2"/>
  <c r="M121" i="2" s="1"/>
  <c r="L120" i="2"/>
  <c r="M120" i="2" s="1"/>
  <c r="L119" i="2"/>
  <c r="M119" i="2" s="1"/>
  <c r="L118" i="2"/>
  <c r="M118" i="2" s="1"/>
  <c r="L117" i="2"/>
  <c r="M117" i="2" s="1"/>
  <c r="L116" i="2"/>
  <c r="M116" i="2" s="1"/>
  <c r="L115" i="2"/>
  <c r="M115" i="2" s="1"/>
  <c r="L114" i="2"/>
  <c r="M114" i="2" s="1"/>
  <c r="L113" i="2"/>
  <c r="M113" i="2" s="1"/>
  <c r="L112" i="2"/>
  <c r="M112" i="2" s="1"/>
  <c r="L111" i="2"/>
  <c r="M111" i="2" s="1"/>
  <c r="L110" i="2"/>
  <c r="M110" i="2" s="1"/>
  <c r="L109" i="2"/>
  <c r="M109" i="2" s="1"/>
  <c r="L108" i="2"/>
  <c r="M108" i="2" s="1"/>
  <c r="L107" i="2"/>
  <c r="M107" i="2" s="1"/>
  <c r="L106" i="2"/>
  <c r="M106" i="2" s="1"/>
  <c r="L105" i="2"/>
  <c r="M105" i="2" s="1"/>
  <c r="L104" i="2"/>
  <c r="M104" i="2" s="1"/>
  <c r="L103" i="2"/>
  <c r="M103" i="2" s="1"/>
  <c r="L102" i="2"/>
  <c r="M102" i="2" s="1"/>
  <c r="L101" i="2"/>
  <c r="M101" i="2" s="1"/>
  <c r="L100" i="2"/>
  <c r="M100" i="2" s="1"/>
  <c r="L99" i="2"/>
  <c r="M99" i="2" s="1"/>
  <c r="L98" i="2"/>
  <c r="M98" i="2" s="1"/>
  <c r="L97" i="2"/>
  <c r="M97" i="2" s="1"/>
  <c r="L96" i="2"/>
  <c r="M96" i="2" s="1"/>
  <c r="L95" i="2"/>
  <c r="M95" i="2" s="1"/>
  <c r="L94" i="2"/>
  <c r="M94" i="2" s="1"/>
  <c r="L93" i="2"/>
  <c r="M93" i="2" s="1"/>
  <c r="L92" i="2"/>
  <c r="M92" i="2" s="1"/>
  <c r="L91" i="2"/>
  <c r="M91" i="2" s="1"/>
  <c r="L90" i="2"/>
  <c r="M90" i="2" s="1"/>
  <c r="L89" i="2"/>
  <c r="M89" i="2" s="1"/>
  <c r="L88" i="2"/>
  <c r="M88" i="2" s="1"/>
  <c r="L87" i="2"/>
  <c r="M87" i="2" s="1"/>
  <c r="M86" i="2"/>
  <c r="L86" i="2"/>
  <c r="L85" i="2"/>
  <c r="M85" i="2" s="1"/>
  <c r="L84" i="2"/>
  <c r="M84" i="2" s="1"/>
  <c r="L83" i="2"/>
  <c r="M83" i="2" s="1"/>
  <c r="L82" i="2"/>
  <c r="M82" i="2" s="1"/>
  <c r="L81" i="2"/>
  <c r="M81" i="2" s="1"/>
  <c r="L80" i="2"/>
  <c r="M80" i="2" s="1"/>
  <c r="L79" i="2"/>
  <c r="M79" i="2" s="1"/>
  <c r="L78" i="2"/>
  <c r="M78" i="2" s="1"/>
  <c r="L77" i="2"/>
  <c r="M77" i="2" s="1"/>
  <c r="L76" i="2"/>
  <c r="M76" i="2" s="1"/>
  <c r="L75" i="2"/>
  <c r="M75" i="2" s="1"/>
  <c r="L74" i="2"/>
  <c r="M74" i="2" s="1"/>
  <c r="L73" i="2"/>
  <c r="M73" i="2" s="1"/>
  <c r="L72" i="2"/>
  <c r="M72" i="2" s="1"/>
  <c r="L71" i="2"/>
  <c r="M71" i="2" s="1"/>
  <c r="L70" i="2"/>
  <c r="M70" i="2" s="1"/>
  <c r="L69" i="2"/>
  <c r="M69" i="2" s="1"/>
  <c r="L68" i="2"/>
  <c r="M68" i="2" s="1"/>
  <c r="L67" i="2"/>
  <c r="M67" i="2" s="1"/>
  <c r="L66" i="2"/>
  <c r="M66" i="2" s="1"/>
  <c r="L65" i="2"/>
  <c r="M65" i="2" s="1"/>
  <c r="L64" i="2"/>
  <c r="M64" i="2" s="1"/>
  <c r="L63" i="2"/>
  <c r="M63" i="2" s="1"/>
  <c r="L62" i="2"/>
  <c r="M62" i="2" s="1"/>
  <c r="L61" i="2"/>
  <c r="M61" i="2" s="1"/>
  <c r="L60" i="2"/>
  <c r="M60" i="2" s="1"/>
  <c r="L59" i="2"/>
  <c r="M59" i="2" s="1"/>
  <c r="L58" i="2"/>
  <c r="M58" i="2" s="1"/>
  <c r="L57" i="2"/>
  <c r="M57" i="2" s="1"/>
  <c r="L56" i="2"/>
  <c r="M56" i="2" s="1"/>
  <c r="L55" i="2"/>
  <c r="M55" i="2" s="1"/>
  <c r="L54" i="2"/>
  <c r="M54" i="2" s="1"/>
  <c r="L53" i="2"/>
  <c r="M53" i="2" s="1"/>
  <c r="L52" i="2"/>
  <c r="M52" i="2" s="1"/>
  <c r="L51" i="2"/>
  <c r="M51" i="2" s="1"/>
  <c r="L50" i="2"/>
  <c r="M50" i="2" s="1"/>
  <c r="L49" i="2"/>
  <c r="M49" i="2" s="1"/>
  <c r="L48" i="2"/>
  <c r="M48" i="2" s="1"/>
  <c r="L47" i="2"/>
  <c r="M47" i="2" s="1"/>
  <c r="L46" i="2"/>
  <c r="M46" i="2" s="1"/>
  <c r="L45" i="2"/>
  <c r="M45" i="2" s="1"/>
  <c r="L44" i="2"/>
  <c r="M44" i="2" s="1"/>
  <c r="L43" i="2"/>
  <c r="M43" i="2" s="1"/>
  <c r="L42" i="2"/>
  <c r="M42" i="2" s="1"/>
  <c r="L41" i="2"/>
  <c r="M41" i="2" s="1"/>
  <c r="L40" i="2"/>
  <c r="M40" i="2" s="1"/>
  <c r="L39" i="2"/>
  <c r="M39" i="2" s="1"/>
  <c r="L38" i="2"/>
  <c r="M38" i="2" s="1"/>
  <c r="L37" i="2"/>
  <c r="M37" i="2" s="1"/>
  <c r="L36" i="2"/>
  <c r="M36" i="2" s="1"/>
  <c r="L35" i="2"/>
  <c r="M35" i="2" s="1"/>
  <c r="L34" i="2"/>
  <c r="M34" i="2" s="1"/>
  <c r="L33" i="2"/>
  <c r="M33" i="2" s="1"/>
  <c r="L32" i="2"/>
  <c r="M32" i="2" s="1"/>
  <c r="L31" i="2"/>
  <c r="M31" i="2" s="1"/>
  <c r="L30" i="2"/>
  <c r="M30" i="2" s="1"/>
  <c r="L29" i="2"/>
  <c r="M29" i="2" s="1"/>
  <c r="L28" i="2"/>
  <c r="M28" i="2" s="1"/>
  <c r="L27" i="2"/>
  <c r="M27" i="2" s="1"/>
  <c r="L26" i="2"/>
  <c r="M26" i="2" s="1"/>
  <c r="L25" i="2"/>
  <c r="M25" i="2" s="1"/>
  <c r="L24" i="2"/>
  <c r="M24" i="2" s="1"/>
  <c r="L23" i="2"/>
  <c r="M23" i="2" s="1"/>
  <c r="L22" i="2"/>
  <c r="M22" i="2" s="1"/>
  <c r="L21" i="2"/>
  <c r="M21" i="2" s="1"/>
  <c r="L20" i="2"/>
  <c r="M20" i="2" s="1"/>
  <c r="L19" i="2"/>
  <c r="M19" i="2" s="1"/>
  <c r="L18" i="2"/>
  <c r="M18" i="2" s="1"/>
  <c r="L17" i="2"/>
  <c r="M17" i="2" s="1"/>
  <c r="L16" i="2"/>
  <c r="M16" i="2" s="1"/>
  <c r="L15" i="2"/>
  <c r="M15" i="2" s="1"/>
  <c r="L14" i="2"/>
  <c r="M14" i="2" s="1"/>
  <c r="L13" i="2"/>
  <c r="M13" i="2" s="1"/>
  <c r="L12" i="2"/>
  <c r="M12" i="2" s="1"/>
  <c r="L11" i="2"/>
  <c r="M11" i="2" s="1"/>
  <c r="L10" i="2"/>
  <c r="M10" i="2" s="1"/>
  <c r="L9" i="2"/>
  <c r="M9" i="2" s="1"/>
  <c r="L8" i="2"/>
  <c r="M8" i="2" s="1"/>
  <c r="L7" i="2"/>
  <c r="M7" i="2" s="1"/>
  <c r="L6" i="2"/>
  <c r="M6" i="2" s="1"/>
  <c r="L5" i="2"/>
  <c r="M5" i="2" s="1"/>
  <c r="L4" i="2"/>
  <c r="M4" i="2" s="1"/>
  <c r="L3" i="2"/>
  <c r="M3" i="2" s="1"/>
  <c r="L2" i="2"/>
  <c r="M2" i="2" s="1"/>
</calcChain>
</file>

<file path=xl/sharedStrings.xml><?xml version="1.0" encoding="utf-8"?>
<sst xmlns="http://schemas.openxmlformats.org/spreadsheetml/2006/main" count="625" uniqueCount="101">
  <si>
    <t>Origin</t>
  </si>
  <si>
    <t>(Multiple Items)</t>
  </si>
  <si>
    <t>Row Labels</t>
  </si>
  <si>
    <t>Sum of L/S</t>
  </si>
  <si>
    <t>(blank)</t>
  </si>
  <si>
    <t>Grand Total</t>
  </si>
  <si>
    <t>Company</t>
  </si>
  <si>
    <t>Acc.</t>
  </si>
  <si>
    <t>Acc.No.</t>
  </si>
  <si>
    <t>Ctr.No.</t>
  </si>
  <si>
    <t>LineTyp</t>
  </si>
  <si>
    <t>Ctr.Ref.</t>
  </si>
  <si>
    <t>Ctr.Dat.</t>
  </si>
  <si>
    <t>QualCode</t>
  </si>
  <si>
    <t>Crop</t>
  </si>
  <si>
    <t>LineText</t>
  </si>
  <si>
    <t>Bags</t>
  </si>
  <si>
    <t>L/S</t>
  </si>
  <si>
    <t>kgs</t>
  </si>
  <si>
    <t>D</t>
  </si>
  <si>
    <t>CC</t>
  </si>
  <si>
    <t>YP-43484</t>
  </si>
  <si>
    <t>Short</t>
  </si>
  <si>
    <t>YP-43922</t>
  </si>
  <si>
    <t>YP-43978</t>
  </si>
  <si>
    <t>YP-43979</t>
  </si>
  <si>
    <t>YP-44199</t>
  </si>
  <si>
    <t>CO-64007</t>
  </si>
  <si>
    <t>CO-64438</t>
  </si>
  <si>
    <t>P201390</t>
  </si>
  <si>
    <t>13-50937</t>
  </si>
  <si>
    <t>14-51061</t>
  </si>
  <si>
    <t>14-51062</t>
  </si>
  <si>
    <t>14-51063</t>
  </si>
  <si>
    <t>14-51064</t>
  </si>
  <si>
    <t>U1-51428</t>
  </si>
  <si>
    <t>U1-51464</t>
  </si>
  <si>
    <t>U1-51615</t>
  </si>
  <si>
    <t>U1-51663</t>
  </si>
  <si>
    <t>U1-51664</t>
  </si>
  <si>
    <t>U1-51665</t>
  </si>
  <si>
    <t>U1-51694</t>
  </si>
  <si>
    <t>U1-51766</t>
  </si>
  <si>
    <t>U1-51767</t>
  </si>
  <si>
    <t>01-96708</t>
  </si>
  <si>
    <t>01-97145</t>
  </si>
  <si>
    <t>01-97474</t>
  </si>
  <si>
    <t>01-97900</t>
  </si>
  <si>
    <t>01-97901</t>
  </si>
  <si>
    <t>01-98019</t>
  </si>
  <si>
    <t>01-98020</t>
  </si>
  <si>
    <t>01-98021</t>
  </si>
  <si>
    <t>01-98184</t>
  </si>
  <si>
    <t>01-98185</t>
  </si>
  <si>
    <t>01-98193</t>
  </si>
  <si>
    <t>01-98235</t>
  </si>
  <si>
    <t>01-98227</t>
  </si>
  <si>
    <t>01-98229</t>
  </si>
  <si>
    <t>P101085</t>
  </si>
  <si>
    <t>P101086</t>
  </si>
  <si>
    <t>P101087</t>
  </si>
  <si>
    <t>P101359</t>
  </si>
  <si>
    <t>P101363</t>
  </si>
  <si>
    <t>P101571</t>
  </si>
  <si>
    <t>P101572</t>
  </si>
  <si>
    <t>P101573</t>
  </si>
  <si>
    <t>P101798</t>
  </si>
  <si>
    <t>P101823-3</t>
  </si>
  <si>
    <t>P101823-2</t>
  </si>
  <si>
    <t>P101823-1</t>
  </si>
  <si>
    <t>P101824-3</t>
  </si>
  <si>
    <t>P101824-2</t>
  </si>
  <si>
    <t>P101824-1</t>
  </si>
  <si>
    <t>P101825-2</t>
  </si>
  <si>
    <t>P101825-1</t>
  </si>
  <si>
    <t>P102039</t>
  </si>
  <si>
    <t>EA-90922</t>
  </si>
  <si>
    <t>EA-90923</t>
  </si>
  <si>
    <t>EA-90946</t>
  </si>
  <si>
    <t>10013160</t>
  </si>
  <si>
    <t>Inventory</t>
  </si>
  <si>
    <t>37751</t>
  </si>
  <si>
    <t>JO-46783</t>
  </si>
  <si>
    <t>JO-46784</t>
  </si>
  <si>
    <t>JO-46785</t>
  </si>
  <si>
    <t>41751</t>
  </si>
  <si>
    <t>41870</t>
  </si>
  <si>
    <t>41871</t>
  </si>
  <si>
    <t>4910002335</t>
  </si>
  <si>
    <t>K</t>
  </si>
  <si>
    <t>I1-28306 </t>
  </si>
  <si>
    <t>I1-28686</t>
  </si>
  <si>
    <t>I1-28801</t>
  </si>
  <si>
    <t>I1-28817</t>
  </si>
  <si>
    <t>I1-28818</t>
  </si>
  <si>
    <t>I1-28886</t>
  </si>
  <si>
    <t>I1-28904</t>
  </si>
  <si>
    <t>I1-28926</t>
  </si>
  <si>
    <t>I1-28976</t>
  </si>
  <si>
    <t>I1-28927</t>
  </si>
  <si>
    <t>Longs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</si>
</sst>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3" x14ac:knownFonts="1">
    <font>
      <sz val="10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">
    <xf numFmtId="0" fontId="0" fillId="0" borderId="0" xfId="0"/>
    <xf numFmtId="164" fontId="0" fillId="0" borderId="0" xfId="0" applyNumberFormat="1"/>
    <xf numFmtId="0" fontId="0" fillId="0" borderId="0" xfId="0" applyAlignment="1">
      <alignment horizontal="left"/>
    </xf>
    <xf numFmtId="164" fontId="0" fillId="0" borderId="0" xfId="1" applyNumberFormat="1" applyFont="1"/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horizontal="right"/>
    </xf>
    <xf numFmtId="164" fontId="2" fillId="2" borderId="0" xfId="1" applyNumberFormat="1" applyFont="1" applyFill="1" applyAlignment="1">
      <alignment horizontal="right"/>
    </xf>
    <xf numFmtId="164" fontId="2" fillId="2" borderId="0" xfId="1" applyNumberFormat="1" applyFont="1" applyFill="1" applyAlignment="1">
      <alignment horizontal="center"/>
    </xf>
    <xf numFmtId="0" fontId="0" fillId="2" borderId="0" xfId="0" applyFill="1"/>
    <xf numFmtId="164" fontId="0" fillId="2" borderId="0" xfId="1" applyNumberFormat="1" applyFont="1" applyFill="1"/>
  </cellXfs>
  <cellStyles count="2">
    <cellStyle name="Comma" xfId="1" builtinId="3"/>
    <cellStyle name="Normal" xfId="0" builtinId="0"/>
  </cellStyles>
  <dxfs count="2">
    <dxf>
      <numFmt numFmtId="164" formatCode="_-* #,##0_-;\-* #,##0_-;_-* &quot;-&quot;??_-;_-@_-"/>
    </dxf>
    <dxf>
      <numFmt numFmtId="164" formatCode="_-* #,##0_-;\-* #,##0_-;_-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personal/felix_furrer_nkg_coffee/Documents/Microsoft%20Teams-Chatdateien/P526CCCC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oline Njambi Gatheru" refreshedDate="46303.406161458333" createdVersion="8" refreshedVersion="8" minRefreshableVersion="3" recordCount="240" xr:uid="{42CF147D-5ACD-495A-B96F-B10088FD4C65}">
  <cacheSource type="worksheet">
    <worksheetSource ref="A1:AV1048576" sheet="P526CCCC (2)" r:id="rId2"/>
  </cacheSource>
  <cacheFields count="48">
    <cacheField name="Company" numFmtId="0">
      <sharedItems containsBlank="1"/>
    </cacheField>
    <cacheField name="Acc." numFmtId="0">
      <sharedItems containsBlank="1"/>
    </cacheField>
    <cacheField name="Acc.No." numFmtId="0">
      <sharedItems containsString="0" containsBlank="1" containsNumber="1" containsInteger="1" minValue="1001700" maxValue="1677600"/>
    </cacheField>
    <cacheField name="Matchcode" numFmtId="0">
      <sharedItems containsBlank="1"/>
    </cacheField>
    <cacheField name="Ctr.No." numFmtId="0">
      <sharedItems containsString="0" containsBlank="1" containsNumber="1" containsInteger="1" minValue="90469" maxValue="3787708"/>
    </cacheField>
    <cacheField name="LineTyp" numFmtId="0">
      <sharedItems containsString="0" containsBlank="1" containsNumber="1" containsInteger="1" minValue="1" maxValue="4"/>
    </cacheField>
    <cacheField name="Ctr.Ref." numFmtId="0">
      <sharedItems containsBlank="1"/>
    </cacheField>
    <cacheField name="Ctr.Dat." numFmtId="0">
      <sharedItems containsString="0" containsBlank="1" containsNumber="1" containsInteger="1" minValue="10726" maxValue="300926"/>
    </cacheField>
    <cacheField name="Origin" numFmtId="0">
      <sharedItems containsString="0" containsBlank="1" containsNumber="1" containsInteger="1" minValue="1390" maxValue="1430" count="4">
        <n v="1390"/>
        <n v="1391"/>
        <n v="1430"/>
        <m/>
      </sharedItems>
    </cacheField>
    <cacheField name="QualCode" numFmtId="0">
      <sharedItems containsString="0" containsBlank="1" containsNumber="1" containsInteger="1" minValue="10020" maxValue="19100" count="20">
        <n v="10020"/>
        <n v="10030"/>
        <n v="10260"/>
        <n v="10070"/>
        <n v="10040"/>
        <n v="10060"/>
        <n v="10110"/>
        <n v="10025"/>
        <n v="10045"/>
        <n v="10120"/>
        <n v="10310"/>
        <n v="10080"/>
        <n v="10050"/>
        <n v="10057"/>
        <n v="10140"/>
        <n v="10130"/>
        <n v="19100"/>
        <n v="10027"/>
        <n v="10035"/>
        <m/>
      </sharedItems>
    </cacheField>
    <cacheField name="Crop" numFmtId="0">
      <sharedItems containsString="0" containsBlank="1" containsNumber="1" containsInteger="1" minValue="2425" maxValue="2627"/>
    </cacheField>
    <cacheField name="LineText" numFmtId="0">
      <sharedItems containsBlank="1"/>
    </cacheField>
    <cacheField name="Bags" numFmtId="0">
      <sharedItems containsString="0" containsBlank="1" containsNumber="1" minValue="0.9956666666666667" maxValue="22006.536166666665"/>
    </cacheField>
    <cacheField name="L/S" numFmtId="164">
      <sharedItems containsString="0" containsBlank="1" containsNumber="1" minValue="-3780" maxValue="22006.536166666665"/>
    </cacheField>
    <cacheField name="kgs" numFmtId="0">
      <sharedItems containsString="0" containsBlank="1" containsNumber="1" minValue="59.74" maxValue="1320392.17"/>
    </cacheField>
    <cacheField name="CarryMonths" numFmtId="0">
      <sharedItems containsString="0" containsBlank="1" containsNumber="1" containsInteger="1" minValue="0" maxValue="0"/>
    </cacheField>
    <cacheField name="CarryValue" numFmtId="0">
      <sharedItems containsString="0" containsBlank="1" containsNumber="1" containsInteger="1" minValue="0" maxValue="0"/>
    </cacheField>
    <cacheField name="CostValue" numFmtId="0">
      <sharedItems containsString="0" containsBlank="1" containsNumber="1" minValue="42" maxValue="10296483.810000001"/>
    </cacheField>
    <cacheField name="MarketValue" numFmtId="0">
      <sharedItems containsString="0" containsBlank="1" containsNumber="1" minValue="344.69" maxValue="9714389.2699999996"/>
    </cacheField>
    <cacheField name="Profit" numFmtId="0">
      <sharedItems containsString="0" containsBlank="1" containsNumber="1" minValue="0" maxValue="439047.42"/>
    </cacheField>
    <cacheField name="Loss" numFmtId="0">
      <sharedItems containsString="0" containsBlank="1" containsNumber="1" minValue="-582094.54" maxValue="0"/>
    </cacheField>
    <cacheField name="A" numFmtId="0">
      <sharedItems containsNonDate="0" containsString="0" containsBlank="1"/>
    </cacheField>
    <cacheField name="B" numFmtId="0">
      <sharedItems containsNonDate="0" containsString="0" containsBlank="1"/>
    </cacheField>
    <cacheField name="C" numFmtId="0">
      <sharedItems containsNonDate="0" containsString="0" containsBlank="1"/>
    </cacheField>
    <cacheField name="D" numFmtId="0">
      <sharedItems containsNonDate="0" containsString="0" containsBlank="1"/>
    </cacheField>
    <cacheField name="E" numFmtId="0">
      <sharedItems containsNonDate="0" containsString="0" containsBlank="1"/>
    </cacheField>
    <cacheField name="F" numFmtId="0">
      <sharedItems containsNonDate="0" containsString="0" containsBlank="1"/>
    </cacheField>
    <cacheField name="G" numFmtId="0">
      <sharedItems containsBlank="1"/>
    </cacheField>
    <cacheField name="H" numFmtId="0">
      <sharedItems containsNonDate="0" containsString="0" containsBlank="1"/>
    </cacheField>
    <cacheField name="I" numFmtId="0">
      <sharedItems containsNonDate="0" containsString="0" containsBlank="1"/>
    </cacheField>
    <cacheField name="J" numFmtId="0">
      <sharedItems containsNonDate="0" containsString="0" containsBlank="1"/>
    </cacheField>
    <cacheField name="Stock" numFmtId="0">
      <sharedItems containsNonDate="0" containsString="0" containsBlank="1"/>
    </cacheField>
    <cacheField name="Stock Exchange_x000d_YYYYMM" numFmtId="0">
      <sharedItems containsString="0" containsBlank="1" containsNumber="1" containsInteger="1" minValue="0" maxValue="0"/>
    </cacheField>
    <cacheField name="Rate Close" numFmtId="0">
      <sharedItems containsString="0" containsBlank="1" containsNumber="1" containsInteger="1" minValue="0" maxValue="0"/>
    </cacheField>
    <cacheField name="Rate CcyCode" numFmtId="0">
      <sharedItems containsString="0" containsBlank="1" containsNumber="1" containsInteger="1" minValue="0" maxValue="0"/>
    </cacheField>
    <cacheField name="Rate Ccy" numFmtId="0">
      <sharedItems containsNonDate="0" containsString="0" containsBlank="1"/>
    </cacheField>
    <cacheField name="Ref. Factor" numFmtId="0">
      <sharedItems containsString="0" containsBlank="1" containsNumber="1" containsInteger="1" minValue="0" maxValue="0"/>
    </cacheField>
    <cacheField name="Qual.Diff." numFmtId="0">
      <sharedItems containsString="0" containsBlank="1" containsNumber="1" containsInteger="1" minValue="0" maxValue="0"/>
    </cacheField>
    <cacheField name="Rate Close_x000d_in EUR/50kg" numFmtId="0">
      <sharedItems containsString="0" containsBlank="1" containsNumber="1" containsInteger="1" minValue="0" maxValue="0"/>
    </cacheField>
    <cacheField name="Qual.Diff._x000d_in EUR/50kg" numFmtId="0">
      <sharedItems containsString="0" containsBlank="1" containsNumber="1" containsInteger="1" minValue="0" maxValue="0"/>
    </cacheField>
    <cacheField name="ExchangeRate_x000d_Date" numFmtId="0">
      <sharedItems containsString="0" containsBlank="1" containsNumber="1" containsInteger="1" minValue="0" maxValue="0"/>
    </cacheField>
    <cacheField name="RC / Report_x000d_Currency" numFmtId="0">
      <sharedItems containsNonDate="0" containsString="0" containsBlank="1"/>
    </cacheField>
    <cacheField name="ExchangeRate" numFmtId="0">
      <sharedItems containsString="0" containsBlank="1" containsNumber="1" containsInteger="1" minValue="0" maxValue="0"/>
    </cacheField>
    <cacheField name="ExchangeUnit" numFmtId="0">
      <sharedItems containsString="0" containsBlank="1" containsNumber="1" containsInteger="1" minValue="0" maxValue="0"/>
    </cacheField>
    <cacheField name="Cost Rate_x000d_in RC_x000d_in mt" numFmtId="0">
      <sharedItems containsString="0" containsBlank="1" containsNumber="1" containsInteger="1" minValue="0" maxValue="0"/>
    </cacheField>
    <cacheField name="Freight Rate_x000d_in RC_x000d_in mt" numFmtId="0">
      <sharedItems containsString="0" containsBlank="1" containsNumber="1" containsInteger="1" minValue="0" maxValue="0"/>
    </cacheField>
    <cacheField name="Val.Price CIF_x000d_in RC" numFmtId="0">
      <sharedItems containsString="0" containsBlank="1" containsNumber="1" containsInteger="1" minValue="0" maxValue="0"/>
    </cacheField>
    <cacheField name="Val.Price FOB_x000d_in RC" numFmtId="0">
      <sharedItems containsString="0" containsBlank="1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0">
  <r>
    <s v="CC"/>
    <s v="D"/>
    <n v="1002500"/>
    <s v="NKG BERO I"/>
    <n v="3787498"/>
    <n v="4"/>
    <s v="YP-43484"/>
    <n v="20426"/>
    <x v="0"/>
    <x v="0"/>
    <n v="2526"/>
    <s v="Short"/>
    <n v="960"/>
    <n v="-960"/>
    <n v="57600"/>
    <n v="0"/>
    <n v="0"/>
    <n v="304761.59999999998"/>
    <n v="320832"/>
    <n v="0"/>
    <n v="-16070.4"/>
    <m/>
    <m/>
    <m/>
    <m/>
    <m/>
    <m/>
    <m/>
    <m/>
    <m/>
    <m/>
    <m/>
    <n v="0"/>
    <n v="0"/>
    <n v="0"/>
    <m/>
    <n v="0"/>
    <n v="0"/>
    <n v="0"/>
    <n v="0"/>
    <n v="0"/>
    <m/>
    <n v="0"/>
    <n v="0"/>
    <n v="0"/>
    <n v="0"/>
    <n v="0"/>
    <n v="0"/>
  </r>
  <r>
    <s v="CC"/>
    <s v="D"/>
    <n v="1002500"/>
    <s v="NKG BERO I"/>
    <n v="3787631"/>
    <n v="4"/>
    <s v="YP-43922"/>
    <n v="240626"/>
    <x v="0"/>
    <x v="0"/>
    <n v="2526"/>
    <s v="Short"/>
    <n v="320"/>
    <n v="-320"/>
    <n v="19200"/>
    <n v="0"/>
    <n v="0"/>
    <n v="132065.28"/>
    <n v="106944"/>
    <n v="25121.279999999999"/>
    <n v="0"/>
    <m/>
    <m/>
    <m/>
    <m/>
    <m/>
    <m/>
    <m/>
    <m/>
    <m/>
    <m/>
    <m/>
    <n v="0"/>
    <n v="0"/>
    <n v="0"/>
    <m/>
    <n v="0"/>
    <n v="0"/>
    <n v="0"/>
    <n v="0"/>
    <n v="0"/>
    <m/>
    <n v="0"/>
    <n v="0"/>
    <n v="0"/>
    <n v="0"/>
    <n v="0"/>
    <n v="0"/>
  </r>
  <r>
    <s v="CC"/>
    <s v="D"/>
    <n v="1002500"/>
    <s v="NKG BERO I"/>
    <n v="3787638"/>
    <n v="4"/>
    <s v="YP-43978"/>
    <n v="70726"/>
    <x v="0"/>
    <x v="0"/>
    <n v="2526"/>
    <s v="Short"/>
    <n v="1280"/>
    <n v="-1280"/>
    <n v="76800"/>
    <n v="0"/>
    <n v="0"/>
    <n v="487618.56"/>
    <n v="427776"/>
    <n v="59842.559999999998"/>
    <n v="0"/>
    <m/>
    <m/>
    <m/>
    <m/>
    <m/>
    <m/>
    <m/>
    <m/>
    <m/>
    <m/>
    <m/>
    <n v="0"/>
    <n v="0"/>
    <n v="0"/>
    <m/>
    <n v="0"/>
    <n v="0"/>
    <n v="0"/>
    <n v="0"/>
    <n v="0"/>
    <m/>
    <n v="0"/>
    <n v="0"/>
    <n v="0"/>
    <n v="0"/>
    <n v="0"/>
    <n v="0"/>
  </r>
  <r>
    <s v="CC"/>
    <s v="D"/>
    <n v="1002500"/>
    <s v="NKG BERO I"/>
    <n v="3787639"/>
    <n v="4"/>
    <s v="YP-43979"/>
    <n v="70726"/>
    <x v="0"/>
    <x v="0"/>
    <n v="2526"/>
    <s v="Short"/>
    <n v="960"/>
    <n v="-960"/>
    <n v="57600"/>
    <n v="0"/>
    <n v="0"/>
    <n v="363179.52000000002"/>
    <n v="320832"/>
    <n v="42347.519999999997"/>
    <n v="0"/>
    <m/>
    <m/>
    <m/>
    <m/>
    <m/>
    <m/>
    <m/>
    <m/>
    <m/>
    <m/>
    <m/>
    <n v="0"/>
    <n v="0"/>
    <n v="0"/>
    <m/>
    <n v="0"/>
    <n v="0"/>
    <n v="0"/>
    <n v="0"/>
    <n v="0"/>
    <m/>
    <n v="0"/>
    <n v="0"/>
    <n v="0"/>
    <n v="0"/>
    <n v="0"/>
    <n v="0"/>
  </r>
  <r>
    <s v="CC"/>
    <s v="D"/>
    <n v="1002500"/>
    <s v="NKG BERO I"/>
    <n v="3787697"/>
    <n v="4"/>
    <s v="YP-44199"/>
    <n v="110926"/>
    <x v="1"/>
    <x v="1"/>
    <n v="2526"/>
    <s v="Short"/>
    <n v="355.49983333333336"/>
    <n v="-355.49983333333336"/>
    <n v="21329.99"/>
    <n v="0"/>
    <n v="0"/>
    <n v="163174.5"/>
    <n v="153294.44"/>
    <n v="9880.06"/>
    <n v="0"/>
    <m/>
    <m/>
    <m/>
    <m/>
    <m/>
    <m/>
    <m/>
    <m/>
    <m/>
    <m/>
    <m/>
    <n v="0"/>
    <n v="0"/>
    <n v="0"/>
    <m/>
    <n v="0"/>
    <n v="0"/>
    <n v="0"/>
    <n v="0"/>
    <n v="0"/>
    <m/>
    <n v="0"/>
    <n v="0"/>
    <n v="0"/>
    <n v="0"/>
    <n v="0"/>
    <n v="0"/>
  </r>
  <r>
    <s v="CC"/>
    <s v="D"/>
    <n v="1003400"/>
    <s v="COPRO MADR"/>
    <n v="3787232"/>
    <n v="4"/>
    <s v="CO-64007"/>
    <n v="60226"/>
    <x v="2"/>
    <x v="2"/>
    <n v="2526"/>
    <s v="Short"/>
    <n v="333"/>
    <n v="-333"/>
    <n v="19980"/>
    <n v="0"/>
    <n v="0"/>
    <n v="92938.97"/>
    <n v="61514.42"/>
    <n v="31424.55"/>
    <n v="0"/>
    <m/>
    <m/>
    <m/>
    <m/>
    <m/>
    <m/>
    <m/>
    <m/>
    <m/>
    <m/>
    <m/>
    <n v="0"/>
    <n v="0"/>
    <n v="0"/>
    <m/>
    <n v="0"/>
    <n v="0"/>
    <n v="0"/>
    <n v="0"/>
    <n v="0"/>
    <m/>
    <n v="0"/>
    <n v="0"/>
    <n v="0"/>
    <n v="0"/>
    <n v="0"/>
    <n v="0"/>
  </r>
  <r>
    <s v="CC"/>
    <s v="D"/>
    <n v="1003400"/>
    <s v="COPRO MADR"/>
    <n v="3787642"/>
    <n v="4"/>
    <s v="CO-64438"/>
    <n v="70726"/>
    <x v="1"/>
    <x v="1"/>
    <n v="2526"/>
    <s v="Short"/>
    <n v="320"/>
    <n v="-320"/>
    <n v="19200"/>
    <n v="0"/>
    <n v="0"/>
    <n v="151111.67999999999"/>
    <n v="136573.44"/>
    <n v="14538.24"/>
    <n v="0"/>
    <m/>
    <m/>
    <m/>
    <m/>
    <m/>
    <m/>
    <m/>
    <m/>
    <m/>
    <m/>
    <m/>
    <n v="0"/>
    <n v="0"/>
    <n v="0"/>
    <m/>
    <n v="0"/>
    <n v="0"/>
    <n v="0"/>
    <n v="0"/>
    <n v="0"/>
    <m/>
    <n v="0"/>
    <n v="0"/>
    <n v="0"/>
    <n v="0"/>
    <n v="0"/>
    <n v="0"/>
  </r>
  <r>
    <s v="CC"/>
    <s v="D"/>
    <n v="1009900"/>
    <s v="IAC USA"/>
    <n v="3787602"/>
    <n v="4"/>
    <s v="P201390"/>
    <n v="210526"/>
    <x v="2"/>
    <x v="3"/>
    <n v="2526"/>
    <s v="Short"/>
    <n v="320"/>
    <n v="-320"/>
    <n v="19200"/>
    <n v="0"/>
    <n v="0"/>
    <n v="132910.07999999999"/>
    <n v="143769.60000000001"/>
    <n v="0"/>
    <n v="-10859.52"/>
    <m/>
    <m/>
    <m/>
    <m/>
    <m/>
    <m/>
    <m/>
    <m/>
    <m/>
    <m/>
    <m/>
    <n v="0"/>
    <n v="0"/>
    <n v="0"/>
    <m/>
    <n v="0"/>
    <n v="0"/>
    <n v="0"/>
    <n v="0"/>
    <n v="0"/>
    <m/>
    <n v="0"/>
    <n v="0"/>
    <n v="0"/>
    <n v="0"/>
    <n v="0"/>
    <n v="0"/>
  </r>
  <r>
    <s v="CC"/>
    <s v="D"/>
    <n v="1010200"/>
    <s v="IAC DE HAM"/>
    <n v="3787680"/>
    <n v="4"/>
    <s v="13-50937"/>
    <n v="120826"/>
    <x v="2"/>
    <x v="4"/>
    <n v="2526"/>
    <s v="Short"/>
    <n v="320"/>
    <n v="-320"/>
    <n v="19200"/>
    <n v="0"/>
    <n v="0"/>
    <n v="165081.60000000001"/>
    <n v="139960.32000000001"/>
    <n v="25121.279999999999"/>
    <n v="0"/>
    <m/>
    <m/>
    <m/>
    <m/>
    <m/>
    <m/>
    <m/>
    <m/>
    <m/>
    <m/>
    <m/>
    <n v="0"/>
    <n v="0"/>
    <n v="0"/>
    <m/>
    <n v="0"/>
    <n v="0"/>
    <n v="0"/>
    <n v="0"/>
    <n v="0"/>
    <m/>
    <n v="0"/>
    <n v="0"/>
    <n v="0"/>
    <n v="0"/>
    <n v="0"/>
    <n v="0"/>
  </r>
  <r>
    <s v="CC"/>
    <s v="D"/>
    <n v="1010500"/>
    <s v="IAC DE LON"/>
    <n v="3787700"/>
    <n v="4"/>
    <s v="14-51061"/>
    <n v="140926"/>
    <x v="2"/>
    <x v="1"/>
    <n v="2526"/>
    <s v="Short"/>
    <n v="100"/>
    <n v="-100"/>
    <n v="6000"/>
    <n v="0"/>
    <n v="0"/>
    <n v="53042.400000000001"/>
    <n v="45589.2"/>
    <n v="7453.2"/>
    <n v="0"/>
    <m/>
    <m/>
    <m/>
    <m/>
    <m/>
    <m/>
    <m/>
    <m/>
    <m/>
    <m/>
    <m/>
    <n v="0"/>
    <n v="0"/>
    <n v="0"/>
    <m/>
    <n v="0"/>
    <n v="0"/>
    <n v="0"/>
    <n v="0"/>
    <n v="0"/>
    <m/>
    <n v="0"/>
    <n v="0"/>
    <n v="0"/>
    <n v="0"/>
    <n v="0"/>
    <n v="0"/>
  </r>
  <r>
    <s v="CC"/>
    <s v="D"/>
    <n v="1010500"/>
    <s v="IAC DE LON"/>
    <n v="3787701"/>
    <n v="4"/>
    <s v="14-51062"/>
    <n v="140926"/>
    <x v="2"/>
    <x v="5"/>
    <n v="2526"/>
    <s v="Short"/>
    <n v="70"/>
    <n v="-70"/>
    <n v="4200"/>
    <n v="0"/>
    <n v="0"/>
    <n v="32685.24"/>
    <n v="31912.44"/>
    <n v="772.8"/>
    <n v="0"/>
    <m/>
    <m/>
    <m/>
    <m/>
    <m/>
    <m/>
    <m/>
    <m/>
    <m/>
    <m/>
    <m/>
    <n v="0"/>
    <n v="0"/>
    <n v="0"/>
    <m/>
    <n v="0"/>
    <n v="0"/>
    <n v="0"/>
    <n v="0"/>
    <n v="0"/>
    <m/>
    <n v="0"/>
    <n v="0"/>
    <n v="0"/>
    <n v="0"/>
    <n v="0"/>
    <n v="0"/>
  </r>
  <r>
    <s v="CC"/>
    <s v="D"/>
    <n v="1010500"/>
    <s v="IAC DE LON"/>
    <n v="3787702"/>
    <n v="4"/>
    <s v="14-51063"/>
    <n v="140926"/>
    <x v="2"/>
    <x v="6"/>
    <n v="2526"/>
    <s v="Short"/>
    <n v="70"/>
    <n v="-70"/>
    <n v="4200"/>
    <n v="0"/>
    <n v="0"/>
    <n v="31945.200000000001"/>
    <n v="29783.040000000001"/>
    <n v="2162.16"/>
    <n v="0"/>
    <m/>
    <m/>
    <m/>
    <m/>
    <m/>
    <m/>
    <m/>
    <m/>
    <m/>
    <m/>
    <m/>
    <n v="0"/>
    <n v="0"/>
    <n v="0"/>
    <m/>
    <n v="0"/>
    <n v="0"/>
    <n v="0"/>
    <n v="0"/>
    <n v="0"/>
    <m/>
    <n v="0"/>
    <n v="0"/>
    <n v="0"/>
    <n v="0"/>
    <n v="0"/>
    <n v="0"/>
  </r>
  <r>
    <s v="CC"/>
    <s v="D"/>
    <n v="1010500"/>
    <s v="IAC DE LON"/>
    <n v="3787703"/>
    <n v="4"/>
    <s v="14-51064"/>
    <n v="140926"/>
    <x v="2"/>
    <x v="6"/>
    <n v="2526"/>
    <s v="Short"/>
    <n v="80"/>
    <n v="-80"/>
    <n v="4800"/>
    <n v="0"/>
    <n v="0"/>
    <n v="37037.760000000002"/>
    <n v="34037.760000000002"/>
    <n v="3000"/>
    <n v="0"/>
    <m/>
    <m/>
    <m/>
    <m/>
    <m/>
    <m/>
    <m/>
    <m/>
    <m/>
    <m/>
    <m/>
    <n v="0"/>
    <n v="0"/>
    <n v="0"/>
    <m/>
    <n v="0"/>
    <n v="0"/>
    <n v="0"/>
    <n v="0"/>
    <n v="0"/>
    <m/>
    <n v="0"/>
    <n v="0"/>
    <n v="0"/>
    <n v="0"/>
    <n v="0"/>
    <n v="0"/>
  </r>
  <r>
    <s v="CC"/>
    <s v="D"/>
    <n v="1010600"/>
    <s v="IAC AUS"/>
    <n v="3787518"/>
    <n v="4"/>
    <s v="U1-51428"/>
    <n v="100426"/>
    <x v="2"/>
    <x v="3"/>
    <n v="2526"/>
    <s v="Short"/>
    <n v="320"/>
    <n v="-320"/>
    <n v="19200"/>
    <n v="0"/>
    <n v="0"/>
    <n v="150689.28"/>
    <n v="143769.60000000001"/>
    <n v="6919.68"/>
    <n v="0"/>
    <m/>
    <m/>
    <m/>
    <m/>
    <m/>
    <m/>
    <m/>
    <m/>
    <m/>
    <m/>
    <m/>
    <n v="0"/>
    <n v="0"/>
    <n v="0"/>
    <m/>
    <n v="0"/>
    <n v="0"/>
    <n v="0"/>
    <n v="0"/>
    <n v="0"/>
    <m/>
    <n v="0"/>
    <n v="0"/>
    <n v="0"/>
    <n v="0"/>
    <n v="0"/>
    <n v="0"/>
  </r>
  <r>
    <s v="CC"/>
    <s v="D"/>
    <n v="1010600"/>
    <s v="IAC AUS"/>
    <n v="3787581"/>
    <n v="4"/>
    <s v="U1-51464"/>
    <n v="50526"/>
    <x v="2"/>
    <x v="3"/>
    <n v="2526"/>
    <s v="Short"/>
    <n v="333.33316666666667"/>
    <n v="-333.33316666666667"/>
    <n v="19999.990000000002"/>
    <n v="0"/>
    <n v="0"/>
    <n v="145060"/>
    <n v="149760"/>
    <n v="0"/>
    <n v="-4700"/>
    <m/>
    <m/>
    <m/>
    <m/>
    <m/>
    <m/>
    <m/>
    <m/>
    <m/>
    <m/>
    <m/>
    <n v="0"/>
    <n v="0"/>
    <n v="0"/>
    <m/>
    <n v="0"/>
    <n v="0"/>
    <n v="0"/>
    <n v="0"/>
    <n v="0"/>
    <m/>
    <n v="0"/>
    <n v="0"/>
    <n v="0"/>
    <n v="0"/>
    <n v="0"/>
    <n v="0"/>
  </r>
  <r>
    <s v="CC"/>
    <s v="D"/>
    <n v="1010600"/>
    <s v="IAC AUS"/>
    <n v="3787637"/>
    <n v="4"/>
    <s v="U1-51615"/>
    <n v="10726"/>
    <x v="0"/>
    <x v="0"/>
    <n v="2526"/>
    <s v="Short"/>
    <n v="320"/>
    <n v="-320"/>
    <n v="19200"/>
    <n v="0"/>
    <n v="0"/>
    <n v="124446.72"/>
    <n v="106944"/>
    <n v="17502.72"/>
    <n v="0"/>
    <m/>
    <m/>
    <m/>
    <m/>
    <m/>
    <m/>
    <m/>
    <m/>
    <m/>
    <m/>
    <m/>
    <n v="0"/>
    <n v="0"/>
    <n v="0"/>
    <m/>
    <n v="0"/>
    <n v="0"/>
    <n v="0"/>
    <n v="0"/>
    <n v="0"/>
    <m/>
    <n v="0"/>
    <n v="0"/>
    <n v="0"/>
    <n v="0"/>
    <n v="0"/>
    <n v="0"/>
  </r>
  <r>
    <s v="CC"/>
    <s v="D"/>
    <n v="1010600"/>
    <s v="IAC AUS"/>
    <n v="3787663"/>
    <n v="4"/>
    <s v="U1-51663"/>
    <n v="270726"/>
    <x v="0"/>
    <x v="7"/>
    <n v="2526"/>
    <s v="Short"/>
    <n v="320"/>
    <n v="-320"/>
    <n v="19200"/>
    <n v="0"/>
    <n v="0"/>
    <n v="119788.8"/>
    <n v="109059.84"/>
    <n v="10728.96"/>
    <n v="0"/>
    <m/>
    <m/>
    <m/>
    <m/>
    <m/>
    <m/>
    <m/>
    <m/>
    <m/>
    <m/>
    <m/>
    <n v="0"/>
    <n v="0"/>
    <n v="0"/>
    <m/>
    <n v="0"/>
    <n v="0"/>
    <n v="0"/>
    <n v="0"/>
    <n v="0"/>
    <m/>
    <n v="0"/>
    <n v="0"/>
    <n v="0"/>
    <n v="0"/>
    <n v="0"/>
    <n v="0"/>
  </r>
  <r>
    <s v="CC"/>
    <s v="D"/>
    <n v="1010600"/>
    <s v="IAC AUS"/>
    <n v="3787664"/>
    <n v="4"/>
    <s v="U1-51664"/>
    <n v="270726"/>
    <x v="0"/>
    <x v="7"/>
    <n v="2526"/>
    <s v="Short"/>
    <n v="320"/>
    <n v="-320"/>
    <n v="19200"/>
    <n v="0"/>
    <n v="0"/>
    <n v="119788.8"/>
    <n v="109059.84"/>
    <n v="10728.96"/>
    <n v="0"/>
    <m/>
    <m/>
    <m/>
    <m/>
    <m/>
    <m/>
    <m/>
    <m/>
    <m/>
    <m/>
    <m/>
    <n v="0"/>
    <n v="0"/>
    <n v="0"/>
    <m/>
    <n v="0"/>
    <n v="0"/>
    <n v="0"/>
    <n v="0"/>
    <n v="0"/>
    <m/>
    <n v="0"/>
    <n v="0"/>
    <n v="0"/>
    <n v="0"/>
    <n v="0"/>
    <n v="0"/>
  </r>
  <r>
    <s v="CC"/>
    <s v="D"/>
    <n v="1010600"/>
    <s v="IAC AUS"/>
    <n v="3787665"/>
    <n v="4"/>
    <s v="U1-51665"/>
    <n v="270726"/>
    <x v="0"/>
    <x v="7"/>
    <n v="2526"/>
    <s v="Short"/>
    <n v="320"/>
    <n v="-320"/>
    <n v="19200"/>
    <n v="0"/>
    <n v="0"/>
    <n v="119366.39999999999"/>
    <n v="109059.84"/>
    <n v="10306.56"/>
    <n v="0"/>
    <m/>
    <m/>
    <m/>
    <m/>
    <m/>
    <m/>
    <m/>
    <m/>
    <m/>
    <m/>
    <m/>
    <n v="0"/>
    <n v="0"/>
    <n v="0"/>
    <m/>
    <n v="0"/>
    <n v="0"/>
    <n v="0"/>
    <n v="0"/>
    <n v="0"/>
    <m/>
    <n v="0"/>
    <n v="0"/>
    <n v="0"/>
    <n v="0"/>
    <n v="0"/>
    <n v="0"/>
  </r>
  <r>
    <s v="CC"/>
    <s v="D"/>
    <n v="1010600"/>
    <s v="IAC AUS"/>
    <n v="3787681"/>
    <n v="4"/>
    <s v="U1-51694"/>
    <n v="200826"/>
    <x v="2"/>
    <x v="3"/>
    <n v="2526"/>
    <s v="Short"/>
    <n v="320"/>
    <n v="-320"/>
    <n v="19200"/>
    <n v="0"/>
    <n v="0"/>
    <n v="148147.20000000001"/>
    <n v="143769.60000000001"/>
    <n v="4377.6000000000004"/>
    <n v="0"/>
    <m/>
    <m/>
    <m/>
    <m/>
    <m/>
    <m/>
    <m/>
    <m/>
    <m/>
    <m/>
    <m/>
    <n v="0"/>
    <n v="0"/>
    <n v="0"/>
    <m/>
    <n v="0"/>
    <n v="0"/>
    <n v="0"/>
    <n v="0"/>
    <n v="0"/>
    <m/>
    <n v="0"/>
    <n v="0"/>
    <n v="0"/>
    <n v="0"/>
    <n v="0"/>
    <n v="0"/>
  </r>
  <r>
    <s v="CC"/>
    <s v="D"/>
    <n v="1010600"/>
    <s v="IAC AUS"/>
    <n v="3787707"/>
    <n v="4"/>
    <s v="U1-51766"/>
    <n v="180926"/>
    <x v="2"/>
    <x v="3"/>
    <n v="2526"/>
    <s v="Short"/>
    <n v="333.33316666666667"/>
    <n v="-333.33316666666667"/>
    <n v="19999.990000000002"/>
    <n v="0"/>
    <n v="0"/>
    <n v="156816"/>
    <n v="149760"/>
    <n v="7056"/>
    <n v="0"/>
    <m/>
    <m/>
    <m/>
    <m/>
    <m/>
    <m/>
    <m/>
    <m/>
    <m/>
    <m/>
    <m/>
    <n v="0"/>
    <n v="0"/>
    <n v="0"/>
    <m/>
    <n v="0"/>
    <n v="0"/>
    <n v="0"/>
    <n v="0"/>
    <n v="0"/>
    <m/>
    <n v="0"/>
    <n v="0"/>
    <n v="0"/>
    <n v="0"/>
    <n v="0"/>
    <n v="0"/>
  </r>
  <r>
    <s v="CC"/>
    <s v="D"/>
    <n v="1010600"/>
    <s v="IAC AUS"/>
    <n v="3787708"/>
    <n v="4"/>
    <s v="U1-51767"/>
    <n v="180926"/>
    <x v="2"/>
    <x v="3"/>
    <n v="2526"/>
    <s v="Short"/>
    <n v="333.33316666666667"/>
    <n v="-333.33316666666667"/>
    <n v="19999.990000000002"/>
    <n v="0"/>
    <n v="0"/>
    <n v="156816"/>
    <n v="149760"/>
    <n v="7056"/>
    <n v="0"/>
    <m/>
    <m/>
    <m/>
    <m/>
    <m/>
    <m/>
    <m/>
    <m/>
    <m/>
    <m/>
    <m/>
    <n v="0"/>
    <n v="0"/>
    <n v="0"/>
    <m/>
    <n v="0"/>
    <n v="0"/>
    <n v="0"/>
    <n v="0"/>
    <n v="0"/>
    <m/>
    <n v="0"/>
    <n v="0"/>
    <n v="0"/>
    <n v="0"/>
    <n v="0"/>
    <n v="0"/>
  </r>
  <r>
    <s v="CC"/>
    <s v="D"/>
    <n v="1019500"/>
    <s v="BR HH"/>
    <n v="3787444"/>
    <n v="4"/>
    <s v="01-96708"/>
    <n v="170326"/>
    <x v="2"/>
    <x v="8"/>
    <n v="2526"/>
    <s v="Short"/>
    <n v="720"/>
    <n v="-720"/>
    <n v="43200"/>
    <n v="0"/>
    <n v="0"/>
    <n v="343811.52"/>
    <n v="333961.92"/>
    <n v="9849.6"/>
    <n v="0"/>
    <m/>
    <m/>
    <m/>
    <m/>
    <m/>
    <m/>
    <m/>
    <m/>
    <m/>
    <m/>
    <m/>
    <n v="0"/>
    <n v="0"/>
    <n v="0"/>
    <m/>
    <n v="0"/>
    <n v="0"/>
    <n v="0"/>
    <n v="0"/>
    <n v="0"/>
    <m/>
    <n v="0"/>
    <n v="0"/>
    <n v="0"/>
    <n v="0"/>
    <n v="0"/>
    <n v="0"/>
  </r>
  <r>
    <s v="CC"/>
    <s v="D"/>
    <n v="1019500"/>
    <s v="BR HH"/>
    <n v="3787579"/>
    <n v="4"/>
    <s v="01-97145"/>
    <n v="50526"/>
    <x v="2"/>
    <x v="6"/>
    <n v="2526"/>
    <s v="Short"/>
    <n v="360"/>
    <n v="-360"/>
    <n v="21600"/>
    <n v="0"/>
    <n v="0"/>
    <n v="157619.51999999999"/>
    <n v="153169.92000000001"/>
    <n v="4449.6000000000004"/>
    <n v="0"/>
    <m/>
    <m/>
    <m/>
    <m/>
    <m/>
    <m/>
    <m/>
    <m/>
    <m/>
    <m/>
    <m/>
    <n v="0"/>
    <n v="0"/>
    <n v="0"/>
    <m/>
    <n v="0"/>
    <n v="0"/>
    <n v="0"/>
    <n v="0"/>
    <n v="0"/>
    <m/>
    <n v="0"/>
    <n v="0"/>
    <n v="0"/>
    <n v="0"/>
    <n v="0"/>
    <n v="0"/>
  </r>
  <r>
    <s v="CC"/>
    <s v="D"/>
    <n v="1019500"/>
    <s v="BR HH"/>
    <n v="3787628"/>
    <n v="4"/>
    <s v="01-97474"/>
    <n v="80626"/>
    <x v="2"/>
    <x v="9"/>
    <n v="2526"/>
    <s v="Short"/>
    <n v="333.33316666666667"/>
    <n v="-333.33316666666667"/>
    <n v="19999.990000000002"/>
    <n v="0"/>
    <n v="0"/>
    <n v="118604"/>
    <n v="120220"/>
    <n v="0"/>
    <n v="-1616"/>
    <m/>
    <m/>
    <m/>
    <m/>
    <m/>
    <m/>
    <m/>
    <m/>
    <m/>
    <m/>
    <m/>
    <n v="0"/>
    <n v="0"/>
    <n v="0"/>
    <m/>
    <n v="0"/>
    <n v="0"/>
    <n v="0"/>
    <n v="0"/>
    <n v="0"/>
    <m/>
    <n v="0"/>
    <n v="0"/>
    <n v="0"/>
    <n v="0"/>
    <n v="0"/>
    <n v="0"/>
  </r>
  <r>
    <s v="CC"/>
    <s v="D"/>
    <n v="1019500"/>
    <s v="BR HH"/>
    <n v="3787660"/>
    <n v="4"/>
    <s v="01-97900"/>
    <n v="220726"/>
    <x v="2"/>
    <x v="8"/>
    <n v="2526"/>
    <s v="Short"/>
    <n v="720"/>
    <n v="-720"/>
    <n v="43200"/>
    <n v="0"/>
    <n v="0"/>
    <n v="374284.79999999999"/>
    <n v="333961.92"/>
    <n v="40322.879999999997"/>
    <n v="0"/>
    <m/>
    <m/>
    <m/>
    <m/>
    <m/>
    <m/>
    <m/>
    <m/>
    <m/>
    <m/>
    <m/>
    <n v="0"/>
    <n v="0"/>
    <n v="0"/>
    <m/>
    <n v="0"/>
    <n v="0"/>
    <n v="0"/>
    <n v="0"/>
    <n v="0"/>
    <m/>
    <n v="0"/>
    <n v="0"/>
    <n v="0"/>
    <n v="0"/>
    <n v="0"/>
    <n v="0"/>
  </r>
  <r>
    <s v="CC"/>
    <s v="D"/>
    <n v="1019500"/>
    <s v="BR HH"/>
    <n v="3787661"/>
    <n v="4"/>
    <s v="01-97901"/>
    <n v="220726"/>
    <x v="2"/>
    <x v="8"/>
    <n v="2526"/>
    <s v="Short"/>
    <n v="720"/>
    <n v="-720"/>
    <n v="43200"/>
    <n v="0"/>
    <n v="0"/>
    <n v="344761.92"/>
    <n v="333961.92"/>
    <n v="10800"/>
    <n v="0"/>
    <m/>
    <m/>
    <m/>
    <m/>
    <m/>
    <m/>
    <m/>
    <m/>
    <m/>
    <m/>
    <m/>
    <n v="0"/>
    <n v="0"/>
    <n v="0"/>
    <m/>
    <n v="0"/>
    <n v="0"/>
    <n v="0"/>
    <n v="0"/>
    <n v="0"/>
    <m/>
    <n v="0"/>
    <n v="0"/>
    <n v="0"/>
    <n v="0"/>
    <n v="0"/>
    <n v="0"/>
  </r>
  <r>
    <s v="CC"/>
    <s v="D"/>
    <n v="1019500"/>
    <s v="BR HH"/>
    <n v="3787674"/>
    <n v="4"/>
    <s v="01-98019"/>
    <n v="50826"/>
    <x v="0"/>
    <x v="4"/>
    <n v="2526"/>
    <s v="Short"/>
    <n v="1600"/>
    <n v="-1600"/>
    <n v="96000"/>
    <n v="0"/>
    <n v="0"/>
    <n v="605299.19999999995"/>
    <n v="534720"/>
    <n v="70579.199999999997"/>
    <n v="0"/>
    <m/>
    <m/>
    <m/>
    <m/>
    <m/>
    <m/>
    <m/>
    <m/>
    <m/>
    <m/>
    <m/>
    <n v="0"/>
    <n v="0"/>
    <n v="0"/>
    <m/>
    <n v="0"/>
    <n v="0"/>
    <n v="0"/>
    <n v="0"/>
    <n v="0"/>
    <m/>
    <n v="0"/>
    <n v="0"/>
    <n v="0"/>
    <n v="0"/>
    <n v="0"/>
    <n v="0"/>
  </r>
  <r>
    <s v="CC"/>
    <s v="D"/>
    <n v="1019500"/>
    <s v="BR HH"/>
    <n v="3787675"/>
    <n v="4"/>
    <s v="01-98020"/>
    <n v="60826"/>
    <x v="2"/>
    <x v="8"/>
    <n v="2526"/>
    <s v="Short"/>
    <n v="3600"/>
    <n v="-3600"/>
    <n v="216000"/>
    <n v="0"/>
    <n v="0"/>
    <n v="1657152"/>
    <n v="1669809.6"/>
    <n v="0"/>
    <n v="-12657.6"/>
    <m/>
    <m/>
    <m/>
    <m/>
    <m/>
    <m/>
    <m/>
    <m/>
    <m/>
    <m/>
    <m/>
    <n v="0"/>
    <n v="0"/>
    <n v="0"/>
    <m/>
    <n v="0"/>
    <n v="0"/>
    <n v="0"/>
    <n v="0"/>
    <n v="0"/>
    <m/>
    <n v="0"/>
    <n v="0"/>
    <n v="0"/>
    <n v="0"/>
    <n v="0"/>
    <n v="0"/>
  </r>
  <r>
    <s v="CC"/>
    <s v="D"/>
    <n v="1019500"/>
    <s v="BR HH"/>
    <n v="3787676"/>
    <n v="4"/>
    <s v="01-98021"/>
    <n v="60826"/>
    <x v="2"/>
    <x v="8"/>
    <n v="2526"/>
    <s v="Short"/>
    <n v="1800"/>
    <n v="-1800"/>
    <n v="108000"/>
    <n v="0"/>
    <n v="0"/>
    <n v="833349.6"/>
    <n v="834904.8"/>
    <n v="0"/>
    <n v="-1555.2"/>
    <m/>
    <m/>
    <m/>
    <m/>
    <m/>
    <m/>
    <m/>
    <m/>
    <m/>
    <m/>
    <m/>
    <n v="0"/>
    <n v="0"/>
    <n v="0"/>
    <m/>
    <n v="0"/>
    <n v="0"/>
    <n v="0"/>
    <n v="0"/>
    <n v="0"/>
    <m/>
    <n v="0"/>
    <n v="0"/>
    <n v="0"/>
    <n v="0"/>
    <n v="0"/>
    <n v="0"/>
  </r>
  <r>
    <s v="CC"/>
    <s v="D"/>
    <n v="1019500"/>
    <s v="BR HH"/>
    <n v="3787686"/>
    <n v="4"/>
    <s v="01-98184"/>
    <n v="260826"/>
    <x v="2"/>
    <x v="6"/>
    <n v="2627"/>
    <s v="Short"/>
    <n v="1440"/>
    <n v="-1440"/>
    <n v="86400"/>
    <n v="0"/>
    <n v="0"/>
    <n v="653339.52"/>
    <n v="612679.68000000005"/>
    <n v="40659.839999999997"/>
    <n v="0"/>
    <m/>
    <m/>
    <m/>
    <m/>
    <m/>
    <m/>
    <m/>
    <m/>
    <m/>
    <m/>
    <m/>
    <n v="0"/>
    <n v="0"/>
    <n v="0"/>
    <m/>
    <n v="0"/>
    <n v="0"/>
    <n v="0"/>
    <n v="0"/>
    <n v="0"/>
    <m/>
    <n v="0"/>
    <n v="0"/>
    <n v="0"/>
    <n v="0"/>
    <n v="0"/>
    <n v="0"/>
  </r>
  <r>
    <s v="CC"/>
    <s v="D"/>
    <n v="1019500"/>
    <s v="BR HH"/>
    <n v="3787687"/>
    <n v="4"/>
    <s v="01-98185"/>
    <n v="260826"/>
    <x v="2"/>
    <x v="6"/>
    <n v="2627"/>
    <s v="Short"/>
    <n v="1440"/>
    <n v="-1440"/>
    <n v="86400"/>
    <n v="0"/>
    <n v="0"/>
    <n v="657158.40000000002"/>
    <n v="612679.68000000005"/>
    <n v="44478.720000000001"/>
    <n v="0"/>
    <m/>
    <m/>
    <m/>
    <m/>
    <m/>
    <m/>
    <m/>
    <m/>
    <m/>
    <m/>
    <m/>
    <n v="0"/>
    <n v="0"/>
    <n v="0"/>
    <m/>
    <n v="0"/>
    <n v="0"/>
    <n v="0"/>
    <n v="0"/>
    <n v="0"/>
    <m/>
    <n v="0"/>
    <n v="0"/>
    <n v="0"/>
    <n v="0"/>
    <n v="0"/>
    <n v="0"/>
  </r>
  <r>
    <s v="CC"/>
    <s v="D"/>
    <n v="1019500"/>
    <s v="BR HH"/>
    <n v="3787689"/>
    <n v="4"/>
    <s v="01-98193"/>
    <n v="280826"/>
    <x v="2"/>
    <x v="9"/>
    <n v="2526"/>
    <s v="Short"/>
    <n v="360"/>
    <n v="-360"/>
    <n v="21600"/>
    <n v="0"/>
    <n v="0"/>
    <n v="133334.21"/>
    <n v="129837.6"/>
    <n v="3496.61"/>
    <n v="0"/>
    <m/>
    <m/>
    <m/>
    <m/>
    <m/>
    <m/>
    <m/>
    <m/>
    <m/>
    <m/>
    <m/>
    <n v="0"/>
    <n v="0"/>
    <n v="0"/>
    <m/>
    <n v="0"/>
    <n v="0"/>
    <n v="0"/>
    <n v="0"/>
    <n v="0"/>
    <m/>
    <n v="0"/>
    <n v="0"/>
    <n v="0"/>
    <n v="0"/>
    <n v="0"/>
    <n v="0"/>
  </r>
  <r>
    <s v="CC"/>
    <s v="D"/>
    <n v="1019500"/>
    <s v="BR HH"/>
    <n v="3787690"/>
    <n v="4"/>
    <s v="01-98235"/>
    <n v="10926"/>
    <x v="2"/>
    <x v="10"/>
    <n v="2526"/>
    <s v="Short"/>
    <n v="320"/>
    <n v="-320"/>
    <n v="19200"/>
    <n v="0"/>
    <n v="0"/>
    <n v="165080.45000000001"/>
    <n v="143796.48000000001"/>
    <n v="21283.97"/>
    <n v="0"/>
    <m/>
    <m/>
    <m/>
    <m/>
    <m/>
    <m/>
    <m/>
    <m/>
    <m/>
    <m/>
    <m/>
    <n v="0"/>
    <n v="0"/>
    <n v="0"/>
    <m/>
    <n v="0"/>
    <n v="0"/>
    <n v="0"/>
    <n v="0"/>
    <n v="0"/>
    <m/>
    <n v="0"/>
    <n v="0"/>
    <n v="0"/>
    <n v="0"/>
    <n v="0"/>
    <n v="0"/>
  </r>
  <r>
    <s v="CC"/>
    <s v="D"/>
    <n v="1019500"/>
    <s v="BR HH"/>
    <n v="3787691"/>
    <n v="4"/>
    <s v="01-98227"/>
    <n v="10926"/>
    <x v="2"/>
    <x v="9"/>
    <n v="2526"/>
    <s v="Short"/>
    <n v="1800"/>
    <n v="-1800"/>
    <n v="108000"/>
    <n v="0"/>
    <n v="0"/>
    <n v="671414.4"/>
    <n v="649188"/>
    <n v="22226.400000000001"/>
    <n v="0"/>
    <m/>
    <m/>
    <m/>
    <m/>
    <m/>
    <m/>
    <m/>
    <m/>
    <m/>
    <m/>
    <m/>
    <n v="0"/>
    <n v="0"/>
    <n v="0"/>
    <m/>
    <n v="0"/>
    <n v="0"/>
    <n v="0"/>
    <n v="0"/>
    <n v="0"/>
    <m/>
    <n v="0"/>
    <n v="0"/>
    <n v="0"/>
    <n v="0"/>
    <n v="0"/>
    <n v="0"/>
  </r>
  <r>
    <s v="CC"/>
    <s v="D"/>
    <n v="1019500"/>
    <s v="BR HH"/>
    <n v="3787692"/>
    <n v="4"/>
    <s v="01-98229"/>
    <n v="10926"/>
    <x v="2"/>
    <x v="9"/>
    <n v="2526"/>
    <s v="Short"/>
    <n v="1800"/>
    <n v="-1800"/>
    <n v="108000"/>
    <n v="0"/>
    <n v="0"/>
    <n v="639662.4"/>
    <n v="649188"/>
    <n v="0"/>
    <n v="-9525.6"/>
    <m/>
    <m/>
    <m/>
    <m/>
    <m/>
    <m/>
    <m/>
    <m/>
    <m/>
    <m/>
    <m/>
    <n v="0"/>
    <n v="0"/>
    <n v="0"/>
    <m/>
    <n v="0"/>
    <n v="0"/>
    <n v="0"/>
    <n v="0"/>
    <n v="0"/>
    <m/>
    <n v="0"/>
    <n v="0"/>
    <n v="0"/>
    <n v="0"/>
    <n v="0"/>
    <n v="0"/>
  </r>
  <r>
    <s v="CC"/>
    <s v="D"/>
    <n v="1019700"/>
    <s v="ROTHFOS NY"/>
    <n v="3787320"/>
    <n v="4"/>
    <s v="P101085"/>
    <n v="200226"/>
    <x v="2"/>
    <x v="11"/>
    <n v="2526"/>
    <s v="Short"/>
    <n v="666.66649999999993"/>
    <n v="-666.66649999999993"/>
    <n v="39999.99"/>
    <n v="0"/>
    <n v="0"/>
    <n v="291887.98"/>
    <n v="295111.98"/>
    <n v="0"/>
    <n v="-3224"/>
    <m/>
    <m/>
    <m/>
    <m/>
    <m/>
    <m/>
    <m/>
    <m/>
    <m/>
    <m/>
    <m/>
    <n v="0"/>
    <n v="0"/>
    <n v="0"/>
    <m/>
    <n v="0"/>
    <n v="0"/>
    <n v="0"/>
    <n v="0"/>
    <n v="0"/>
    <m/>
    <n v="0"/>
    <n v="0"/>
    <n v="0"/>
    <n v="0"/>
    <n v="0"/>
    <n v="0"/>
  </r>
  <r>
    <s v="CC"/>
    <s v="D"/>
    <n v="1019700"/>
    <s v="ROTHFOS NY"/>
    <n v="3787321"/>
    <n v="4"/>
    <s v="P101086"/>
    <n v="200226"/>
    <x v="2"/>
    <x v="11"/>
    <n v="2526"/>
    <s v="Short"/>
    <n v="666.66649999999993"/>
    <n v="-666.66649999999993"/>
    <n v="39999.99"/>
    <n v="0"/>
    <n v="0"/>
    <n v="297175.98"/>
    <n v="295111.98"/>
    <n v="2064"/>
    <n v="0"/>
    <m/>
    <m/>
    <m/>
    <m/>
    <m/>
    <m/>
    <m/>
    <m/>
    <m/>
    <m/>
    <m/>
    <n v="0"/>
    <n v="0"/>
    <n v="0"/>
    <m/>
    <n v="0"/>
    <n v="0"/>
    <n v="0"/>
    <n v="0"/>
    <n v="0"/>
    <m/>
    <n v="0"/>
    <n v="0"/>
    <n v="0"/>
    <n v="0"/>
    <n v="0"/>
    <n v="0"/>
  </r>
  <r>
    <s v="CC"/>
    <s v="D"/>
    <n v="1019700"/>
    <s v="ROTHFOS NY"/>
    <n v="3787322"/>
    <n v="4"/>
    <s v="P101087"/>
    <n v="200226"/>
    <x v="2"/>
    <x v="11"/>
    <n v="2526"/>
    <s v="Short"/>
    <n v="666.66649999999993"/>
    <n v="-666.66649999999993"/>
    <n v="39999.99"/>
    <n v="0"/>
    <n v="0"/>
    <n v="276895.98"/>
    <n v="295111.98"/>
    <n v="0"/>
    <n v="-18216"/>
    <m/>
    <m/>
    <m/>
    <m/>
    <m/>
    <m/>
    <m/>
    <m/>
    <m/>
    <m/>
    <m/>
    <n v="0"/>
    <n v="0"/>
    <n v="0"/>
    <m/>
    <n v="0"/>
    <n v="0"/>
    <n v="0"/>
    <n v="0"/>
    <n v="0"/>
    <m/>
    <n v="0"/>
    <n v="0"/>
    <n v="0"/>
    <n v="0"/>
    <n v="0"/>
    <n v="0"/>
  </r>
  <r>
    <s v="CC"/>
    <s v="D"/>
    <n v="1019700"/>
    <s v="ROTHFOS NY"/>
    <n v="3787558"/>
    <n v="4"/>
    <s v="P101359"/>
    <n v="210426"/>
    <x v="2"/>
    <x v="11"/>
    <n v="2526"/>
    <s v="Short"/>
    <n v="320"/>
    <n v="-320"/>
    <n v="19200"/>
    <n v="0"/>
    <n v="0"/>
    <n v="144764.16"/>
    <n v="141653.76000000001"/>
    <n v="3110.4"/>
    <n v="0"/>
    <m/>
    <m/>
    <m/>
    <m/>
    <m/>
    <m/>
    <m/>
    <m/>
    <m/>
    <m/>
    <m/>
    <n v="0"/>
    <n v="0"/>
    <n v="0"/>
    <m/>
    <n v="0"/>
    <n v="0"/>
    <n v="0"/>
    <n v="0"/>
    <n v="0"/>
    <m/>
    <n v="0"/>
    <n v="0"/>
    <n v="0"/>
    <n v="0"/>
    <n v="0"/>
    <n v="0"/>
  </r>
  <r>
    <s v="CC"/>
    <s v="D"/>
    <n v="1019700"/>
    <s v="ROTHFOS NY"/>
    <n v="3787570"/>
    <n v="4"/>
    <s v="P101363"/>
    <n v="220426"/>
    <x v="2"/>
    <x v="11"/>
    <n v="2526"/>
    <s v="Short"/>
    <n v="320"/>
    <n v="-320"/>
    <n v="19200"/>
    <n v="0"/>
    <n v="0"/>
    <n v="137568"/>
    <n v="141653.76000000001"/>
    <n v="0"/>
    <n v="-4085.76"/>
    <m/>
    <m/>
    <m/>
    <m/>
    <m/>
    <m/>
    <m/>
    <m/>
    <m/>
    <m/>
    <m/>
    <n v="0"/>
    <n v="0"/>
    <n v="0"/>
    <m/>
    <n v="0"/>
    <n v="0"/>
    <n v="0"/>
    <n v="0"/>
    <n v="0"/>
    <m/>
    <n v="0"/>
    <n v="0"/>
    <n v="0"/>
    <n v="0"/>
    <n v="0"/>
    <n v="0"/>
  </r>
  <r>
    <s v="CC"/>
    <s v="D"/>
    <n v="1019700"/>
    <s v="ROTHFOS NY"/>
    <n v="3787605"/>
    <n v="4"/>
    <s v="P101571"/>
    <n v="290526"/>
    <x v="2"/>
    <x v="11"/>
    <n v="2526"/>
    <s v="Short"/>
    <n v="1280"/>
    <n v="-1280"/>
    <n v="76800"/>
    <n v="0"/>
    <n v="0"/>
    <n v="597672.95999999996"/>
    <n v="566615.04000000004"/>
    <n v="31057.919999999998"/>
    <n v="0"/>
    <m/>
    <m/>
    <m/>
    <m/>
    <m/>
    <m/>
    <m/>
    <m/>
    <m/>
    <m/>
    <m/>
    <n v="0"/>
    <n v="0"/>
    <n v="0"/>
    <m/>
    <n v="0"/>
    <n v="0"/>
    <n v="0"/>
    <n v="0"/>
    <n v="0"/>
    <m/>
    <n v="0"/>
    <n v="0"/>
    <n v="0"/>
    <n v="0"/>
    <n v="0"/>
    <n v="0"/>
  </r>
  <r>
    <s v="CC"/>
    <s v="D"/>
    <n v="1019700"/>
    <s v="ROTHFOS NY"/>
    <n v="3787606"/>
    <n v="4"/>
    <s v="P101572"/>
    <n v="290526"/>
    <x v="2"/>
    <x v="11"/>
    <n v="2526"/>
    <s v="Short"/>
    <n v="1280"/>
    <n v="-1280"/>
    <n v="76800"/>
    <n v="0"/>
    <n v="0"/>
    <n v="607825.92000000004"/>
    <n v="566615.04000000004"/>
    <n v="41210.879999999997"/>
    <n v="0"/>
    <m/>
    <m/>
    <m/>
    <m/>
    <m/>
    <m/>
    <m/>
    <m/>
    <m/>
    <m/>
    <m/>
    <n v="0"/>
    <n v="0"/>
    <n v="0"/>
    <m/>
    <n v="0"/>
    <n v="0"/>
    <n v="0"/>
    <n v="0"/>
    <n v="0"/>
    <m/>
    <n v="0"/>
    <n v="0"/>
    <n v="0"/>
    <n v="0"/>
    <n v="0"/>
    <n v="0"/>
  </r>
  <r>
    <s v="CC"/>
    <s v="D"/>
    <n v="1019700"/>
    <s v="ROTHFOS NY"/>
    <n v="3787607"/>
    <n v="4"/>
    <s v="P101573"/>
    <n v="280526"/>
    <x v="2"/>
    <x v="11"/>
    <n v="2526"/>
    <s v="Short"/>
    <n v="1280"/>
    <n v="-1280"/>
    <n v="76800"/>
    <n v="0"/>
    <n v="0"/>
    <n v="568888.31999999995"/>
    <n v="566615.04000000004"/>
    <n v="2273.2800000000002"/>
    <n v="0"/>
    <m/>
    <m/>
    <m/>
    <m/>
    <m/>
    <m/>
    <m/>
    <m/>
    <m/>
    <m/>
    <m/>
    <n v="0"/>
    <n v="0"/>
    <n v="0"/>
    <m/>
    <n v="0"/>
    <n v="0"/>
    <n v="0"/>
    <n v="0"/>
    <n v="0"/>
    <m/>
    <n v="0"/>
    <n v="0"/>
    <n v="0"/>
    <n v="0"/>
    <n v="0"/>
    <n v="0"/>
  </r>
  <r>
    <s v="CC"/>
    <s v="D"/>
    <n v="1019700"/>
    <s v="ROTHFOS NY"/>
    <n v="3787640"/>
    <n v="4"/>
    <s v="P101798"/>
    <n v="70726"/>
    <x v="0"/>
    <x v="7"/>
    <n v="2526"/>
    <s v="Short"/>
    <n v="1280"/>
    <n v="-1280"/>
    <n v="76800"/>
    <n v="0"/>
    <n v="0"/>
    <n v="460538.88"/>
    <n v="436239.35999999999"/>
    <n v="24299.52"/>
    <n v="0"/>
    <m/>
    <m/>
    <m/>
    <m/>
    <m/>
    <m/>
    <m/>
    <m/>
    <m/>
    <m/>
    <m/>
    <n v="0"/>
    <n v="0"/>
    <n v="0"/>
    <m/>
    <n v="0"/>
    <n v="0"/>
    <n v="0"/>
    <n v="0"/>
    <n v="0"/>
    <m/>
    <n v="0"/>
    <n v="0"/>
    <n v="0"/>
    <n v="0"/>
    <n v="0"/>
    <n v="0"/>
  </r>
  <r>
    <s v="CC"/>
    <s v="D"/>
    <n v="1019700"/>
    <s v="ROTHFOS NY"/>
    <n v="3787644"/>
    <n v="4"/>
    <s v="P101823-3"/>
    <n v="90726"/>
    <x v="1"/>
    <x v="1"/>
    <n v="2526"/>
    <s v="Short"/>
    <n v="320"/>
    <n v="-320"/>
    <n v="19200"/>
    <n v="0"/>
    <n v="0"/>
    <n v="141269.76000000001"/>
    <n v="136573.44"/>
    <n v="4696.32"/>
    <n v="0"/>
    <m/>
    <m/>
    <m/>
    <m/>
    <m/>
    <m/>
    <m/>
    <m/>
    <m/>
    <m/>
    <m/>
    <n v="0"/>
    <n v="0"/>
    <n v="0"/>
    <m/>
    <n v="0"/>
    <n v="0"/>
    <n v="0"/>
    <n v="0"/>
    <n v="0"/>
    <m/>
    <n v="0"/>
    <n v="0"/>
    <n v="0"/>
    <n v="0"/>
    <n v="0"/>
    <n v="0"/>
  </r>
  <r>
    <s v="CC"/>
    <s v="D"/>
    <n v="1019700"/>
    <s v="ROTHFOS NY"/>
    <n v="3787645"/>
    <n v="4"/>
    <s v="P101823-2"/>
    <n v="90726"/>
    <x v="1"/>
    <x v="1"/>
    <n v="2526"/>
    <s v="Short"/>
    <n v="320"/>
    <n v="-320"/>
    <n v="19200"/>
    <n v="0"/>
    <n v="0"/>
    <n v="141269.76000000001"/>
    <n v="136573.44"/>
    <n v="4696.32"/>
    <n v="0"/>
    <m/>
    <m/>
    <m/>
    <m/>
    <m/>
    <m/>
    <m/>
    <m/>
    <m/>
    <m/>
    <m/>
    <n v="0"/>
    <n v="0"/>
    <n v="0"/>
    <m/>
    <n v="0"/>
    <n v="0"/>
    <n v="0"/>
    <n v="0"/>
    <n v="0"/>
    <m/>
    <n v="0"/>
    <n v="0"/>
    <n v="0"/>
    <n v="0"/>
    <n v="0"/>
    <n v="0"/>
  </r>
  <r>
    <s v="CC"/>
    <s v="D"/>
    <n v="1019700"/>
    <s v="ROTHFOS NY"/>
    <n v="3787646"/>
    <n v="4"/>
    <s v="P101823-1"/>
    <n v="90726"/>
    <x v="1"/>
    <x v="1"/>
    <n v="2526"/>
    <s v="Short"/>
    <n v="320"/>
    <n v="-320"/>
    <n v="19200"/>
    <n v="0"/>
    <n v="0"/>
    <n v="141269.76000000001"/>
    <n v="136573.44"/>
    <n v="4696.32"/>
    <n v="0"/>
    <m/>
    <m/>
    <m/>
    <m/>
    <m/>
    <m/>
    <m/>
    <m/>
    <m/>
    <m/>
    <m/>
    <n v="0"/>
    <n v="0"/>
    <n v="0"/>
    <m/>
    <n v="0"/>
    <n v="0"/>
    <n v="0"/>
    <n v="0"/>
    <n v="0"/>
    <m/>
    <n v="0"/>
    <n v="0"/>
    <n v="0"/>
    <n v="0"/>
    <n v="0"/>
    <n v="0"/>
  </r>
  <r>
    <s v="CC"/>
    <s v="D"/>
    <n v="1019700"/>
    <s v="ROTHFOS NY"/>
    <n v="3787647"/>
    <n v="4"/>
    <s v="P101824-3"/>
    <n v="90726"/>
    <x v="1"/>
    <x v="1"/>
    <n v="2526"/>
    <s v="Short"/>
    <n v="320"/>
    <n v="-320"/>
    <n v="19200"/>
    <n v="0"/>
    <n v="0"/>
    <n v="141269.76000000001"/>
    <n v="136573.44"/>
    <n v="4696.32"/>
    <n v="0"/>
    <m/>
    <m/>
    <m/>
    <m/>
    <m/>
    <m/>
    <m/>
    <m/>
    <m/>
    <m/>
    <m/>
    <n v="0"/>
    <n v="0"/>
    <n v="0"/>
    <m/>
    <n v="0"/>
    <n v="0"/>
    <n v="0"/>
    <n v="0"/>
    <n v="0"/>
    <m/>
    <n v="0"/>
    <n v="0"/>
    <n v="0"/>
    <n v="0"/>
    <n v="0"/>
    <n v="0"/>
  </r>
  <r>
    <s v="CC"/>
    <s v="D"/>
    <n v="1019700"/>
    <s v="ROTHFOS NY"/>
    <n v="3787648"/>
    <n v="4"/>
    <s v="P101824-2"/>
    <n v="90726"/>
    <x v="1"/>
    <x v="1"/>
    <n v="2526"/>
    <s v="Short"/>
    <n v="320"/>
    <n v="-320"/>
    <n v="19200"/>
    <n v="0"/>
    <n v="0"/>
    <n v="141269.76000000001"/>
    <n v="136573.44"/>
    <n v="4696.32"/>
    <n v="0"/>
    <m/>
    <m/>
    <m/>
    <m/>
    <m/>
    <m/>
    <m/>
    <m/>
    <m/>
    <m/>
    <m/>
    <n v="0"/>
    <n v="0"/>
    <n v="0"/>
    <m/>
    <n v="0"/>
    <n v="0"/>
    <n v="0"/>
    <n v="0"/>
    <n v="0"/>
    <m/>
    <n v="0"/>
    <n v="0"/>
    <n v="0"/>
    <n v="0"/>
    <n v="0"/>
    <n v="0"/>
  </r>
  <r>
    <s v="CC"/>
    <s v="D"/>
    <n v="1019700"/>
    <s v="ROTHFOS NY"/>
    <n v="3787649"/>
    <n v="4"/>
    <s v="P101824-1"/>
    <n v="90726"/>
    <x v="1"/>
    <x v="1"/>
    <n v="2526"/>
    <s v="Short"/>
    <n v="320"/>
    <n v="-320"/>
    <n v="19200"/>
    <n v="0"/>
    <n v="0"/>
    <n v="141269.76000000001"/>
    <n v="136573.44"/>
    <n v="4696.32"/>
    <n v="0"/>
    <m/>
    <m/>
    <m/>
    <m/>
    <m/>
    <m/>
    <m/>
    <m/>
    <m/>
    <m/>
    <m/>
    <n v="0"/>
    <n v="0"/>
    <n v="0"/>
    <m/>
    <n v="0"/>
    <n v="0"/>
    <n v="0"/>
    <n v="0"/>
    <n v="0"/>
    <m/>
    <n v="0"/>
    <n v="0"/>
    <n v="0"/>
    <n v="0"/>
    <n v="0"/>
    <n v="0"/>
  </r>
  <r>
    <s v="CC"/>
    <s v="D"/>
    <n v="1019700"/>
    <s v="ROTHFOS NY"/>
    <n v="3787650"/>
    <n v="4"/>
    <s v="P101825-2"/>
    <n v="90726"/>
    <x v="1"/>
    <x v="1"/>
    <n v="2526"/>
    <s v="Short"/>
    <n v="320"/>
    <n v="-320"/>
    <n v="19200"/>
    <n v="0"/>
    <n v="0"/>
    <n v="141269.76000000001"/>
    <n v="136573.44"/>
    <n v="4696.32"/>
    <n v="0"/>
    <m/>
    <m/>
    <m/>
    <m/>
    <m/>
    <m/>
    <m/>
    <m/>
    <m/>
    <m/>
    <m/>
    <n v="0"/>
    <n v="0"/>
    <n v="0"/>
    <m/>
    <n v="0"/>
    <n v="0"/>
    <n v="0"/>
    <n v="0"/>
    <n v="0"/>
    <m/>
    <n v="0"/>
    <n v="0"/>
    <n v="0"/>
    <n v="0"/>
    <n v="0"/>
    <n v="0"/>
  </r>
  <r>
    <s v="CC"/>
    <s v="D"/>
    <n v="1019700"/>
    <s v="ROTHFOS NY"/>
    <n v="3787651"/>
    <n v="4"/>
    <s v="P101825-1"/>
    <n v="90726"/>
    <x v="1"/>
    <x v="1"/>
    <n v="2526"/>
    <s v="Short"/>
    <n v="320"/>
    <n v="-320"/>
    <n v="19200"/>
    <n v="0"/>
    <n v="0"/>
    <n v="141269.76000000001"/>
    <n v="136573.44"/>
    <n v="4696.32"/>
    <n v="0"/>
    <m/>
    <m/>
    <m/>
    <m/>
    <m/>
    <m/>
    <m/>
    <m/>
    <m/>
    <m/>
    <m/>
    <n v="0"/>
    <n v="0"/>
    <n v="0"/>
    <m/>
    <n v="0"/>
    <n v="0"/>
    <n v="0"/>
    <n v="0"/>
    <n v="0"/>
    <m/>
    <n v="0"/>
    <n v="0"/>
    <n v="0"/>
    <n v="0"/>
    <n v="0"/>
    <n v="0"/>
  </r>
  <r>
    <s v="CC"/>
    <s v="D"/>
    <n v="1019700"/>
    <s v="ROTHFOS NY"/>
    <n v="3787685"/>
    <n v="4"/>
    <s v="P102039"/>
    <n v="250826"/>
    <x v="2"/>
    <x v="11"/>
    <n v="2526"/>
    <s v="Short"/>
    <n v="320"/>
    <n v="-320"/>
    <n v="19200"/>
    <n v="0"/>
    <n v="0"/>
    <n v="138835.20000000001"/>
    <n v="141653.76000000001"/>
    <n v="0"/>
    <n v="-2818.56"/>
    <m/>
    <m/>
    <m/>
    <m/>
    <m/>
    <m/>
    <m/>
    <m/>
    <m/>
    <m/>
    <m/>
    <n v="0"/>
    <n v="0"/>
    <n v="0"/>
    <m/>
    <n v="0"/>
    <n v="0"/>
    <n v="0"/>
    <n v="0"/>
    <n v="0"/>
    <m/>
    <n v="0"/>
    <n v="0"/>
    <n v="0"/>
    <n v="0"/>
    <n v="0"/>
    <n v="0"/>
  </r>
  <r>
    <s v="CC"/>
    <s v="D"/>
    <n v="1027228"/>
    <s v="BRIC-EA"/>
    <n v="3787653"/>
    <n v="4"/>
    <s v="EA-90922"/>
    <n v="100726"/>
    <x v="0"/>
    <x v="12"/>
    <n v="2526"/>
    <s v="Short"/>
    <n v="640"/>
    <n v="-640"/>
    <n v="38400"/>
    <n v="0"/>
    <n v="0"/>
    <n v="306800.64000000001"/>
    <n v="270489.59999999998"/>
    <n v="36311.040000000001"/>
    <n v="0"/>
    <m/>
    <m/>
    <m/>
    <m/>
    <m/>
    <m/>
    <m/>
    <m/>
    <m/>
    <m/>
    <m/>
    <n v="0"/>
    <n v="0"/>
    <n v="0"/>
    <m/>
    <n v="0"/>
    <n v="0"/>
    <n v="0"/>
    <n v="0"/>
    <n v="0"/>
    <m/>
    <n v="0"/>
    <n v="0"/>
    <n v="0"/>
    <n v="0"/>
    <n v="0"/>
    <n v="0"/>
  </r>
  <r>
    <s v="CC"/>
    <s v="D"/>
    <n v="1027228"/>
    <s v="BRIC-EA"/>
    <n v="3787654"/>
    <n v="4"/>
    <s v="EA-90923"/>
    <n v="100726"/>
    <x v="0"/>
    <x v="12"/>
    <n v="2526"/>
    <s v="Short"/>
    <n v="640"/>
    <n v="-640"/>
    <n v="38400"/>
    <n v="0"/>
    <n v="0"/>
    <n v="293806.08000000002"/>
    <n v="270489.59999999998"/>
    <n v="23316.48"/>
    <n v="0"/>
    <m/>
    <m/>
    <m/>
    <m/>
    <m/>
    <m/>
    <m/>
    <m/>
    <m/>
    <m/>
    <m/>
    <n v="0"/>
    <n v="0"/>
    <n v="0"/>
    <m/>
    <n v="0"/>
    <n v="0"/>
    <n v="0"/>
    <n v="0"/>
    <n v="0"/>
    <m/>
    <n v="0"/>
    <n v="0"/>
    <n v="0"/>
    <n v="0"/>
    <n v="0"/>
    <n v="0"/>
  </r>
  <r>
    <s v="CC"/>
    <s v="D"/>
    <n v="1027228"/>
    <s v="BRIC-EA"/>
    <n v="3787667"/>
    <n v="4"/>
    <s v="EA-90946"/>
    <n v="290726"/>
    <x v="0"/>
    <x v="12"/>
    <n v="2526"/>
    <s v="Short"/>
    <n v="640"/>
    <n v="-640"/>
    <n v="38400"/>
    <n v="0"/>
    <n v="0"/>
    <n v="277248"/>
    <n v="270489.59999999998"/>
    <n v="6758.4"/>
    <n v="0"/>
    <m/>
    <m/>
    <m/>
    <m/>
    <m/>
    <m/>
    <m/>
    <m/>
    <m/>
    <m/>
    <m/>
    <n v="0"/>
    <n v="0"/>
    <n v="0"/>
    <m/>
    <n v="0"/>
    <n v="0"/>
    <n v="0"/>
    <n v="0"/>
    <n v="0"/>
    <m/>
    <n v="0"/>
    <n v="0"/>
    <n v="0"/>
    <n v="0"/>
    <n v="0"/>
    <n v="0"/>
  </r>
  <r>
    <s v="CC"/>
    <s v="D"/>
    <n v="1083600"/>
    <s v="BENNETT"/>
    <n v="3787682"/>
    <n v="4"/>
    <s v="10013160"/>
    <n v="210826"/>
    <x v="2"/>
    <x v="3"/>
    <n v="2526"/>
    <s v="Short"/>
    <n v="320"/>
    <n v="-320"/>
    <n v="19200"/>
    <n v="0"/>
    <n v="0"/>
    <n v="162370.56"/>
    <n v="143769.60000000001"/>
    <n v="18600.96"/>
    <n v="0"/>
    <m/>
    <m/>
    <m/>
    <m/>
    <m/>
    <m/>
    <m/>
    <m/>
    <m/>
    <m/>
    <m/>
    <n v="0"/>
    <n v="0"/>
    <n v="0"/>
    <m/>
    <n v="0"/>
    <n v="0"/>
    <n v="0"/>
    <n v="0"/>
    <n v="0"/>
    <m/>
    <n v="0"/>
    <n v="0"/>
    <n v="0"/>
    <n v="0"/>
    <n v="0"/>
    <n v="0"/>
  </r>
  <r>
    <s v="CC"/>
    <s v="D"/>
    <n v="1089500"/>
    <s v="BLASER"/>
    <n v="3787706"/>
    <n v="4"/>
    <m/>
    <n v="170926"/>
    <x v="2"/>
    <x v="5"/>
    <n v="2627"/>
    <s v="Short"/>
    <n v="320"/>
    <n v="-320"/>
    <n v="19200"/>
    <n v="0"/>
    <n v="0"/>
    <n v="159154.72"/>
    <n v="145885.44"/>
    <n v="13269.28"/>
    <n v="0"/>
    <m/>
    <m/>
    <m/>
    <m/>
    <m/>
    <m/>
    <m/>
    <m/>
    <m/>
    <m/>
    <m/>
    <n v="0"/>
    <n v="0"/>
    <n v="0"/>
    <m/>
    <n v="0"/>
    <n v="0"/>
    <n v="0"/>
    <n v="0"/>
    <n v="0"/>
    <m/>
    <n v="0"/>
    <n v="0"/>
    <n v="0"/>
    <n v="0"/>
    <n v="0"/>
    <n v="0"/>
  </r>
  <r>
    <s v="CC"/>
    <s v="D"/>
    <n v="1173800"/>
    <s v="ORIENT"/>
    <n v="3787622"/>
    <n v="4"/>
    <m/>
    <n v="80626"/>
    <x v="2"/>
    <x v="11"/>
    <n v="2526"/>
    <s v="Short"/>
    <n v="1920"/>
    <n v="-1920"/>
    <n v="115200"/>
    <n v="0"/>
    <n v="0"/>
    <n v="706037.76000000001"/>
    <n v="849922.56000000006"/>
    <n v="0"/>
    <n v="-143884.79999999999"/>
    <m/>
    <m/>
    <m/>
    <m/>
    <m/>
    <m/>
    <m/>
    <m/>
    <m/>
    <m/>
    <m/>
    <n v="0"/>
    <n v="0"/>
    <n v="0"/>
    <m/>
    <n v="0"/>
    <n v="0"/>
    <n v="0"/>
    <n v="0"/>
    <n v="0"/>
    <m/>
    <n v="0"/>
    <n v="0"/>
    <n v="0"/>
    <n v="0"/>
    <n v="0"/>
    <n v="0"/>
  </r>
  <r>
    <s v="CC"/>
    <s v="D"/>
    <n v="1173800"/>
    <s v="ORIENT"/>
    <n v="3787623"/>
    <n v="4"/>
    <m/>
    <n v="80626"/>
    <x v="2"/>
    <x v="11"/>
    <n v="2526"/>
    <s v="Short"/>
    <n v="1920"/>
    <n v="-1920"/>
    <n v="115200"/>
    <n v="0"/>
    <n v="0"/>
    <n v="860958.71999999997"/>
    <n v="849922.56000000006"/>
    <n v="11036.16"/>
    <n v="0"/>
    <m/>
    <m/>
    <m/>
    <m/>
    <m/>
    <m/>
    <m/>
    <m/>
    <m/>
    <m/>
    <m/>
    <n v="0"/>
    <n v="0"/>
    <n v="0"/>
    <m/>
    <n v="0"/>
    <n v="0"/>
    <n v="0"/>
    <n v="0"/>
    <n v="0"/>
    <m/>
    <n v="0"/>
    <n v="0"/>
    <n v="0"/>
    <n v="0"/>
    <n v="0"/>
    <n v="0"/>
  </r>
  <r>
    <s v="CC"/>
    <s v="D"/>
    <n v="1173800"/>
    <s v="ORIENT"/>
    <n v="3787624"/>
    <n v="4"/>
    <m/>
    <n v="80626"/>
    <x v="2"/>
    <x v="11"/>
    <n v="2627"/>
    <s v="Short"/>
    <n v="1920"/>
    <n v="-1920"/>
    <n v="115200"/>
    <n v="0"/>
    <n v="0"/>
    <n v="834808.31999999995"/>
    <n v="849922.56000000006"/>
    <n v="0"/>
    <n v="-15114.24"/>
    <m/>
    <m/>
    <m/>
    <m/>
    <m/>
    <m/>
    <m/>
    <m/>
    <m/>
    <m/>
    <m/>
    <n v="0"/>
    <n v="0"/>
    <n v="0"/>
    <m/>
    <n v="0"/>
    <n v="0"/>
    <n v="0"/>
    <n v="0"/>
    <n v="0"/>
    <m/>
    <n v="0"/>
    <n v="0"/>
    <n v="0"/>
    <n v="0"/>
    <n v="0"/>
    <n v="0"/>
  </r>
  <r>
    <s v="CC"/>
    <s v="D"/>
    <n v="1173800"/>
    <s v="ORIENT"/>
    <n v="3787625"/>
    <n v="4"/>
    <m/>
    <n v="80626"/>
    <x v="2"/>
    <x v="11"/>
    <n v="2627"/>
    <s v="Short"/>
    <n v="1920"/>
    <n v="-1920"/>
    <n v="115200"/>
    <n v="0"/>
    <n v="0"/>
    <n v="834808.31999999995"/>
    <n v="849922.56000000006"/>
    <n v="0"/>
    <n v="-15114.24"/>
    <m/>
    <m/>
    <m/>
    <m/>
    <m/>
    <m/>
    <m/>
    <m/>
    <m/>
    <m/>
    <m/>
    <n v="0"/>
    <n v="0"/>
    <n v="0"/>
    <m/>
    <n v="0"/>
    <n v="0"/>
    <n v="0"/>
    <n v="0"/>
    <n v="0"/>
    <m/>
    <n v="0"/>
    <n v="0"/>
    <n v="0"/>
    <n v="0"/>
    <n v="0"/>
    <n v="0"/>
  </r>
  <r>
    <s v="CC"/>
    <s v="D"/>
    <n v="1173800"/>
    <s v="ORIENT"/>
    <n v="3787626"/>
    <n v="4"/>
    <m/>
    <n v="80626"/>
    <x v="2"/>
    <x v="11"/>
    <n v="2627"/>
    <s v="Short"/>
    <n v="1920"/>
    <n v="-1920"/>
    <n v="115200"/>
    <n v="0"/>
    <n v="0"/>
    <n v="814371.83999999997"/>
    <n v="849922.56000000006"/>
    <n v="0"/>
    <n v="-35550.720000000001"/>
    <m/>
    <m/>
    <m/>
    <m/>
    <m/>
    <m/>
    <m/>
    <m/>
    <m/>
    <m/>
    <m/>
    <n v="0"/>
    <n v="0"/>
    <n v="0"/>
    <m/>
    <n v="0"/>
    <n v="0"/>
    <n v="0"/>
    <n v="0"/>
    <n v="0"/>
    <m/>
    <n v="0"/>
    <n v="0"/>
    <n v="0"/>
    <n v="0"/>
    <n v="0"/>
    <n v="0"/>
  </r>
  <r>
    <s v="CC"/>
    <s v="D"/>
    <n v="1173800"/>
    <s v="ORIENT"/>
    <n v="3787627"/>
    <n v="4"/>
    <m/>
    <n v="80626"/>
    <x v="2"/>
    <x v="11"/>
    <n v="2627"/>
    <s v="Short"/>
    <n v="1600"/>
    <n v="-1600"/>
    <n v="96000"/>
    <n v="0"/>
    <n v="0"/>
    <n v="678643.19999999995"/>
    <n v="708268.8"/>
    <n v="0"/>
    <n v="-29625.599999999999"/>
    <m/>
    <m/>
    <m/>
    <m/>
    <m/>
    <m/>
    <m/>
    <m/>
    <m/>
    <m/>
    <m/>
    <n v="0"/>
    <n v="0"/>
    <n v="0"/>
    <m/>
    <n v="0"/>
    <n v="0"/>
    <n v="0"/>
    <n v="0"/>
    <n v="0"/>
    <m/>
    <n v="0"/>
    <n v="0"/>
    <n v="0"/>
    <n v="0"/>
    <n v="0"/>
    <n v="0"/>
  </r>
  <r>
    <s v="CC"/>
    <s v="D"/>
    <n v="1198700"/>
    <s v="DIAMOND"/>
    <n v="90523"/>
    <n v="1"/>
    <m/>
    <n v="240426"/>
    <x v="2"/>
    <x v="13"/>
    <n v="2526"/>
    <s v="Inventory"/>
    <n v="0.9976666666666667"/>
    <n v="0.9976666666666667"/>
    <n v="59.86"/>
    <n v="0"/>
    <n v="0"/>
    <n v="434.94"/>
    <n v="435.04"/>
    <n v="0.1"/>
    <n v="0"/>
    <m/>
    <m/>
    <m/>
    <m/>
    <m/>
    <m/>
    <m/>
    <m/>
    <m/>
    <m/>
    <m/>
    <n v="0"/>
    <n v="0"/>
    <n v="0"/>
    <m/>
    <n v="0"/>
    <n v="0"/>
    <n v="0"/>
    <n v="0"/>
    <n v="0"/>
    <m/>
    <n v="0"/>
    <n v="0"/>
    <n v="0"/>
    <n v="0"/>
    <n v="0"/>
    <n v="0"/>
  </r>
  <r>
    <s v="CC"/>
    <s v="D"/>
    <n v="1208300"/>
    <s v="RICH-COOP"/>
    <n v="3787601"/>
    <n v="4"/>
    <m/>
    <n v="140526"/>
    <x v="2"/>
    <x v="5"/>
    <n v="2526"/>
    <s v="Short"/>
    <n v="320"/>
    <n v="-320"/>
    <n v="19200"/>
    <n v="0"/>
    <n v="0"/>
    <n v="152381.95000000001"/>
    <n v="145885.44"/>
    <n v="6496.51"/>
    <n v="0"/>
    <m/>
    <m/>
    <m/>
    <m/>
    <m/>
    <m/>
    <m/>
    <m/>
    <m/>
    <m/>
    <m/>
    <n v="0"/>
    <n v="0"/>
    <n v="0"/>
    <m/>
    <n v="0"/>
    <n v="0"/>
    <n v="0"/>
    <n v="0"/>
    <n v="0"/>
    <m/>
    <n v="0"/>
    <n v="0"/>
    <n v="0"/>
    <n v="0"/>
    <n v="0"/>
    <n v="0"/>
  </r>
  <r>
    <s v="CC"/>
    <s v="D"/>
    <n v="1368000"/>
    <s v="INTERN.COF"/>
    <n v="3787699"/>
    <n v="4"/>
    <s v="37751"/>
    <n v="110926"/>
    <x v="2"/>
    <x v="14"/>
    <n v="2526"/>
    <s v="Short"/>
    <n v="640"/>
    <n v="-640"/>
    <n v="38400"/>
    <n v="0"/>
    <n v="0"/>
    <n v="192168.95999999999"/>
    <n v="211345.92000000001"/>
    <n v="0"/>
    <n v="-19176.96"/>
    <m/>
    <m/>
    <m/>
    <m/>
    <m/>
    <m/>
    <m/>
    <m/>
    <m/>
    <m/>
    <m/>
    <n v="0"/>
    <n v="0"/>
    <n v="0"/>
    <m/>
    <n v="0"/>
    <n v="0"/>
    <n v="0"/>
    <n v="0"/>
    <n v="0"/>
    <m/>
    <n v="0"/>
    <n v="0"/>
    <n v="0"/>
    <n v="0"/>
    <n v="0"/>
    <n v="0"/>
  </r>
  <r>
    <s v="CC"/>
    <s v="D"/>
    <n v="1377800"/>
    <s v="ISHIMITSU"/>
    <n v="3787693"/>
    <n v="4"/>
    <m/>
    <n v="20926"/>
    <x v="2"/>
    <x v="4"/>
    <n v="2526"/>
    <s v="Short"/>
    <n v="110"/>
    <n v="-110"/>
    <n v="6600"/>
    <n v="0"/>
    <n v="0"/>
    <n v="69841.73"/>
    <n v="48111.360000000001"/>
    <n v="21730.37"/>
    <n v="0"/>
    <m/>
    <m/>
    <m/>
    <m/>
    <m/>
    <m/>
    <m/>
    <m/>
    <m/>
    <m/>
    <m/>
    <n v="0"/>
    <n v="0"/>
    <n v="0"/>
    <m/>
    <n v="0"/>
    <n v="0"/>
    <n v="0"/>
    <n v="0"/>
    <n v="0"/>
    <m/>
    <n v="0"/>
    <n v="0"/>
    <n v="0"/>
    <n v="0"/>
    <n v="0"/>
    <n v="0"/>
  </r>
  <r>
    <s v="CC"/>
    <s v="D"/>
    <n v="1377800"/>
    <s v="ISHIMITSU"/>
    <n v="3787694"/>
    <n v="4"/>
    <m/>
    <n v="20926"/>
    <x v="2"/>
    <x v="4"/>
    <n v="2526"/>
    <s v="Short"/>
    <n v="190"/>
    <n v="-190"/>
    <n v="11400"/>
    <n v="0"/>
    <n v="0"/>
    <n v="120635.71"/>
    <n v="83101.440000000002"/>
    <n v="37534.269999999997"/>
    <n v="0"/>
    <m/>
    <m/>
    <m/>
    <m/>
    <m/>
    <m/>
    <m/>
    <m/>
    <m/>
    <m/>
    <m/>
    <n v="0"/>
    <n v="0"/>
    <n v="0"/>
    <m/>
    <n v="0"/>
    <n v="0"/>
    <n v="0"/>
    <n v="0"/>
    <n v="0"/>
    <m/>
    <n v="0"/>
    <n v="0"/>
    <n v="0"/>
    <n v="0"/>
    <n v="0"/>
    <n v="0"/>
  </r>
  <r>
    <s v="CC"/>
    <s v="D"/>
    <n v="1382600"/>
    <s v="JOBIN"/>
    <n v="3787611"/>
    <n v="4"/>
    <s v="JO-46783"/>
    <n v="20626"/>
    <x v="2"/>
    <x v="14"/>
    <n v="2526"/>
    <s v="Short"/>
    <n v="320"/>
    <n v="-320"/>
    <n v="19200"/>
    <n v="0"/>
    <n v="0"/>
    <n v="105396.48"/>
    <n v="105672.96000000001"/>
    <n v="0"/>
    <n v="-276.48"/>
    <m/>
    <m/>
    <m/>
    <m/>
    <m/>
    <m/>
    <m/>
    <m/>
    <m/>
    <m/>
    <m/>
    <n v="0"/>
    <n v="0"/>
    <n v="0"/>
    <m/>
    <n v="0"/>
    <n v="0"/>
    <n v="0"/>
    <n v="0"/>
    <n v="0"/>
    <m/>
    <n v="0"/>
    <n v="0"/>
    <n v="0"/>
    <n v="0"/>
    <n v="0"/>
    <n v="0"/>
  </r>
  <r>
    <s v="CC"/>
    <s v="D"/>
    <n v="1382600"/>
    <s v="JOBIN"/>
    <n v="3787612"/>
    <n v="4"/>
    <s v="JO-46784"/>
    <n v="20626"/>
    <x v="2"/>
    <x v="14"/>
    <n v="2526"/>
    <s v="Short"/>
    <n v="320"/>
    <n v="-320"/>
    <n v="19200"/>
    <n v="0"/>
    <n v="0"/>
    <n v="106245.12"/>
    <n v="105672.96000000001"/>
    <n v="572.16"/>
    <n v="0"/>
    <m/>
    <m/>
    <m/>
    <m/>
    <m/>
    <m/>
    <m/>
    <m/>
    <m/>
    <m/>
    <m/>
    <n v="0"/>
    <n v="0"/>
    <n v="0"/>
    <m/>
    <n v="0"/>
    <n v="0"/>
    <n v="0"/>
    <n v="0"/>
    <n v="0"/>
    <m/>
    <n v="0"/>
    <n v="0"/>
    <n v="0"/>
    <n v="0"/>
    <n v="0"/>
    <n v="0"/>
  </r>
  <r>
    <s v="CC"/>
    <s v="D"/>
    <n v="1382600"/>
    <s v="JOBIN"/>
    <n v="3787613"/>
    <n v="4"/>
    <s v="JO-46785"/>
    <n v="20626"/>
    <x v="2"/>
    <x v="14"/>
    <n v="2526"/>
    <s v="Short"/>
    <n v="320"/>
    <n v="-320"/>
    <n v="19200"/>
    <n v="0"/>
    <n v="0"/>
    <n v="101018.88"/>
    <n v="105672.96000000001"/>
    <n v="0"/>
    <n v="-4654.08"/>
    <m/>
    <m/>
    <m/>
    <m/>
    <m/>
    <m/>
    <m/>
    <m/>
    <m/>
    <m/>
    <m/>
    <n v="0"/>
    <n v="0"/>
    <n v="0"/>
    <m/>
    <n v="0"/>
    <n v="0"/>
    <n v="0"/>
    <n v="0"/>
    <n v="0"/>
    <m/>
    <n v="0"/>
    <n v="0"/>
    <n v="0"/>
    <n v="0"/>
    <n v="0"/>
    <n v="0"/>
  </r>
  <r>
    <s v="CC"/>
    <s v="D"/>
    <n v="1395400"/>
    <s v="KARUNGURU"/>
    <n v="90534"/>
    <n v="1"/>
    <m/>
    <n v="120626"/>
    <x v="2"/>
    <x v="13"/>
    <n v="2526"/>
    <s v="Inventory"/>
    <n v="9"/>
    <n v="9"/>
    <n v="540"/>
    <n v="0"/>
    <n v="0"/>
    <n v="3027.12"/>
    <n v="3972.89"/>
    <n v="945.77"/>
    <n v="0"/>
    <m/>
    <m/>
    <m/>
    <m/>
    <m/>
    <m/>
    <s v="7"/>
    <m/>
    <m/>
    <m/>
    <m/>
    <n v="0"/>
    <n v="0"/>
    <n v="0"/>
    <m/>
    <n v="0"/>
    <n v="0"/>
    <n v="0"/>
    <n v="0"/>
    <n v="0"/>
    <m/>
    <n v="0"/>
    <n v="0"/>
    <n v="0"/>
    <n v="0"/>
    <n v="0"/>
    <n v="0"/>
  </r>
  <r>
    <s v="CC"/>
    <s v="D"/>
    <n v="1395400"/>
    <s v="KARUNGURU"/>
    <n v="90535"/>
    <n v="1"/>
    <m/>
    <n v="120626"/>
    <x v="2"/>
    <x v="15"/>
    <n v="2526"/>
    <s v="Inventory"/>
    <n v="0.9956666666666667"/>
    <n v="0.9956666666666667"/>
    <n v="59.74"/>
    <n v="0"/>
    <n v="0"/>
    <n v="179.34"/>
    <n v="344.69"/>
    <n v="165.35"/>
    <n v="0"/>
    <m/>
    <m/>
    <m/>
    <m/>
    <m/>
    <m/>
    <s v="7"/>
    <m/>
    <m/>
    <m/>
    <m/>
    <n v="0"/>
    <n v="0"/>
    <n v="0"/>
    <m/>
    <n v="0"/>
    <n v="0"/>
    <n v="0"/>
    <n v="0"/>
    <n v="0"/>
    <m/>
    <n v="0"/>
    <n v="0"/>
    <n v="0"/>
    <n v="0"/>
    <n v="0"/>
    <n v="0"/>
  </r>
  <r>
    <s v="CC"/>
    <s v="D"/>
    <n v="1395400"/>
    <s v="KARUNGURU"/>
    <n v="90557"/>
    <n v="1"/>
    <m/>
    <n v="60726"/>
    <x v="2"/>
    <x v="13"/>
    <n v="2526"/>
    <s v="Inventory"/>
    <n v="37.046666666666667"/>
    <n v="37.046666666666667"/>
    <n v="2222.8000000000002"/>
    <n v="0"/>
    <n v="0"/>
    <n v="14870.53"/>
    <n v="16154.42"/>
    <n v="1283.8900000000001"/>
    <n v="0"/>
    <m/>
    <m/>
    <m/>
    <m/>
    <m/>
    <m/>
    <m/>
    <m/>
    <m/>
    <m/>
    <m/>
    <n v="0"/>
    <n v="0"/>
    <n v="0"/>
    <m/>
    <n v="0"/>
    <n v="0"/>
    <n v="0"/>
    <n v="0"/>
    <n v="0"/>
    <m/>
    <n v="0"/>
    <n v="0"/>
    <n v="0"/>
    <n v="0"/>
    <n v="0"/>
    <n v="0"/>
  </r>
  <r>
    <s v="CC"/>
    <s v="D"/>
    <n v="1395400"/>
    <s v="KARUNGURU"/>
    <n v="90558"/>
    <n v="1"/>
    <m/>
    <n v="60726"/>
    <x v="2"/>
    <x v="15"/>
    <n v="2526"/>
    <s v="Inventory"/>
    <n v="12.466666666666667"/>
    <n v="12.466666666666667"/>
    <n v="748"/>
    <n v="0"/>
    <n v="0"/>
    <n v="3717.56"/>
    <n v="4248.79"/>
    <n v="531.23"/>
    <n v="0"/>
    <m/>
    <m/>
    <m/>
    <m/>
    <m/>
    <m/>
    <m/>
    <m/>
    <m/>
    <m/>
    <m/>
    <n v="0"/>
    <n v="0"/>
    <n v="0"/>
    <m/>
    <n v="0"/>
    <n v="0"/>
    <n v="0"/>
    <n v="0"/>
    <n v="0"/>
    <m/>
    <n v="0"/>
    <n v="0"/>
    <n v="0"/>
    <n v="0"/>
    <n v="0"/>
    <n v="0"/>
  </r>
  <r>
    <s v="CC"/>
    <s v="D"/>
    <n v="1649000"/>
    <s v="ROYAL"/>
    <n v="3787679"/>
    <n v="4"/>
    <s v="41751"/>
    <n v="100826"/>
    <x v="2"/>
    <x v="5"/>
    <n v="2526"/>
    <s v="Short"/>
    <n v="320"/>
    <n v="-320"/>
    <n v="19200"/>
    <n v="0"/>
    <n v="0"/>
    <n v="160001.28"/>
    <n v="145885.44"/>
    <n v="14115.84"/>
    <n v="0"/>
    <m/>
    <m/>
    <m/>
    <m/>
    <m/>
    <m/>
    <m/>
    <m/>
    <m/>
    <m/>
    <m/>
    <n v="0"/>
    <n v="0"/>
    <n v="0"/>
    <m/>
    <n v="0"/>
    <n v="0"/>
    <n v="0"/>
    <n v="0"/>
    <n v="0"/>
    <m/>
    <n v="0"/>
    <n v="0"/>
    <n v="0"/>
    <n v="0"/>
    <n v="0"/>
    <n v="0"/>
  </r>
  <r>
    <s v="CC"/>
    <s v="D"/>
    <n v="1649000"/>
    <s v="ROYAL"/>
    <n v="3787683"/>
    <n v="4"/>
    <s v="41870"/>
    <n v="210826"/>
    <x v="2"/>
    <x v="5"/>
    <n v="2526"/>
    <s v="Short"/>
    <n v="320"/>
    <n v="-320"/>
    <n v="19200"/>
    <n v="0"/>
    <n v="0"/>
    <n v="160423.67999999999"/>
    <n v="145885.44"/>
    <n v="14538.24"/>
    <n v="0"/>
    <m/>
    <m/>
    <m/>
    <m/>
    <m/>
    <m/>
    <m/>
    <m/>
    <m/>
    <m/>
    <m/>
    <n v="0"/>
    <n v="0"/>
    <n v="0"/>
    <m/>
    <n v="0"/>
    <n v="0"/>
    <n v="0"/>
    <n v="0"/>
    <n v="0"/>
    <m/>
    <n v="0"/>
    <n v="0"/>
    <n v="0"/>
    <n v="0"/>
    <n v="0"/>
    <n v="0"/>
  </r>
  <r>
    <s v="CC"/>
    <s v="D"/>
    <n v="1649000"/>
    <s v="ROYAL"/>
    <n v="3787684"/>
    <n v="4"/>
    <s v="41871"/>
    <n v="210826"/>
    <x v="2"/>
    <x v="3"/>
    <n v="2526"/>
    <s v="Short"/>
    <n v="320"/>
    <n v="-320"/>
    <n v="19200"/>
    <n v="0"/>
    <n v="0"/>
    <n v="148147.20000000001"/>
    <n v="143769.60000000001"/>
    <n v="4377.6000000000004"/>
    <n v="0"/>
    <m/>
    <m/>
    <m/>
    <m/>
    <m/>
    <m/>
    <m/>
    <m/>
    <m/>
    <m/>
    <m/>
    <n v="0"/>
    <n v="0"/>
    <n v="0"/>
    <m/>
    <n v="0"/>
    <n v="0"/>
    <n v="0"/>
    <n v="0"/>
    <n v="0"/>
    <m/>
    <n v="0"/>
    <n v="0"/>
    <n v="0"/>
    <n v="0"/>
    <n v="0"/>
    <n v="0"/>
  </r>
  <r>
    <s v="CC"/>
    <s v="D"/>
    <n v="1677600"/>
    <s v="SERENGETI"/>
    <n v="3787311"/>
    <n v="4"/>
    <m/>
    <n v="180226"/>
    <x v="2"/>
    <x v="11"/>
    <n v="2526"/>
    <s v="Short"/>
    <n v="1280"/>
    <n v="-1280"/>
    <n v="76800"/>
    <n v="0"/>
    <n v="0"/>
    <n v="568903.68000000005"/>
    <n v="566615.04000000004"/>
    <n v="2288.64"/>
    <n v="0"/>
    <m/>
    <m/>
    <m/>
    <m/>
    <m/>
    <m/>
    <m/>
    <m/>
    <m/>
    <m/>
    <m/>
    <n v="0"/>
    <n v="0"/>
    <n v="0"/>
    <m/>
    <n v="0"/>
    <n v="0"/>
    <n v="0"/>
    <n v="0"/>
    <n v="0"/>
    <m/>
    <n v="0"/>
    <n v="0"/>
    <n v="0"/>
    <n v="0"/>
    <n v="0"/>
    <n v="0"/>
  </r>
  <r>
    <s v="CC"/>
    <s v="D"/>
    <n v="1677600"/>
    <s v="SERENGETI"/>
    <n v="3787312"/>
    <n v="4"/>
    <m/>
    <n v="180226"/>
    <x v="2"/>
    <x v="11"/>
    <n v="2526"/>
    <s v="Short"/>
    <n v="1280"/>
    <n v="-1280"/>
    <n v="76800"/>
    <n v="0"/>
    <n v="0"/>
    <n v="568903.68000000005"/>
    <n v="566615.04000000004"/>
    <n v="2288.64"/>
    <n v="0"/>
    <m/>
    <m/>
    <m/>
    <m/>
    <m/>
    <m/>
    <m/>
    <m/>
    <m/>
    <m/>
    <m/>
    <n v="0"/>
    <n v="0"/>
    <n v="0"/>
    <m/>
    <n v="0"/>
    <n v="0"/>
    <n v="0"/>
    <n v="0"/>
    <n v="0"/>
    <m/>
    <n v="0"/>
    <n v="0"/>
    <n v="0"/>
    <n v="0"/>
    <n v="0"/>
    <n v="0"/>
  </r>
  <r>
    <s v="CC"/>
    <s v="D"/>
    <n v="1677600"/>
    <s v="SERENGETI"/>
    <n v="3787313"/>
    <n v="4"/>
    <m/>
    <n v="180226"/>
    <x v="2"/>
    <x v="11"/>
    <n v="2526"/>
    <s v="Short"/>
    <n v="1280"/>
    <n v="-1280"/>
    <n v="76800"/>
    <n v="0"/>
    <n v="0"/>
    <n v="533345.28000000003"/>
    <n v="566615.04000000004"/>
    <n v="0"/>
    <n v="-33269.760000000002"/>
    <m/>
    <m/>
    <m/>
    <m/>
    <m/>
    <m/>
    <m/>
    <m/>
    <m/>
    <m/>
    <m/>
    <n v="0"/>
    <n v="0"/>
    <n v="0"/>
    <m/>
    <n v="0"/>
    <n v="0"/>
    <n v="0"/>
    <n v="0"/>
    <n v="0"/>
    <m/>
    <n v="0"/>
    <n v="0"/>
    <n v="0"/>
    <n v="0"/>
    <n v="0"/>
    <n v="0"/>
  </r>
  <r>
    <s v="CC"/>
    <s v="D"/>
    <n v="1677600"/>
    <s v="SERENGETI"/>
    <n v="3787314"/>
    <n v="4"/>
    <m/>
    <n v="180226"/>
    <x v="2"/>
    <x v="11"/>
    <n v="2526"/>
    <s v="Short"/>
    <n v="1280"/>
    <n v="-1280"/>
    <n v="76800"/>
    <n v="0"/>
    <n v="0"/>
    <n v="512440.32000000001"/>
    <n v="566615.04000000004"/>
    <n v="0"/>
    <n v="-54174.720000000001"/>
    <m/>
    <m/>
    <m/>
    <m/>
    <m/>
    <m/>
    <m/>
    <m/>
    <m/>
    <m/>
    <m/>
    <n v="0"/>
    <n v="0"/>
    <n v="0"/>
    <m/>
    <n v="0"/>
    <n v="0"/>
    <n v="0"/>
    <n v="0"/>
    <n v="0"/>
    <m/>
    <n v="0"/>
    <n v="0"/>
    <n v="0"/>
    <n v="0"/>
    <n v="0"/>
    <n v="0"/>
  </r>
  <r>
    <s v="CC"/>
    <s v="D"/>
    <n v="1677600"/>
    <s v="SERENGETI"/>
    <n v="3787566"/>
    <n v="4"/>
    <m/>
    <n v="220426"/>
    <x v="2"/>
    <x v="11"/>
    <n v="2526"/>
    <s v="Short"/>
    <n v="320"/>
    <n v="-320"/>
    <n v="19200"/>
    <n v="0"/>
    <n v="0"/>
    <n v="145397.76000000001"/>
    <n v="141653.76000000001"/>
    <n v="3744"/>
    <n v="0"/>
    <m/>
    <m/>
    <m/>
    <m/>
    <m/>
    <m/>
    <m/>
    <m/>
    <m/>
    <m/>
    <m/>
    <n v="0"/>
    <n v="0"/>
    <n v="0"/>
    <m/>
    <n v="0"/>
    <n v="0"/>
    <n v="0"/>
    <n v="0"/>
    <n v="0"/>
    <m/>
    <n v="0"/>
    <n v="0"/>
    <n v="0"/>
    <n v="0"/>
    <n v="0"/>
    <n v="0"/>
  </r>
  <r>
    <s v="CC"/>
    <s v="D"/>
    <n v="1677600"/>
    <s v="SERENGETI"/>
    <n v="3787567"/>
    <n v="4"/>
    <m/>
    <n v="220426"/>
    <x v="2"/>
    <x v="11"/>
    <n v="2526"/>
    <s v="Short"/>
    <n v="320"/>
    <n v="-320"/>
    <n v="19200"/>
    <n v="0"/>
    <n v="0"/>
    <n v="145397.76000000001"/>
    <n v="141653.76000000001"/>
    <n v="3744"/>
    <n v="0"/>
    <m/>
    <m/>
    <m/>
    <m/>
    <m/>
    <m/>
    <m/>
    <m/>
    <m/>
    <m/>
    <m/>
    <n v="0"/>
    <n v="0"/>
    <n v="0"/>
    <m/>
    <n v="0"/>
    <n v="0"/>
    <n v="0"/>
    <n v="0"/>
    <n v="0"/>
    <m/>
    <n v="0"/>
    <n v="0"/>
    <n v="0"/>
    <n v="0"/>
    <n v="0"/>
    <n v="0"/>
  </r>
  <r>
    <s v="CC"/>
    <s v="D"/>
    <n v="1677600"/>
    <s v="SERENGETI"/>
    <n v="3787568"/>
    <n v="4"/>
    <s v="4910002335"/>
    <n v="220426"/>
    <x v="2"/>
    <x v="11"/>
    <n v="2526"/>
    <s v="Short"/>
    <n v="320"/>
    <n v="-320"/>
    <n v="19200"/>
    <n v="0"/>
    <n v="0"/>
    <n v="131281.92000000001"/>
    <n v="141653.76000000001"/>
    <n v="0"/>
    <n v="-10371.84"/>
    <m/>
    <m/>
    <m/>
    <m/>
    <m/>
    <m/>
    <m/>
    <m/>
    <m/>
    <m/>
    <m/>
    <n v="0"/>
    <n v="0"/>
    <n v="0"/>
    <m/>
    <n v="0"/>
    <n v="0"/>
    <n v="0"/>
    <n v="0"/>
    <n v="0"/>
    <m/>
    <n v="0"/>
    <n v="0"/>
    <n v="0"/>
    <n v="0"/>
    <n v="0"/>
    <n v="0"/>
  </r>
  <r>
    <s v="CC"/>
    <s v="K"/>
    <n v="1001700"/>
    <s v="BERO SING"/>
    <n v="3787039"/>
    <n v="4"/>
    <s v="I1-28306 "/>
    <n v="111225"/>
    <x v="2"/>
    <x v="3"/>
    <n v="2526"/>
    <s v="Short"/>
    <n v="320"/>
    <n v="-320"/>
    <n v="19200"/>
    <n v="0"/>
    <n v="0"/>
    <n v="143066.88"/>
    <n v="143769.60000000001"/>
    <n v="0"/>
    <n v="-702.72"/>
    <m/>
    <m/>
    <m/>
    <m/>
    <m/>
    <m/>
    <m/>
    <m/>
    <m/>
    <m/>
    <m/>
    <n v="0"/>
    <n v="0"/>
    <n v="0"/>
    <m/>
    <n v="0"/>
    <n v="0"/>
    <n v="0"/>
    <n v="0"/>
    <n v="0"/>
    <m/>
    <n v="0"/>
    <n v="0"/>
    <n v="0"/>
    <n v="0"/>
    <n v="0"/>
    <n v="0"/>
  </r>
  <r>
    <s v="CC"/>
    <s v="K"/>
    <n v="1001700"/>
    <s v="BERO SING"/>
    <n v="3787621"/>
    <n v="4"/>
    <s v="I1-28686"/>
    <n v="50626"/>
    <x v="2"/>
    <x v="3"/>
    <n v="2627"/>
    <s v="Short"/>
    <n v="320"/>
    <n v="-320"/>
    <n v="19200"/>
    <n v="0"/>
    <n v="0"/>
    <n v="152382.72"/>
    <n v="143769.60000000001"/>
    <n v="8613.1200000000008"/>
    <n v="0"/>
    <m/>
    <m/>
    <m/>
    <m/>
    <m/>
    <m/>
    <m/>
    <m/>
    <m/>
    <m/>
    <m/>
    <n v="0"/>
    <n v="0"/>
    <n v="0"/>
    <m/>
    <n v="0"/>
    <n v="0"/>
    <n v="0"/>
    <n v="0"/>
    <n v="0"/>
    <m/>
    <n v="0"/>
    <n v="0"/>
    <n v="0"/>
    <n v="0"/>
    <n v="0"/>
    <n v="0"/>
  </r>
  <r>
    <s v="CC"/>
    <s v="K"/>
    <n v="1001700"/>
    <s v="BERO SING"/>
    <n v="3787655"/>
    <n v="4"/>
    <s v="I1-28801"/>
    <n v="160726"/>
    <x v="1"/>
    <x v="1"/>
    <n v="2526"/>
    <s v="Short"/>
    <n v="3780"/>
    <n v="-3780"/>
    <n v="226800"/>
    <n v="0"/>
    <n v="0"/>
    <n v="1830003.84"/>
    <n v="1613273.76"/>
    <n v="216730.08"/>
    <n v="0"/>
    <m/>
    <m/>
    <m/>
    <m/>
    <m/>
    <m/>
    <m/>
    <m/>
    <m/>
    <m/>
    <m/>
    <n v="0"/>
    <n v="0"/>
    <n v="0"/>
    <m/>
    <n v="0"/>
    <n v="0"/>
    <n v="0"/>
    <n v="0"/>
    <n v="0"/>
    <m/>
    <n v="0"/>
    <n v="0"/>
    <n v="0"/>
    <n v="0"/>
    <n v="0"/>
    <n v="0"/>
  </r>
  <r>
    <s v="CC"/>
    <s v="K"/>
    <n v="1001700"/>
    <s v="BERO SING"/>
    <n v="3787671"/>
    <n v="4"/>
    <s v="I1-28817"/>
    <n v="40826"/>
    <x v="1"/>
    <x v="1"/>
    <n v="2526"/>
    <s v="Short"/>
    <n v="2880"/>
    <n v="-2880"/>
    <n v="172800"/>
    <n v="0"/>
    <n v="0"/>
    <n v="1379047.68"/>
    <n v="1229160.96"/>
    <n v="149886.72"/>
    <n v="0"/>
    <m/>
    <m/>
    <m/>
    <m/>
    <m/>
    <m/>
    <m/>
    <m/>
    <m/>
    <m/>
    <m/>
    <n v="0"/>
    <n v="0"/>
    <n v="0"/>
    <m/>
    <n v="0"/>
    <n v="0"/>
    <n v="0"/>
    <n v="0"/>
    <n v="0"/>
    <m/>
    <n v="0"/>
    <n v="0"/>
    <n v="0"/>
    <n v="0"/>
    <n v="0"/>
    <n v="0"/>
  </r>
  <r>
    <s v="CC"/>
    <s v="K"/>
    <n v="1001700"/>
    <s v="BERO SING"/>
    <n v="3787672"/>
    <n v="4"/>
    <s v="I1-28818"/>
    <n v="40826"/>
    <x v="1"/>
    <x v="16"/>
    <n v="2526"/>
    <s v="Short"/>
    <n v="1920"/>
    <n v="-1920"/>
    <n v="115200"/>
    <n v="0"/>
    <n v="0"/>
    <n v="863493.12"/>
    <n v="755942.40000000002"/>
    <n v="107550.72"/>
    <n v="0"/>
    <m/>
    <m/>
    <m/>
    <m/>
    <m/>
    <m/>
    <m/>
    <m/>
    <m/>
    <m/>
    <m/>
    <n v="0"/>
    <n v="0"/>
    <n v="0"/>
    <m/>
    <n v="0"/>
    <n v="0"/>
    <n v="0"/>
    <n v="0"/>
    <n v="0"/>
    <m/>
    <n v="0"/>
    <n v="0"/>
    <n v="0"/>
    <n v="0"/>
    <n v="0"/>
    <n v="0"/>
  </r>
  <r>
    <s v="CC"/>
    <s v="K"/>
    <n v="1001700"/>
    <s v="BERO SING"/>
    <n v="3787688"/>
    <n v="4"/>
    <s v="I1-28886"/>
    <n v="270826"/>
    <x v="2"/>
    <x v="6"/>
    <n v="2627"/>
    <s v="Short"/>
    <n v="320"/>
    <n v="-320"/>
    <n v="19200"/>
    <n v="0"/>
    <n v="0"/>
    <n v="141799.67999999999"/>
    <n v="136151.04000000001"/>
    <n v="5648.64"/>
    <n v="0"/>
    <m/>
    <m/>
    <m/>
    <m/>
    <m/>
    <m/>
    <m/>
    <m/>
    <m/>
    <m/>
    <m/>
    <n v="0"/>
    <n v="0"/>
    <n v="0"/>
    <m/>
    <n v="0"/>
    <n v="0"/>
    <n v="0"/>
    <n v="0"/>
    <n v="0"/>
    <m/>
    <n v="0"/>
    <n v="0"/>
    <n v="0"/>
    <n v="0"/>
    <n v="0"/>
    <n v="0"/>
  </r>
  <r>
    <s v="CC"/>
    <s v="K"/>
    <n v="1001700"/>
    <s v="BERO SING"/>
    <n v="3787695"/>
    <n v="4"/>
    <s v="I1-28904"/>
    <n v="30926"/>
    <x v="0"/>
    <x v="8"/>
    <n v="2526"/>
    <s v="Short"/>
    <n v="320"/>
    <n v="-320"/>
    <n v="19200"/>
    <n v="0"/>
    <n v="0"/>
    <n v="113018.88"/>
    <n v="109059.84"/>
    <n v="3959.04"/>
    <n v="0"/>
    <m/>
    <m/>
    <m/>
    <m/>
    <m/>
    <m/>
    <m/>
    <m/>
    <m/>
    <m/>
    <m/>
    <n v="0"/>
    <n v="0"/>
    <n v="0"/>
    <m/>
    <n v="0"/>
    <n v="0"/>
    <n v="0"/>
    <n v="0"/>
    <n v="0"/>
    <m/>
    <n v="0"/>
    <n v="0"/>
    <n v="0"/>
    <n v="0"/>
    <n v="0"/>
    <n v="0"/>
  </r>
  <r>
    <s v="CC"/>
    <s v="K"/>
    <n v="1001700"/>
    <s v="BERO SING"/>
    <n v="3787696"/>
    <n v="4"/>
    <s v="I1-28926"/>
    <n v="40926"/>
    <x v="0"/>
    <x v="8"/>
    <n v="2526"/>
    <s v="Short"/>
    <n v="3200"/>
    <n v="-3200"/>
    <n v="192000"/>
    <n v="0"/>
    <n v="0"/>
    <n v="1130188.8"/>
    <n v="1090598.3999999999"/>
    <n v="39590.400000000001"/>
    <n v="0"/>
    <m/>
    <m/>
    <m/>
    <m/>
    <m/>
    <m/>
    <m/>
    <m/>
    <m/>
    <m/>
    <m/>
    <n v="0"/>
    <n v="0"/>
    <n v="0"/>
    <m/>
    <n v="0"/>
    <n v="0"/>
    <n v="0"/>
    <n v="0"/>
    <n v="0"/>
    <m/>
    <n v="0"/>
    <n v="0"/>
    <n v="0"/>
    <n v="0"/>
    <n v="0"/>
    <n v="0"/>
  </r>
  <r>
    <s v="CC"/>
    <s v="K"/>
    <n v="1001700"/>
    <s v="BERO SING"/>
    <n v="3787698"/>
    <n v="4"/>
    <s v="I1-28976"/>
    <n v="110926"/>
    <x v="2"/>
    <x v="5"/>
    <n v="2627"/>
    <s v="Short"/>
    <n v="320"/>
    <n v="-320"/>
    <n v="19200"/>
    <n v="0"/>
    <n v="0"/>
    <n v="158603.51999999999"/>
    <n v="145885.44"/>
    <n v="12718.08"/>
    <n v="0"/>
    <m/>
    <m/>
    <m/>
    <m/>
    <m/>
    <m/>
    <m/>
    <m/>
    <m/>
    <m/>
    <m/>
    <n v="0"/>
    <n v="0"/>
    <n v="0"/>
    <m/>
    <n v="0"/>
    <n v="0"/>
    <n v="0"/>
    <n v="0"/>
    <n v="0"/>
    <m/>
    <n v="0"/>
    <n v="0"/>
    <n v="0"/>
    <n v="0"/>
    <n v="0"/>
    <n v="0"/>
  </r>
  <r>
    <s v="CC"/>
    <s v="K"/>
    <n v="1001700"/>
    <s v="BERO SING"/>
    <n v="3787704"/>
    <n v="4"/>
    <s v="I1-28927"/>
    <n v="140926"/>
    <x v="0"/>
    <x v="8"/>
    <n v="2526"/>
    <s v="Short"/>
    <n v="1280"/>
    <n v="-1280"/>
    <n v="76800"/>
    <n v="0"/>
    <n v="0"/>
    <n v="452075.52000000002"/>
    <n v="436239.35999999999"/>
    <n v="15836.16"/>
    <n v="0"/>
    <m/>
    <m/>
    <m/>
    <m/>
    <m/>
    <m/>
    <m/>
    <m/>
    <m/>
    <m/>
    <m/>
    <n v="0"/>
    <n v="0"/>
    <n v="0"/>
    <m/>
    <n v="0"/>
    <n v="0"/>
    <n v="0"/>
    <n v="0"/>
    <n v="0"/>
    <m/>
    <n v="0"/>
    <n v="0"/>
    <n v="0"/>
    <n v="0"/>
    <n v="0"/>
    <n v="0"/>
  </r>
  <r>
    <s v="CC"/>
    <s v="K"/>
    <n v="1009000"/>
    <s v="IBERO KE"/>
    <n v="90520"/>
    <n v="1"/>
    <m/>
    <n v="240426"/>
    <x v="2"/>
    <x v="15"/>
    <n v="2526"/>
    <s v="Inventory"/>
    <n v="1273"/>
    <n v="1273"/>
    <n v="76380"/>
    <n v="0"/>
    <n v="0"/>
    <n v="1649.9"/>
    <n v="440697.32"/>
    <n v="439047.42"/>
    <n v="0"/>
    <m/>
    <m/>
    <m/>
    <m/>
    <m/>
    <m/>
    <s v="7"/>
    <m/>
    <m/>
    <m/>
    <m/>
    <n v="0"/>
    <n v="0"/>
    <n v="0"/>
    <m/>
    <n v="0"/>
    <n v="0"/>
    <n v="0"/>
    <n v="0"/>
    <n v="0"/>
    <m/>
    <n v="0"/>
    <n v="0"/>
    <n v="0"/>
    <n v="0"/>
    <n v="0"/>
    <n v="0"/>
  </r>
  <r>
    <s v="CC"/>
    <s v="K"/>
    <n v="1009000"/>
    <s v="IBERO KE"/>
    <n v="90528"/>
    <n v="1"/>
    <m/>
    <n v="300426"/>
    <x v="2"/>
    <x v="17"/>
    <n v="2526"/>
    <s v="Inventory"/>
    <n v="309.99816666666663"/>
    <n v="309.99816666666663"/>
    <n v="18599.89"/>
    <n v="0"/>
    <n v="0"/>
    <n v="156913.75"/>
    <n v="138892.82"/>
    <n v="0"/>
    <n v="-18020.93"/>
    <m/>
    <m/>
    <m/>
    <m/>
    <m/>
    <m/>
    <s v="7"/>
    <m/>
    <m/>
    <m/>
    <m/>
    <n v="0"/>
    <n v="0"/>
    <n v="0"/>
    <m/>
    <n v="0"/>
    <n v="0"/>
    <n v="0"/>
    <n v="0"/>
    <n v="0"/>
    <m/>
    <n v="0"/>
    <n v="0"/>
    <n v="0"/>
    <n v="0"/>
    <n v="0"/>
    <n v="0"/>
  </r>
  <r>
    <s v="CC"/>
    <s v="K"/>
    <n v="1009000"/>
    <s v="IBERO KE"/>
    <n v="90529"/>
    <n v="1"/>
    <m/>
    <n v="300426"/>
    <x v="2"/>
    <x v="2"/>
    <n v="2526"/>
    <s v="Inventory"/>
    <n v="332.82566666666668"/>
    <n v="332.82566666666668"/>
    <n v="19969.54"/>
    <n v="0"/>
    <n v="0"/>
    <n v="126742.56"/>
    <n v="63271.49"/>
    <n v="0"/>
    <n v="-63471.07"/>
    <m/>
    <m/>
    <m/>
    <m/>
    <m/>
    <m/>
    <s v="7"/>
    <m/>
    <m/>
    <m/>
    <m/>
    <n v="0"/>
    <n v="0"/>
    <n v="0"/>
    <m/>
    <n v="0"/>
    <n v="0"/>
    <n v="0"/>
    <n v="0"/>
    <n v="0"/>
    <m/>
    <n v="0"/>
    <n v="0"/>
    <n v="0"/>
    <n v="0"/>
    <n v="0"/>
    <n v="0"/>
  </r>
  <r>
    <s v="CC"/>
    <s v="K"/>
    <n v="1009000"/>
    <s v="IBERO KE"/>
    <n v="90530"/>
    <n v="1"/>
    <m/>
    <n v="300426"/>
    <x v="2"/>
    <x v="13"/>
    <n v="2526"/>
    <s v="Inventory"/>
    <n v="182.9975"/>
    <n v="182.9975"/>
    <n v="10979.85"/>
    <n v="0"/>
    <n v="0"/>
    <n v="89869.23"/>
    <n v="79797.16"/>
    <n v="0"/>
    <n v="-10072.07"/>
    <m/>
    <m/>
    <m/>
    <m/>
    <m/>
    <m/>
    <m/>
    <m/>
    <m/>
    <m/>
    <m/>
    <n v="0"/>
    <n v="0"/>
    <n v="0"/>
    <m/>
    <n v="0"/>
    <n v="0"/>
    <n v="0"/>
    <n v="0"/>
    <n v="0"/>
    <m/>
    <n v="0"/>
    <n v="0"/>
    <n v="0"/>
    <n v="0"/>
    <n v="0"/>
    <n v="0"/>
  </r>
  <r>
    <s v="CC"/>
    <s v="K"/>
    <n v="1009000"/>
    <s v="IBERO KE"/>
    <n v="90533"/>
    <n v="1"/>
    <m/>
    <n v="20626"/>
    <x v="2"/>
    <x v="15"/>
    <n v="2526"/>
    <s v="Inventory"/>
    <n v="4223.0293333333339"/>
    <n v="4223.0293333333339"/>
    <n v="253381.76000000001"/>
    <n v="0"/>
    <n v="0"/>
    <n v="1429297.91"/>
    <n v="1461962.08"/>
    <n v="32664.17"/>
    <n v="0"/>
    <m/>
    <m/>
    <m/>
    <m/>
    <m/>
    <m/>
    <s v="7"/>
    <m/>
    <m/>
    <m/>
    <m/>
    <n v="0"/>
    <n v="0"/>
    <n v="0"/>
    <m/>
    <n v="0"/>
    <n v="0"/>
    <n v="0"/>
    <n v="0"/>
    <n v="0"/>
    <m/>
    <n v="0"/>
    <n v="0"/>
    <n v="0"/>
    <n v="0"/>
    <n v="0"/>
    <n v="0"/>
  </r>
  <r>
    <s v="CC"/>
    <s v="K"/>
    <n v="1009000"/>
    <s v="IBERO KE"/>
    <n v="90562"/>
    <n v="1"/>
    <m/>
    <n v="160726"/>
    <x v="2"/>
    <x v="13"/>
    <n v="2526"/>
    <s v="Inventory"/>
    <n v="22006.536166666665"/>
    <n v="22006.536166666665"/>
    <n v="1320392.17"/>
    <n v="0"/>
    <n v="0"/>
    <n v="10296483.810000001"/>
    <n v="9714389.2699999996"/>
    <n v="0"/>
    <n v="-582094.54"/>
    <m/>
    <m/>
    <m/>
    <m/>
    <m/>
    <m/>
    <s v="7"/>
    <m/>
    <m/>
    <m/>
    <m/>
    <n v="0"/>
    <n v="0"/>
    <n v="0"/>
    <m/>
    <n v="0"/>
    <n v="0"/>
    <n v="0"/>
    <n v="0"/>
    <n v="0"/>
    <m/>
    <n v="0"/>
    <n v="0"/>
    <n v="0"/>
    <n v="0"/>
    <n v="0"/>
    <n v="0"/>
  </r>
  <r>
    <s v="CC"/>
    <s v="K"/>
    <n v="1009000"/>
    <s v="IBERO KE"/>
    <n v="90562"/>
    <n v="3"/>
    <m/>
    <n v="160726"/>
    <x v="2"/>
    <x v="13"/>
    <n v="2526"/>
    <s v="Longs"/>
    <n v="114.9975"/>
    <n v="114.9975"/>
    <n v="6899.85"/>
    <n v="0"/>
    <n v="0"/>
    <n v="54672.54"/>
    <n v="50763.63"/>
    <n v="0"/>
    <n v="-3908.91"/>
    <m/>
    <m/>
    <m/>
    <m/>
    <m/>
    <m/>
    <s v="7"/>
    <m/>
    <m/>
    <m/>
    <m/>
    <n v="0"/>
    <n v="0"/>
    <n v="0"/>
    <m/>
    <n v="0"/>
    <n v="0"/>
    <n v="0"/>
    <n v="0"/>
    <n v="0"/>
    <m/>
    <n v="0"/>
    <n v="0"/>
    <n v="0"/>
    <n v="0"/>
    <n v="0"/>
    <n v="0"/>
  </r>
  <r>
    <s v="CC"/>
    <s v="K"/>
    <n v="1009000"/>
    <s v="IBERO KE"/>
    <n v="90567"/>
    <n v="1"/>
    <m/>
    <n v="220726"/>
    <x v="2"/>
    <x v="17"/>
    <n v="2526"/>
    <s v="Inventory"/>
    <n v="2711.8871666666669"/>
    <n v="2711.8871666666669"/>
    <n v="162713.23000000001"/>
    <n v="0"/>
    <n v="0"/>
    <n v="1379571.45"/>
    <n v="1215044.77"/>
    <n v="0"/>
    <n v="-164526.68"/>
    <m/>
    <m/>
    <m/>
    <m/>
    <m/>
    <m/>
    <s v="7"/>
    <m/>
    <m/>
    <m/>
    <m/>
    <n v="0"/>
    <n v="0"/>
    <n v="0"/>
    <m/>
    <n v="0"/>
    <n v="0"/>
    <n v="0"/>
    <n v="0"/>
    <n v="0"/>
    <m/>
    <n v="0"/>
    <n v="0"/>
    <n v="0"/>
    <n v="0"/>
    <n v="0"/>
    <n v="0"/>
  </r>
  <r>
    <s v="CC"/>
    <s v="K"/>
    <n v="1009000"/>
    <s v="IBERO KE"/>
    <n v="90597"/>
    <n v="1"/>
    <m/>
    <n v="250926"/>
    <x v="2"/>
    <x v="13"/>
    <n v="2526"/>
    <s v="Inventory"/>
    <n v="85.433333333333337"/>
    <n v="85.433333333333337"/>
    <n v="5126"/>
    <n v="0"/>
    <n v="0"/>
    <n v="102.52"/>
    <n v="37253.72"/>
    <n v="37151.199999999997"/>
    <n v="0"/>
    <m/>
    <m/>
    <m/>
    <m/>
    <m/>
    <m/>
    <m/>
    <m/>
    <m/>
    <m/>
    <m/>
    <n v="0"/>
    <n v="0"/>
    <n v="0"/>
    <m/>
    <n v="0"/>
    <n v="0"/>
    <n v="0"/>
    <n v="0"/>
    <n v="0"/>
    <m/>
    <n v="0"/>
    <n v="0"/>
    <n v="0"/>
    <n v="0"/>
    <n v="0"/>
    <n v="0"/>
  </r>
  <r>
    <s v="CC"/>
    <s v="K"/>
    <n v="1009000"/>
    <s v="IBERO KE"/>
    <n v="90598"/>
    <n v="1"/>
    <m/>
    <n v="250926"/>
    <x v="2"/>
    <x v="15"/>
    <n v="2526"/>
    <s v="Inventory"/>
    <n v="141.56666666666666"/>
    <n v="141.56666666666666"/>
    <n v="8494"/>
    <n v="0"/>
    <n v="0"/>
    <n v="169.88"/>
    <n v="48247.62"/>
    <n v="48077.74"/>
    <n v="0"/>
    <m/>
    <m/>
    <m/>
    <m/>
    <m/>
    <m/>
    <m/>
    <m/>
    <m/>
    <m/>
    <m/>
    <n v="0"/>
    <n v="0"/>
    <n v="0"/>
    <m/>
    <n v="0"/>
    <n v="0"/>
    <n v="0"/>
    <n v="0"/>
    <n v="0"/>
    <m/>
    <n v="0"/>
    <n v="0"/>
    <n v="0"/>
    <n v="0"/>
    <n v="0"/>
    <n v="0"/>
  </r>
  <r>
    <s v="CC"/>
    <s v="K"/>
    <n v="1009000"/>
    <s v="IBERO KE"/>
    <n v="90599"/>
    <n v="1"/>
    <m/>
    <n v="250926"/>
    <x v="2"/>
    <x v="13"/>
    <n v="2526"/>
    <s v="Inventory"/>
    <n v="316"/>
    <n v="316"/>
    <n v="18960"/>
    <n v="0"/>
    <n v="0"/>
    <n v="379.2"/>
    <n v="137793.70000000001"/>
    <n v="137414.5"/>
    <n v="0"/>
    <m/>
    <m/>
    <m/>
    <m/>
    <m/>
    <m/>
    <m/>
    <m/>
    <m/>
    <m/>
    <m/>
    <n v="0"/>
    <n v="0"/>
    <n v="0"/>
    <m/>
    <n v="0"/>
    <n v="0"/>
    <n v="0"/>
    <n v="0"/>
    <n v="0"/>
    <m/>
    <n v="0"/>
    <n v="0"/>
    <n v="0"/>
    <n v="0"/>
    <n v="0"/>
    <n v="0"/>
  </r>
  <r>
    <s v="CC"/>
    <s v="K"/>
    <n v="1009000"/>
    <s v="IBERO KE"/>
    <n v="90600"/>
    <n v="1"/>
    <m/>
    <n v="250926"/>
    <x v="2"/>
    <x v="15"/>
    <n v="2526"/>
    <s v="Inventory"/>
    <n v="162"/>
    <n v="162"/>
    <n v="9720"/>
    <n v="0"/>
    <n v="0"/>
    <n v="194.4"/>
    <n v="55211.54"/>
    <n v="55017.14"/>
    <n v="0"/>
    <m/>
    <m/>
    <m/>
    <m/>
    <m/>
    <m/>
    <m/>
    <m/>
    <m/>
    <m/>
    <m/>
    <n v="0"/>
    <n v="0"/>
    <n v="0"/>
    <m/>
    <n v="0"/>
    <n v="0"/>
    <n v="0"/>
    <n v="0"/>
    <n v="0"/>
    <m/>
    <n v="0"/>
    <n v="0"/>
    <n v="0"/>
    <n v="0"/>
    <n v="0"/>
    <n v="0"/>
  </r>
  <r>
    <s v="CC"/>
    <s v="K"/>
    <n v="1009000"/>
    <s v="IBERO KE"/>
    <n v="90601"/>
    <n v="1"/>
    <m/>
    <n v="250926"/>
    <x v="2"/>
    <x v="2"/>
    <n v="2526"/>
    <s v="Inventory"/>
    <n v="35"/>
    <n v="35"/>
    <n v="2100"/>
    <n v="0"/>
    <n v="0"/>
    <n v="42"/>
    <n v="6465.48"/>
    <n v="6423.48"/>
    <n v="0"/>
    <m/>
    <m/>
    <m/>
    <m/>
    <m/>
    <m/>
    <m/>
    <m/>
    <m/>
    <m/>
    <m/>
    <n v="0"/>
    <n v="0"/>
    <n v="0"/>
    <m/>
    <n v="0"/>
    <n v="0"/>
    <n v="0"/>
    <n v="0"/>
    <n v="0"/>
    <m/>
    <n v="0"/>
    <n v="0"/>
    <n v="0"/>
    <n v="0"/>
    <n v="0"/>
    <n v="0"/>
  </r>
  <r>
    <s v="CC"/>
    <s v="K"/>
    <n v="1038000"/>
    <s v="CHANIA"/>
    <n v="90546"/>
    <n v="1"/>
    <m/>
    <n v="10726"/>
    <x v="2"/>
    <x v="13"/>
    <n v="2526"/>
    <s v="Inventory"/>
    <n v="74.048333333333332"/>
    <n v="74.048333333333332"/>
    <n v="4442.8999999999996"/>
    <n v="0"/>
    <n v="0"/>
    <n v="28112.49"/>
    <n v="32289.22"/>
    <n v="4176.7299999999996"/>
    <n v="0"/>
    <m/>
    <m/>
    <m/>
    <m/>
    <m/>
    <m/>
    <m/>
    <m/>
    <m/>
    <m/>
    <m/>
    <n v="0"/>
    <n v="0"/>
    <n v="0"/>
    <m/>
    <n v="0"/>
    <n v="0"/>
    <n v="0"/>
    <n v="0"/>
    <n v="0"/>
    <m/>
    <n v="0"/>
    <n v="0"/>
    <n v="0"/>
    <n v="0"/>
    <n v="0"/>
    <n v="0"/>
  </r>
  <r>
    <s v="CC"/>
    <s v="K"/>
    <n v="1038000"/>
    <s v="CHANIA"/>
    <n v="90546"/>
    <n v="3"/>
    <m/>
    <n v="10726"/>
    <x v="2"/>
    <x v="13"/>
    <n v="2526"/>
    <s v="Longs"/>
    <n v="12.029666666666666"/>
    <n v="12.029666666666666"/>
    <n v="721.78"/>
    <n v="0"/>
    <n v="0"/>
    <n v="4566.91"/>
    <n v="5245.68"/>
    <n v="678.77"/>
    <n v="0"/>
    <m/>
    <m/>
    <m/>
    <m/>
    <m/>
    <m/>
    <m/>
    <m/>
    <m/>
    <m/>
    <m/>
    <n v="0"/>
    <n v="0"/>
    <n v="0"/>
    <m/>
    <n v="0"/>
    <n v="0"/>
    <n v="0"/>
    <n v="0"/>
    <n v="0"/>
    <m/>
    <n v="0"/>
    <n v="0"/>
    <n v="0"/>
    <n v="0"/>
    <n v="0"/>
    <n v="0"/>
  </r>
  <r>
    <s v="CC"/>
    <s v="K"/>
    <n v="1060800"/>
    <s v="ETHIO AGRI"/>
    <n v="90573"/>
    <n v="3"/>
    <m/>
    <n v="280726"/>
    <x v="1"/>
    <x v="18"/>
    <n v="2526"/>
    <s v="Longs"/>
    <n v="2560"/>
    <n v="2560"/>
    <n v="153600"/>
    <n v="0"/>
    <n v="0"/>
    <n v="1202135.04"/>
    <n v="1092587.52"/>
    <n v="0"/>
    <n v="-109547.52"/>
    <m/>
    <m/>
    <m/>
    <m/>
    <m/>
    <m/>
    <m/>
    <m/>
    <m/>
    <m/>
    <m/>
    <n v="0"/>
    <n v="0"/>
    <n v="0"/>
    <m/>
    <n v="0"/>
    <n v="0"/>
    <n v="0"/>
    <n v="0"/>
    <n v="0"/>
    <m/>
    <n v="0"/>
    <n v="0"/>
    <n v="0"/>
    <n v="0"/>
    <n v="0"/>
    <n v="0"/>
  </r>
  <r>
    <s v="CC"/>
    <s v="K"/>
    <n v="1080600"/>
    <s v="BARAGWI"/>
    <n v="90564"/>
    <n v="1"/>
    <m/>
    <n v="160726"/>
    <x v="2"/>
    <x v="13"/>
    <n v="2526"/>
    <s v="Inventory"/>
    <n v="452.15333333333336"/>
    <n v="452.15333333333336"/>
    <n v="27129.200000000001"/>
    <n v="0"/>
    <n v="0"/>
    <n v="213940.87"/>
    <n v="197164.17"/>
    <n v="0"/>
    <n v="-16776.7"/>
    <m/>
    <m/>
    <m/>
    <m/>
    <m/>
    <m/>
    <m/>
    <m/>
    <m/>
    <m/>
    <m/>
    <n v="0"/>
    <n v="0"/>
    <n v="0"/>
    <m/>
    <n v="0"/>
    <n v="0"/>
    <n v="0"/>
    <n v="0"/>
    <n v="0"/>
    <m/>
    <n v="0"/>
    <n v="0"/>
    <n v="0"/>
    <n v="0"/>
    <n v="0"/>
    <n v="0"/>
  </r>
  <r>
    <s v="CC"/>
    <s v="K"/>
    <n v="1080600"/>
    <s v="BARAGWI"/>
    <n v="90565"/>
    <n v="1"/>
    <m/>
    <n v="160726"/>
    <x v="2"/>
    <x v="15"/>
    <n v="2526"/>
    <s v="Inventory"/>
    <n v="167.26499999999999"/>
    <n v="167.26499999999999"/>
    <n v="10035.9"/>
    <n v="0"/>
    <n v="0"/>
    <n v="57204.63"/>
    <n v="57005.919999999998"/>
    <n v="0"/>
    <n v="-198.71"/>
    <m/>
    <m/>
    <m/>
    <m/>
    <m/>
    <m/>
    <m/>
    <m/>
    <m/>
    <m/>
    <m/>
    <n v="0"/>
    <n v="0"/>
    <n v="0"/>
    <m/>
    <n v="0"/>
    <n v="0"/>
    <n v="0"/>
    <n v="0"/>
    <n v="0"/>
    <m/>
    <n v="0"/>
    <n v="0"/>
    <n v="0"/>
    <n v="0"/>
    <n v="0"/>
    <n v="0"/>
  </r>
  <r>
    <s v="CC"/>
    <s v="K"/>
    <n v="1080600"/>
    <s v="BARAGWI"/>
    <n v="90569"/>
    <n v="1"/>
    <m/>
    <n v="220726"/>
    <x v="2"/>
    <x v="13"/>
    <n v="2526"/>
    <s v="Inventory"/>
    <n v="564.33249999999998"/>
    <n v="564.33249999999998"/>
    <n v="33859.949999999997"/>
    <n v="0"/>
    <n v="0"/>
    <n v="269354.92"/>
    <n v="249114.42"/>
    <n v="0"/>
    <n v="-20240.5"/>
    <m/>
    <m/>
    <m/>
    <m/>
    <m/>
    <m/>
    <s v="7"/>
    <m/>
    <m/>
    <m/>
    <m/>
    <n v="0"/>
    <n v="0"/>
    <n v="0"/>
    <m/>
    <n v="0"/>
    <n v="0"/>
    <n v="0"/>
    <n v="0"/>
    <n v="0"/>
    <m/>
    <n v="0"/>
    <n v="0"/>
    <n v="0"/>
    <n v="0"/>
    <n v="0"/>
    <n v="0"/>
  </r>
  <r>
    <s v="CC"/>
    <s v="K"/>
    <n v="1080600"/>
    <s v="BARAGWI"/>
    <n v="90570"/>
    <n v="1"/>
    <m/>
    <n v="230726"/>
    <x v="2"/>
    <x v="15"/>
    <n v="2526"/>
    <s v="Inventory"/>
    <n v="184.43333333333334"/>
    <n v="184.43333333333334"/>
    <n v="11066"/>
    <n v="0"/>
    <n v="0"/>
    <n v="63076.2"/>
    <n v="62857.09"/>
    <n v="0"/>
    <n v="-219.11"/>
    <m/>
    <m/>
    <m/>
    <m/>
    <m/>
    <m/>
    <m/>
    <m/>
    <m/>
    <m/>
    <m/>
    <n v="0"/>
    <n v="0"/>
    <n v="0"/>
    <m/>
    <n v="0"/>
    <n v="0"/>
    <n v="0"/>
    <n v="0"/>
    <n v="0"/>
    <m/>
    <n v="0"/>
    <n v="0"/>
    <n v="0"/>
    <n v="0"/>
    <n v="0"/>
    <n v="0"/>
  </r>
  <r>
    <s v="CC"/>
    <s v="K"/>
    <n v="1080600"/>
    <s v="BARAGWI"/>
    <n v="90575"/>
    <n v="1"/>
    <m/>
    <n v="60826"/>
    <x v="2"/>
    <x v="13"/>
    <n v="2526"/>
    <s v="Inventory"/>
    <n v="317.51666666666665"/>
    <n v="317.51666666666665"/>
    <n v="19051"/>
    <n v="0"/>
    <n v="0"/>
    <n v="143389.29999999999"/>
    <n v="138455.04999999999"/>
    <n v="0"/>
    <n v="-4934.25"/>
    <m/>
    <m/>
    <m/>
    <m/>
    <m/>
    <m/>
    <m/>
    <m/>
    <m/>
    <m/>
    <m/>
    <n v="0"/>
    <n v="0"/>
    <n v="0"/>
    <m/>
    <n v="0"/>
    <n v="0"/>
    <n v="0"/>
    <n v="0"/>
    <n v="0"/>
    <m/>
    <n v="0"/>
    <n v="0"/>
    <n v="0"/>
    <n v="0"/>
    <n v="0"/>
    <n v="0"/>
  </r>
  <r>
    <s v="CC"/>
    <s v="K"/>
    <n v="1080600"/>
    <s v="BARAGWI"/>
    <n v="90579"/>
    <n v="1"/>
    <m/>
    <n v="120826"/>
    <x v="2"/>
    <x v="17"/>
    <n v="2526"/>
    <s v="Inventory"/>
    <n v="56.446666666666673"/>
    <n v="56.446666666666673"/>
    <n v="3386.8"/>
    <n v="0"/>
    <n v="0"/>
    <n v="26477.33"/>
    <n v="24987.13"/>
    <n v="0"/>
    <n v="-1490.2"/>
    <m/>
    <m/>
    <m/>
    <m/>
    <m/>
    <m/>
    <m/>
    <m/>
    <m/>
    <m/>
    <m/>
    <n v="0"/>
    <n v="0"/>
    <n v="0"/>
    <m/>
    <n v="0"/>
    <n v="0"/>
    <n v="0"/>
    <n v="0"/>
    <n v="0"/>
    <m/>
    <n v="0"/>
    <n v="0"/>
    <n v="0"/>
    <n v="0"/>
    <n v="0"/>
    <n v="0"/>
  </r>
  <r>
    <s v="CC"/>
    <s v="K"/>
    <n v="1080600"/>
    <s v="BARAGWI"/>
    <n v="90580"/>
    <n v="1"/>
    <m/>
    <n v="120826"/>
    <x v="2"/>
    <x v="13"/>
    <n v="2526"/>
    <s v="Inventory"/>
    <n v="351.13166666666672"/>
    <n v="351.13166666666672"/>
    <n v="21067.9"/>
    <n v="0"/>
    <n v="0"/>
    <n v="157448.84"/>
    <n v="153113.07"/>
    <n v="0"/>
    <n v="-4335.7700000000004"/>
    <m/>
    <m/>
    <m/>
    <m/>
    <m/>
    <m/>
    <m/>
    <m/>
    <m/>
    <m/>
    <m/>
    <n v="0"/>
    <n v="0"/>
    <n v="0"/>
    <m/>
    <n v="0"/>
    <n v="0"/>
    <n v="0"/>
    <n v="0"/>
    <n v="0"/>
    <m/>
    <n v="0"/>
    <n v="0"/>
    <n v="0"/>
    <n v="0"/>
    <n v="0"/>
    <n v="0"/>
  </r>
  <r>
    <s v="CC"/>
    <s v="K"/>
    <n v="1080600"/>
    <s v="BARAGWI"/>
    <n v="90586"/>
    <n v="1"/>
    <m/>
    <n v="270826"/>
    <x v="2"/>
    <x v="17"/>
    <n v="2526"/>
    <s v="Inventory"/>
    <n v="57.3"/>
    <n v="57.3"/>
    <n v="3438"/>
    <n v="0"/>
    <n v="0"/>
    <n v="29566.799999999999"/>
    <n v="25364.880000000001"/>
    <n v="0"/>
    <n v="-4201.92"/>
    <m/>
    <m/>
    <m/>
    <m/>
    <m/>
    <m/>
    <m/>
    <m/>
    <m/>
    <m/>
    <m/>
    <n v="0"/>
    <n v="0"/>
    <n v="0"/>
    <m/>
    <n v="0"/>
    <n v="0"/>
    <n v="0"/>
    <n v="0"/>
    <n v="0"/>
    <m/>
    <n v="0"/>
    <n v="0"/>
    <n v="0"/>
    <n v="0"/>
    <n v="0"/>
    <n v="0"/>
  </r>
  <r>
    <s v="CC"/>
    <s v="K"/>
    <n v="1157300"/>
    <s v="MARA"/>
    <n v="90563"/>
    <n v="1"/>
    <m/>
    <n v="170726"/>
    <x v="2"/>
    <x v="4"/>
    <n v="2526"/>
    <s v="Inventory"/>
    <n v="4"/>
    <n v="4"/>
    <n v="240"/>
    <n v="0"/>
    <n v="0"/>
    <n v="1968"/>
    <n v="1749.5"/>
    <n v="0"/>
    <n v="-218.5"/>
    <m/>
    <m/>
    <m/>
    <m/>
    <m/>
    <m/>
    <m/>
    <m/>
    <m/>
    <m/>
    <m/>
    <n v="0"/>
    <n v="0"/>
    <n v="0"/>
    <m/>
    <n v="0"/>
    <n v="0"/>
    <n v="0"/>
    <n v="0"/>
    <n v="0"/>
    <m/>
    <n v="0"/>
    <n v="0"/>
    <n v="0"/>
    <n v="0"/>
    <n v="0"/>
    <n v="0"/>
  </r>
  <r>
    <s v="CC"/>
    <s v="K"/>
    <n v="1157300"/>
    <s v="MARA"/>
    <n v="90587"/>
    <n v="1"/>
    <m/>
    <n v="20926"/>
    <x v="2"/>
    <x v="17"/>
    <n v="2526"/>
    <s v="Inventory"/>
    <n v="307"/>
    <n v="307"/>
    <n v="18420"/>
    <n v="0"/>
    <n v="0"/>
    <n v="151044"/>
    <n v="135899.07999999999"/>
    <n v="0"/>
    <n v="-15144.92"/>
    <m/>
    <m/>
    <m/>
    <m/>
    <m/>
    <m/>
    <m/>
    <m/>
    <m/>
    <m/>
    <m/>
    <n v="0"/>
    <n v="0"/>
    <n v="0"/>
    <m/>
    <n v="0"/>
    <n v="0"/>
    <n v="0"/>
    <n v="0"/>
    <n v="0"/>
    <m/>
    <n v="0"/>
    <n v="0"/>
    <n v="0"/>
    <n v="0"/>
    <n v="0"/>
    <n v="0"/>
  </r>
  <r>
    <s v="CC"/>
    <s v="K"/>
    <n v="1157300"/>
    <s v="MARA"/>
    <n v="90588"/>
    <n v="1"/>
    <m/>
    <n v="20926"/>
    <x v="2"/>
    <x v="13"/>
    <n v="2526"/>
    <s v="Inventory"/>
    <n v="866"/>
    <n v="866"/>
    <n v="51960"/>
    <n v="0"/>
    <n v="0"/>
    <n v="387600.82"/>
    <n v="377624.5"/>
    <n v="0"/>
    <n v="-9976.32"/>
    <m/>
    <m/>
    <m/>
    <m/>
    <m/>
    <m/>
    <m/>
    <m/>
    <m/>
    <m/>
    <m/>
    <n v="0"/>
    <n v="0"/>
    <n v="0"/>
    <m/>
    <n v="0"/>
    <n v="0"/>
    <n v="0"/>
    <n v="0"/>
    <n v="0"/>
    <m/>
    <n v="0"/>
    <n v="0"/>
    <n v="0"/>
    <n v="0"/>
    <n v="0"/>
    <n v="0"/>
  </r>
  <r>
    <s v="CC"/>
    <s v="K"/>
    <n v="1157300"/>
    <s v="MARA"/>
    <n v="90592"/>
    <n v="1"/>
    <m/>
    <n v="100926"/>
    <x v="2"/>
    <x v="13"/>
    <n v="2526"/>
    <s v="Inventory"/>
    <n v="337"/>
    <n v="337"/>
    <n v="20220"/>
    <n v="0"/>
    <n v="0"/>
    <n v="130948.76"/>
    <n v="146950.87"/>
    <n v="16002.11"/>
    <n v="0"/>
    <m/>
    <m/>
    <m/>
    <m/>
    <m/>
    <m/>
    <m/>
    <m/>
    <m/>
    <m/>
    <m/>
    <n v="0"/>
    <n v="0"/>
    <n v="0"/>
    <m/>
    <n v="0"/>
    <n v="0"/>
    <n v="0"/>
    <n v="0"/>
    <n v="0"/>
    <m/>
    <n v="0"/>
    <n v="0"/>
    <n v="0"/>
    <n v="0"/>
    <n v="0"/>
    <n v="0"/>
  </r>
  <r>
    <s v="CC"/>
    <s v="K"/>
    <n v="1157300"/>
    <s v="MARA"/>
    <n v="90593"/>
    <n v="3"/>
    <m/>
    <n v="100926"/>
    <x v="2"/>
    <x v="15"/>
    <n v="2526"/>
    <s v="Longs"/>
    <n v="131"/>
    <n v="131"/>
    <n v="7860"/>
    <n v="0"/>
    <n v="0"/>
    <n v="36185.870000000003"/>
    <n v="44646.37"/>
    <n v="8460.5"/>
    <n v="0"/>
    <m/>
    <m/>
    <m/>
    <m/>
    <m/>
    <m/>
    <m/>
    <m/>
    <m/>
    <m/>
    <m/>
    <n v="0"/>
    <n v="0"/>
    <n v="0"/>
    <m/>
    <n v="0"/>
    <n v="0"/>
    <n v="0"/>
    <n v="0"/>
    <n v="0"/>
    <m/>
    <n v="0"/>
    <n v="0"/>
    <n v="0"/>
    <n v="0"/>
    <n v="0"/>
    <n v="0"/>
  </r>
  <r>
    <s v="CC"/>
    <s v="K"/>
    <n v="1157300"/>
    <s v="MARA"/>
    <n v="90595"/>
    <n v="3"/>
    <m/>
    <n v="170926"/>
    <x v="2"/>
    <x v="13"/>
    <n v="2526"/>
    <s v="Longs"/>
    <n v="867.4666666666667"/>
    <n v="867.4666666666667"/>
    <n v="52048"/>
    <n v="0"/>
    <n v="0"/>
    <n v="359526.79"/>
    <n v="378264.07"/>
    <n v="18737.28"/>
    <n v="0"/>
    <m/>
    <m/>
    <m/>
    <m/>
    <m/>
    <m/>
    <m/>
    <m/>
    <m/>
    <m/>
    <m/>
    <n v="0"/>
    <n v="0"/>
    <n v="0"/>
    <m/>
    <n v="0"/>
    <n v="0"/>
    <n v="0"/>
    <n v="0"/>
    <n v="0"/>
    <m/>
    <n v="0"/>
    <n v="0"/>
    <n v="0"/>
    <n v="0"/>
    <n v="0"/>
    <n v="0"/>
  </r>
  <r>
    <s v="CC"/>
    <s v="K"/>
    <n v="1157300"/>
    <s v="MARA"/>
    <n v="90596"/>
    <n v="3"/>
    <m/>
    <n v="170926"/>
    <x v="2"/>
    <x v="15"/>
    <n v="2526"/>
    <s v="Longs"/>
    <n v="64.816666666666663"/>
    <n v="64.816666666666663"/>
    <n v="3889"/>
    <n v="0"/>
    <n v="0"/>
    <n v="12307.13"/>
    <n v="22090.3"/>
    <n v="9783.17"/>
    <n v="0"/>
    <m/>
    <m/>
    <m/>
    <m/>
    <m/>
    <m/>
    <m/>
    <m/>
    <m/>
    <m/>
    <m/>
    <n v="0"/>
    <n v="0"/>
    <n v="0"/>
    <m/>
    <n v="0"/>
    <n v="0"/>
    <n v="0"/>
    <n v="0"/>
    <n v="0"/>
    <m/>
    <n v="0"/>
    <n v="0"/>
    <n v="0"/>
    <n v="0"/>
    <n v="0"/>
    <n v="0"/>
  </r>
  <r>
    <s v="CC"/>
    <s v="K"/>
    <n v="1175600"/>
    <s v="DIRECT SAL"/>
    <n v="90469"/>
    <n v="1"/>
    <m/>
    <n v="300125"/>
    <x v="2"/>
    <x v="17"/>
    <n v="2425"/>
    <s v="Inventory"/>
    <n v="267.19983333333334"/>
    <n v="267.19983333333334"/>
    <n v="16031.99"/>
    <n v="0"/>
    <n v="0"/>
    <n v="125218.2"/>
    <n v="118280.82"/>
    <n v="0"/>
    <n v="-6937.38"/>
    <m/>
    <m/>
    <m/>
    <m/>
    <m/>
    <m/>
    <m/>
    <m/>
    <m/>
    <m/>
    <m/>
    <n v="0"/>
    <n v="0"/>
    <n v="0"/>
    <m/>
    <n v="0"/>
    <n v="0"/>
    <n v="0"/>
    <n v="0"/>
    <n v="0"/>
    <m/>
    <n v="0"/>
    <n v="0"/>
    <n v="0"/>
    <n v="0"/>
    <n v="0"/>
    <n v="0"/>
  </r>
  <r>
    <s v="CC"/>
    <s v="K"/>
    <n v="1175600"/>
    <s v="DIRECT SAL"/>
    <n v="90470"/>
    <n v="1"/>
    <m/>
    <n v="300125"/>
    <x v="2"/>
    <x v="13"/>
    <n v="2425"/>
    <s v="Inventory"/>
    <n v="586.94299999999998"/>
    <n v="586.94299999999998"/>
    <n v="35216.58"/>
    <n v="0"/>
    <n v="0"/>
    <n v="272377.27"/>
    <n v="255940.02"/>
    <n v="0"/>
    <n v="-16437.25"/>
    <m/>
    <m/>
    <m/>
    <m/>
    <m/>
    <m/>
    <m/>
    <m/>
    <m/>
    <m/>
    <m/>
    <n v="0"/>
    <n v="0"/>
    <n v="0"/>
    <m/>
    <n v="0"/>
    <n v="0"/>
    <n v="0"/>
    <n v="0"/>
    <n v="0"/>
    <m/>
    <n v="0"/>
    <n v="0"/>
    <n v="0"/>
    <n v="0"/>
    <n v="0"/>
    <n v="0"/>
  </r>
  <r>
    <s v="CC"/>
    <s v="K"/>
    <n v="1175600"/>
    <s v="DIRECT SAL"/>
    <n v="90544"/>
    <n v="1"/>
    <m/>
    <n v="10726"/>
    <x v="2"/>
    <x v="13"/>
    <n v="2526"/>
    <s v="Inventory"/>
    <n v="1652.1084999999998"/>
    <n v="1652.1084999999998"/>
    <n v="99126.51"/>
    <n v="0"/>
    <n v="0"/>
    <n v="654221.54"/>
    <n v="729293.56"/>
    <n v="75072.02"/>
    <n v="0"/>
    <m/>
    <m/>
    <m/>
    <m/>
    <m/>
    <m/>
    <s v="7"/>
    <m/>
    <m/>
    <m/>
    <m/>
    <n v="0"/>
    <n v="0"/>
    <n v="0"/>
    <m/>
    <n v="0"/>
    <n v="0"/>
    <n v="0"/>
    <n v="0"/>
    <n v="0"/>
    <m/>
    <n v="0"/>
    <n v="0"/>
    <n v="0"/>
    <n v="0"/>
    <n v="0"/>
    <n v="0"/>
  </r>
  <r>
    <s v="CC"/>
    <s v="K"/>
    <n v="1175600"/>
    <s v="DIRECT SAL"/>
    <n v="90566"/>
    <n v="1"/>
    <m/>
    <n v="220726"/>
    <x v="2"/>
    <x v="17"/>
    <n v="2526"/>
    <s v="Inventory"/>
    <n v="184.02616666666665"/>
    <n v="184.02616666666665"/>
    <n v="11041.57"/>
    <n v="0"/>
    <n v="0"/>
    <n v="88043.27"/>
    <n v="81462.5"/>
    <n v="0"/>
    <n v="-6580.77"/>
    <m/>
    <m/>
    <m/>
    <m/>
    <m/>
    <m/>
    <m/>
    <m/>
    <m/>
    <m/>
    <m/>
    <n v="0"/>
    <n v="0"/>
    <n v="0"/>
    <m/>
    <n v="0"/>
    <n v="0"/>
    <n v="0"/>
    <n v="0"/>
    <n v="0"/>
    <m/>
    <n v="0"/>
    <n v="0"/>
    <n v="0"/>
    <n v="0"/>
    <n v="0"/>
    <n v="0"/>
  </r>
  <r>
    <s v="CC"/>
    <s v="K"/>
    <n v="1177300"/>
    <s v="DAYE BENSA"/>
    <n v="90532"/>
    <n v="3"/>
    <m/>
    <n v="170626"/>
    <x v="0"/>
    <x v="0"/>
    <n v="2526"/>
    <s v="Longs"/>
    <n v="320"/>
    <n v="320"/>
    <n v="19200"/>
    <n v="0"/>
    <n v="0"/>
    <n v="105396.48"/>
    <n v="106944"/>
    <n v="1547.52"/>
    <n v="0"/>
    <m/>
    <m/>
    <m/>
    <m/>
    <m/>
    <m/>
    <m/>
    <m/>
    <m/>
    <m/>
    <m/>
    <n v="0"/>
    <n v="0"/>
    <n v="0"/>
    <m/>
    <n v="0"/>
    <n v="0"/>
    <n v="0"/>
    <n v="0"/>
    <n v="0"/>
    <m/>
    <n v="0"/>
    <n v="0"/>
    <n v="0"/>
    <n v="0"/>
    <n v="0"/>
    <n v="0"/>
  </r>
  <r>
    <s v="CC"/>
    <s v="K"/>
    <n v="1177300"/>
    <s v="DAYE BENSA"/>
    <n v="90536"/>
    <n v="3"/>
    <m/>
    <n v="170626"/>
    <x v="0"/>
    <x v="0"/>
    <n v="2526"/>
    <s v="Longs"/>
    <n v="320"/>
    <n v="320"/>
    <n v="19200"/>
    <n v="0"/>
    <n v="0"/>
    <n v="105396.48"/>
    <n v="106944"/>
    <n v="1547.52"/>
    <n v="0"/>
    <m/>
    <m/>
    <m/>
    <m/>
    <m/>
    <m/>
    <m/>
    <m/>
    <m/>
    <m/>
    <m/>
    <n v="0"/>
    <n v="0"/>
    <n v="0"/>
    <m/>
    <n v="0"/>
    <n v="0"/>
    <n v="0"/>
    <n v="0"/>
    <n v="0"/>
    <m/>
    <n v="0"/>
    <n v="0"/>
    <n v="0"/>
    <n v="0"/>
    <n v="0"/>
    <n v="0"/>
  </r>
  <r>
    <s v="CC"/>
    <s v="K"/>
    <n v="1177300"/>
    <s v="DAYE BENSA"/>
    <n v="90537"/>
    <n v="3"/>
    <m/>
    <n v="170626"/>
    <x v="0"/>
    <x v="0"/>
    <n v="2526"/>
    <s v="Longs"/>
    <n v="320"/>
    <n v="320"/>
    <n v="19200"/>
    <n v="0"/>
    <n v="0"/>
    <n v="105396.48"/>
    <n v="106944"/>
    <n v="1547.52"/>
    <n v="0"/>
    <m/>
    <m/>
    <m/>
    <m/>
    <m/>
    <m/>
    <m/>
    <m/>
    <m/>
    <m/>
    <m/>
    <n v="0"/>
    <n v="0"/>
    <n v="0"/>
    <m/>
    <n v="0"/>
    <n v="0"/>
    <n v="0"/>
    <n v="0"/>
    <n v="0"/>
    <m/>
    <n v="0"/>
    <n v="0"/>
    <n v="0"/>
    <n v="0"/>
    <n v="0"/>
    <n v="0"/>
  </r>
  <r>
    <s v="CC"/>
    <s v="K"/>
    <n v="1177300"/>
    <s v="DAYE BENSA"/>
    <n v="90538"/>
    <n v="3"/>
    <m/>
    <n v="170626"/>
    <x v="0"/>
    <x v="0"/>
    <n v="2526"/>
    <s v="Longs"/>
    <n v="320"/>
    <n v="320"/>
    <n v="19200"/>
    <n v="0"/>
    <n v="0"/>
    <n v="105396.48"/>
    <n v="106944"/>
    <n v="1547.52"/>
    <n v="0"/>
    <m/>
    <m/>
    <m/>
    <m/>
    <m/>
    <m/>
    <m/>
    <m/>
    <m/>
    <m/>
    <m/>
    <n v="0"/>
    <n v="0"/>
    <n v="0"/>
    <m/>
    <n v="0"/>
    <n v="0"/>
    <n v="0"/>
    <n v="0"/>
    <n v="0"/>
    <m/>
    <n v="0"/>
    <n v="0"/>
    <n v="0"/>
    <n v="0"/>
    <n v="0"/>
    <n v="0"/>
  </r>
  <r>
    <s v="CC"/>
    <s v="K"/>
    <n v="1177300"/>
    <s v="DAYE BENSA"/>
    <n v="90553"/>
    <n v="3"/>
    <m/>
    <n v="60726"/>
    <x v="0"/>
    <x v="12"/>
    <n v="2526"/>
    <s v="Longs"/>
    <n v="640"/>
    <n v="640"/>
    <n v="38400"/>
    <n v="0"/>
    <n v="0"/>
    <n v="286141.44"/>
    <n v="267225.59999999998"/>
    <n v="0"/>
    <n v="-18915.84"/>
    <m/>
    <m/>
    <m/>
    <m/>
    <m/>
    <m/>
    <m/>
    <m/>
    <m/>
    <m/>
    <m/>
    <n v="0"/>
    <n v="0"/>
    <n v="0"/>
    <m/>
    <n v="0"/>
    <n v="0"/>
    <n v="0"/>
    <n v="0"/>
    <n v="0"/>
    <m/>
    <n v="0"/>
    <n v="0"/>
    <n v="0"/>
    <n v="0"/>
    <n v="0"/>
    <n v="0"/>
  </r>
  <r>
    <s v="CC"/>
    <s v="K"/>
    <n v="1177300"/>
    <s v="DAYE BENSA"/>
    <n v="90559"/>
    <n v="3"/>
    <m/>
    <n v="80726"/>
    <x v="0"/>
    <x v="12"/>
    <n v="2526"/>
    <s v="Longs"/>
    <n v="640"/>
    <n v="640"/>
    <n v="38400"/>
    <n v="0"/>
    <n v="0"/>
    <n v="294604.79999999999"/>
    <n v="267225.59999999998"/>
    <n v="0"/>
    <n v="-27379.200000000001"/>
    <m/>
    <m/>
    <m/>
    <m/>
    <m/>
    <m/>
    <m/>
    <m/>
    <m/>
    <m/>
    <m/>
    <n v="0"/>
    <n v="0"/>
    <n v="0"/>
    <m/>
    <n v="0"/>
    <n v="0"/>
    <n v="0"/>
    <n v="0"/>
    <n v="0"/>
    <m/>
    <n v="0"/>
    <n v="0"/>
    <n v="0"/>
    <n v="0"/>
    <n v="0"/>
    <n v="0"/>
  </r>
  <r>
    <s v="CC"/>
    <s v="K"/>
    <n v="1177300"/>
    <s v="DAYE BENSA"/>
    <n v="90571"/>
    <n v="3"/>
    <m/>
    <n v="270726"/>
    <x v="0"/>
    <x v="12"/>
    <n v="2526"/>
    <s v="Longs"/>
    <n v="640"/>
    <n v="640"/>
    <n v="38400"/>
    <n v="0"/>
    <n v="0"/>
    <n v="286141.44"/>
    <n v="267225.59999999998"/>
    <n v="0"/>
    <n v="-18915.84"/>
    <m/>
    <m/>
    <m/>
    <m/>
    <m/>
    <m/>
    <m/>
    <m/>
    <m/>
    <m/>
    <m/>
    <n v="0"/>
    <n v="0"/>
    <n v="0"/>
    <m/>
    <n v="0"/>
    <n v="0"/>
    <n v="0"/>
    <n v="0"/>
    <n v="0"/>
    <m/>
    <n v="0"/>
    <n v="0"/>
    <n v="0"/>
    <n v="0"/>
    <n v="0"/>
    <n v="0"/>
  </r>
  <r>
    <s v="CC"/>
    <s v="K"/>
    <n v="1183600"/>
    <s v="RAYMARK"/>
    <n v="90503"/>
    <n v="1"/>
    <m/>
    <n v="150126"/>
    <x v="2"/>
    <x v="13"/>
    <n v="2526"/>
    <s v="Inventory"/>
    <n v="174.06466666666665"/>
    <n v="174.06466666666665"/>
    <n v="10443.879999999999"/>
    <n v="0"/>
    <n v="0"/>
    <n v="69908.78"/>
    <n v="75901.94"/>
    <n v="5993.16"/>
    <n v="0"/>
    <m/>
    <m/>
    <m/>
    <m/>
    <m/>
    <m/>
    <m/>
    <m/>
    <m/>
    <m/>
    <m/>
    <n v="0"/>
    <n v="0"/>
    <n v="0"/>
    <m/>
    <n v="0"/>
    <n v="0"/>
    <n v="0"/>
    <n v="0"/>
    <n v="0"/>
    <m/>
    <n v="0"/>
    <n v="0"/>
    <n v="0"/>
    <n v="0"/>
    <n v="0"/>
    <n v="0"/>
  </r>
  <r>
    <s v="CC"/>
    <s v="K"/>
    <n v="1191700"/>
    <s v="MOI HIGH"/>
    <n v="90506"/>
    <n v="1"/>
    <m/>
    <n v="150126"/>
    <x v="2"/>
    <x v="15"/>
    <n v="2526"/>
    <s v="Inventory"/>
    <n v="7.2186666666666666"/>
    <n v="7.2186666666666666"/>
    <n v="433.12"/>
    <n v="0"/>
    <n v="0"/>
    <n v="2517.9899999999998"/>
    <n v="2499.02"/>
    <n v="0"/>
    <n v="-18.97"/>
    <m/>
    <m/>
    <m/>
    <m/>
    <m/>
    <m/>
    <s v="7"/>
    <m/>
    <m/>
    <m/>
    <m/>
    <n v="0"/>
    <n v="0"/>
    <n v="0"/>
    <m/>
    <n v="0"/>
    <n v="0"/>
    <n v="0"/>
    <n v="0"/>
    <n v="0"/>
    <m/>
    <n v="0"/>
    <n v="0"/>
    <n v="0"/>
    <n v="0"/>
    <n v="0"/>
    <n v="0"/>
  </r>
  <r>
    <s v="CC"/>
    <s v="K"/>
    <n v="1194900"/>
    <s v="DEK HAMBUR"/>
    <n v="3787658"/>
    <n v="4"/>
    <s v="4910002335"/>
    <n v="210726"/>
    <x v="1"/>
    <x v="1"/>
    <n v="2526"/>
    <s v="Short"/>
    <n v="1280"/>
    <n v="-1280"/>
    <n v="76800"/>
    <n v="0"/>
    <n v="0"/>
    <n v="575953.92000000004"/>
    <n v="546293.76000000001"/>
    <n v="29660.16"/>
    <n v="0"/>
    <m/>
    <m/>
    <m/>
    <m/>
    <m/>
    <m/>
    <m/>
    <m/>
    <m/>
    <m/>
    <m/>
    <n v="0"/>
    <n v="0"/>
    <n v="0"/>
    <m/>
    <n v="0"/>
    <n v="0"/>
    <n v="0"/>
    <n v="0"/>
    <n v="0"/>
    <m/>
    <n v="0"/>
    <n v="0"/>
    <n v="0"/>
    <n v="0"/>
    <n v="0"/>
    <n v="0"/>
  </r>
  <r>
    <s v="CC"/>
    <s v="K"/>
    <n v="1205300"/>
    <s v="HORIZON"/>
    <n v="90550"/>
    <n v="1"/>
    <m/>
    <n v="20726"/>
    <x v="1"/>
    <x v="1"/>
    <n v="2526"/>
    <s v="Inventory"/>
    <n v="3907"/>
    <n v="3907"/>
    <n v="234420"/>
    <n v="0"/>
    <n v="0"/>
    <n v="1854766.04"/>
    <n v="1688433.49"/>
    <n v="0"/>
    <n v="-166332.54999999999"/>
    <m/>
    <m/>
    <m/>
    <m/>
    <m/>
    <m/>
    <s v="7"/>
    <m/>
    <m/>
    <m/>
    <m/>
    <n v="0"/>
    <n v="0"/>
    <n v="0"/>
    <m/>
    <n v="0"/>
    <n v="0"/>
    <n v="0"/>
    <n v="0"/>
    <n v="0"/>
    <m/>
    <n v="0"/>
    <n v="0"/>
    <n v="0"/>
    <n v="0"/>
    <n v="0"/>
    <n v="0"/>
  </r>
  <r>
    <s v="CC"/>
    <s v="K"/>
    <n v="1205300"/>
    <s v="HORIZON"/>
    <n v="90551"/>
    <n v="3"/>
    <m/>
    <n v="20726"/>
    <x v="1"/>
    <x v="1"/>
    <n v="2526"/>
    <s v="Longs"/>
    <n v="2530"/>
    <n v="2530"/>
    <n v="151800"/>
    <n v="0"/>
    <n v="0"/>
    <n v="1188047.52"/>
    <n v="1079783.76"/>
    <n v="0"/>
    <n v="-108263.76"/>
    <m/>
    <m/>
    <m/>
    <m/>
    <m/>
    <m/>
    <m/>
    <m/>
    <m/>
    <m/>
    <m/>
    <n v="0"/>
    <n v="0"/>
    <n v="0"/>
    <m/>
    <n v="0"/>
    <n v="0"/>
    <n v="0"/>
    <n v="0"/>
    <n v="0"/>
    <m/>
    <n v="0"/>
    <n v="0"/>
    <n v="0"/>
    <n v="0"/>
    <n v="0"/>
    <n v="0"/>
  </r>
  <r>
    <s v="CC"/>
    <s v="K"/>
    <n v="1205300"/>
    <s v="HORIZON"/>
    <n v="90554"/>
    <n v="3"/>
    <m/>
    <n v="60726"/>
    <x v="1"/>
    <x v="1"/>
    <n v="2526"/>
    <s v="Longs"/>
    <n v="5730"/>
    <n v="5730"/>
    <n v="343800"/>
    <n v="0"/>
    <n v="0"/>
    <n v="2785467.6"/>
    <n v="2445518.16"/>
    <n v="0"/>
    <n v="-339949.44"/>
    <m/>
    <m/>
    <m/>
    <m/>
    <m/>
    <m/>
    <m/>
    <m/>
    <m/>
    <m/>
    <m/>
    <n v="0"/>
    <n v="0"/>
    <n v="0"/>
    <m/>
    <n v="0"/>
    <n v="0"/>
    <n v="0"/>
    <n v="0"/>
    <n v="0"/>
    <m/>
    <n v="0"/>
    <n v="0"/>
    <n v="0"/>
    <n v="0"/>
    <n v="0"/>
    <n v="0"/>
  </r>
  <r>
    <s v="CC"/>
    <s v="K"/>
    <n v="1205300"/>
    <s v="HORIZON"/>
    <n v="90572"/>
    <n v="3"/>
    <m/>
    <n v="280726"/>
    <x v="1"/>
    <x v="16"/>
    <n v="2526"/>
    <s v="Longs"/>
    <n v="1920"/>
    <n v="1920"/>
    <n v="115200"/>
    <n v="0"/>
    <n v="0"/>
    <n v="838103.04000000004"/>
    <n v="755942.40000000002"/>
    <n v="0"/>
    <n v="-82160.639999999999"/>
    <m/>
    <m/>
    <m/>
    <m/>
    <m/>
    <m/>
    <m/>
    <m/>
    <m/>
    <m/>
    <m/>
    <n v="0"/>
    <n v="0"/>
    <n v="0"/>
    <m/>
    <n v="0"/>
    <n v="0"/>
    <n v="0"/>
    <n v="0"/>
    <n v="0"/>
    <m/>
    <n v="0"/>
    <n v="0"/>
    <n v="0"/>
    <n v="0"/>
    <n v="0"/>
    <n v="0"/>
  </r>
  <r>
    <s v="CC"/>
    <s v="K"/>
    <n v="1206800"/>
    <s v="ETHIO-NIPP"/>
    <n v="90514"/>
    <n v="1"/>
    <m/>
    <n v="250326"/>
    <x v="0"/>
    <x v="4"/>
    <n v="2526"/>
    <s v="Inventory"/>
    <n v="320"/>
    <n v="320"/>
    <n v="19200"/>
    <n v="0"/>
    <n v="0"/>
    <n v="118519.3"/>
    <n v="106944"/>
    <n v="0"/>
    <n v="-11575.3"/>
    <m/>
    <m/>
    <m/>
    <m/>
    <m/>
    <m/>
    <m/>
    <m/>
    <m/>
    <m/>
    <m/>
    <n v="0"/>
    <n v="0"/>
    <n v="0"/>
    <m/>
    <n v="0"/>
    <n v="0"/>
    <n v="0"/>
    <n v="0"/>
    <n v="0"/>
    <m/>
    <n v="0"/>
    <n v="0"/>
    <n v="0"/>
    <n v="0"/>
    <n v="0"/>
    <n v="0"/>
  </r>
  <r>
    <s v="CC"/>
    <s v="K"/>
    <n v="1209800"/>
    <s v="FAIRVIEW"/>
    <n v="90540"/>
    <n v="1"/>
    <m/>
    <n v="190626"/>
    <x v="2"/>
    <x v="13"/>
    <n v="2526"/>
    <s v="Inventory"/>
    <n v="36.123666666666665"/>
    <n v="36.123666666666665"/>
    <n v="2167.42"/>
    <n v="0"/>
    <n v="0"/>
    <n v="13195.25"/>
    <n v="15751.94"/>
    <n v="2556.69"/>
    <n v="0"/>
    <m/>
    <m/>
    <m/>
    <m/>
    <m/>
    <m/>
    <m/>
    <m/>
    <m/>
    <m/>
    <m/>
    <n v="0"/>
    <n v="0"/>
    <n v="0"/>
    <m/>
    <n v="0"/>
    <n v="0"/>
    <n v="0"/>
    <n v="0"/>
    <n v="0"/>
    <m/>
    <n v="0"/>
    <n v="0"/>
    <n v="0"/>
    <n v="0"/>
    <n v="0"/>
    <n v="0"/>
  </r>
  <r>
    <s v="CC"/>
    <s v="K"/>
    <n v="1219600"/>
    <s v="ENDEBESS"/>
    <n v="90491"/>
    <n v="1"/>
    <m/>
    <n v="110925"/>
    <x v="2"/>
    <x v="17"/>
    <n v="2526"/>
    <s v="Inventory"/>
    <n v="10.999833333333333"/>
    <n v="10.999833333333333"/>
    <n v="659.99"/>
    <n v="0"/>
    <n v="0"/>
    <n v="5609.94"/>
    <n v="4928.41"/>
    <n v="0"/>
    <n v="-681.53"/>
    <m/>
    <m/>
    <m/>
    <m/>
    <m/>
    <m/>
    <s v="7"/>
    <m/>
    <m/>
    <m/>
    <m/>
    <n v="0"/>
    <n v="0"/>
    <n v="0"/>
    <m/>
    <n v="0"/>
    <n v="0"/>
    <n v="0"/>
    <n v="0"/>
    <n v="0"/>
    <m/>
    <n v="0"/>
    <n v="0"/>
    <n v="0"/>
    <n v="0"/>
    <n v="0"/>
    <n v="0"/>
  </r>
  <r>
    <s v="CC"/>
    <s v="K"/>
    <n v="1219600"/>
    <s v="ENDEBESS"/>
    <n v="90492"/>
    <n v="1"/>
    <m/>
    <n v="110925"/>
    <x v="2"/>
    <x v="13"/>
    <n v="2526"/>
    <s v="Inventory"/>
    <n v="43"/>
    <n v="43"/>
    <n v="2580"/>
    <n v="0"/>
    <n v="0"/>
    <n v="20652.099999999999"/>
    <n v="18981.580000000002"/>
    <n v="0"/>
    <n v="-1670.52"/>
    <m/>
    <m/>
    <m/>
    <m/>
    <m/>
    <m/>
    <s v="7"/>
    <m/>
    <m/>
    <m/>
    <m/>
    <n v="0"/>
    <n v="0"/>
    <n v="0"/>
    <m/>
    <n v="0"/>
    <n v="0"/>
    <n v="0"/>
    <n v="0"/>
    <n v="0"/>
    <m/>
    <n v="0"/>
    <n v="0"/>
    <n v="0"/>
    <n v="0"/>
    <n v="0"/>
    <n v="0"/>
  </r>
  <r>
    <s v="CC"/>
    <s v="K"/>
    <n v="1219600"/>
    <s v="ENDEBESS"/>
    <n v="90494"/>
    <n v="1"/>
    <m/>
    <n v="120925"/>
    <x v="2"/>
    <x v="17"/>
    <n v="2526"/>
    <s v="Inventory"/>
    <n v="149"/>
    <n v="149"/>
    <n v="8940"/>
    <n v="0"/>
    <n v="0"/>
    <n v="77637.13"/>
    <n v="66758.559999999998"/>
    <n v="0"/>
    <n v="-10878.57"/>
    <m/>
    <m/>
    <m/>
    <m/>
    <m/>
    <m/>
    <s v="7"/>
    <m/>
    <m/>
    <m/>
    <m/>
    <n v="0"/>
    <n v="0"/>
    <n v="0"/>
    <m/>
    <n v="0"/>
    <n v="0"/>
    <n v="0"/>
    <n v="0"/>
    <n v="0"/>
    <m/>
    <n v="0"/>
    <n v="0"/>
    <n v="0"/>
    <n v="0"/>
    <n v="0"/>
    <n v="0"/>
  </r>
  <r>
    <s v="CC"/>
    <s v="K"/>
    <n v="1219600"/>
    <s v="ENDEBESS"/>
    <n v="90511"/>
    <n v="1"/>
    <m/>
    <n v="270226"/>
    <x v="2"/>
    <x v="15"/>
    <n v="2526"/>
    <s v="Inventory"/>
    <n v="18.987833333333334"/>
    <n v="18.987833333333334"/>
    <n v="1139.27"/>
    <n v="0"/>
    <n v="0"/>
    <n v="5340.76"/>
    <n v="6573.36"/>
    <n v="1232.5999999999999"/>
    <n v="0"/>
    <m/>
    <m/>
    <m/>
    <m/>
    <m/>
    <m/>
    <s v="7"/>
    <m/>
    <m/>
    <m/>
    <m/>
    <n v="0"/>
    <n v="0"/>
    <n v="0"/>
    <m/>
    <n v="0"/>
    <n v="0"/>
    <n v="0"/>
    <n v="0"/>
    <n v="0"/>
    <m/>
    <n v="0"/>
    <n v="0"/>
    <n v="0"/>
    <n v="0"/>
    <n v="0"/>
    <n v="0"/>
  </r>
  <r>
    <s v="CC"/>
    <s v="K"/>
    <n v="1365200"/>
    <s v="INOI"/>
    <n v="90508"/>
    <n v="1"/>
    <m/>
    <n v="200126"/>
    <x v="2"/>
    <x v="13"/>
    <n v="2526"/>
    <s v="Inventory"/>
    <n v="1.0113333333333334"/>
    <n v="1.0113333333333334"/>
    <n v="60.68"/>
    <n v="0"/>
    <n v="0"/>
    <n v="463.11"/>
    <n v="441"/>
    <n v="0"/>
    <n v="-22.11"/>
    <m/>
    <m/>
    <m/>
    <m/>
    <m/>
    <m/>
    <m/>
    <m/>
    <m/>
    <m/>
    <m/>
    <n v="0"/>
    <n v="0"/>
    <n v="0"/>
    <m/>
    <n v="0"/>
    <n v="0"/>
    <n v="0"/>
    <n v="0"/>
    <n v="0"/>
    <m/>
    <n v="0"/>
    <n v="0"/>
    <n v="0"/>
    <n v="0"/>
    <n v="0"/>
    <n v="0"/>
  </r>
  <r>
    <s v="CC"/>
    <s v="K"/>
    <n v="1365200"/>
    <s v="INOI"/>
    <n v="90602"/>
    <n v="3"/>
    <m/>
    <n v="300926"/>
    <x v="2"/>
    <x v="17"/>
    <n v="2526"/>
    <s v="Longs"/>
    <n v="211.61666666666667"/>
    <n v="211.61666666666667"/>
    <n v="12697"/>
    <n v="0"/>
    <n v="0"/>
    <n v="102523.2"/>
    <n v="93675.93"/>
    <n v="0"/>
    <n v="-8847.27"/>
    <m/>
    <m/>
    <m/>
    <m/>
    <m/>
    <m/>
    <m/>
    <m/>
    <m/>
    <m/>
    <m/>
    <n v="0"/>
    <n v="0"/>
    <n v="0"/>
    <m/>
    <n v="0"/>
    <n v="0"/>
    <n v="0"/>
    <n v="0"/>
    <n v="0"/>
    <m/>
    <n v="0"/>
    <n v="0"/>
    <n v="0"/>
    <n v="0"/>
    <n v="0"/>
    <n v="0"/>
  </r>
  <r>
    <s v="CC"/>
    <s v="K"/>
    <n v="1386900"/>
    <s v="KIGUTHA"/>
    <n v="90548"/>
    <n v="1"/>
    <m/>
    <n v="10726"/>
    <x v="2"/>
    <x v="13"/>
    <n v="2526"/>
    <s v="Inventory"/>
    <n v="272.303"/>
    <n v="272.303"/>
    <n v="16338.18"/>
    <n v="0"/>
    <n v="0"/>
    <n v="103366.45"/>
    <n v="118739.36"/>
    <n v="15372.91"/>
    <n v="0"/>
    <m/>
    <m/>
    <m/>
    <m/>
    <m/>
    <m/>
    <m/>
    <m/>
    <m/>
    <m/>
    <m/>
    <n v="0"/>
    <n v="0"/>
    <n v="0"/>
    <m/>
    <n v="0"/>
    <n v="0"/>
    <n v="0"/>
    <n v="0"/>
    <n v="0"/>
    <m/>
    <n v="0"/>
    <n v="0"/>
    <n v="0"/>
    <n v="0"/>
    <n v="0"/>
    <n v="0"/>
  </r>
  <r>
    <s v="CC"/>
    <s v="K"/>
    <n v="1386900"/>
    <s v="KIGUTHA"/>
    <n v="90548"/>
    <n v="3"/>
    <m/>
    <n v="10726"/>
    <x v="2"/>
    <x v="13"/>
    <n v="2526"/>
    <s v="Longs"/>
    <n v="60"/>
    <n v="60"/>
    <n v="3600"/>
    <n v="0"/>
    <n v="0"/>
    <n v="22775.040000000001"/>
    <n v="26163.360000000001"/>
    <n v="3388.32"/>
    <n v="0"/>
    <m/>
    <m/>
    <m/>
    <m/>
    <m/>
    <m/>
    <m/>
    <m/>
    <m/>
    <m/>
    <m/>
    <n v="0"/>
    <n v="0"/>
    <n v="0"/>
    <m/>
    <n v="0"/>
    <n v="0"/>
    <n v="0"/>
    <n v="0"/>
    <n v="0"/>
    <m/>
    <n v="0"/>
    <n v="0"/>
    <n v="0"/>
    <n v="0"/>
    <n v="0"/>
    <n v="0"/>
  </r>
  <r>
    <s v="CC"/>
    <s v="K"/>
    <n v="1456500"/>
    <s v="MACHURE"/>
    <n v="90545"/>
    <n v="1"/>
    <m/>
    <n v="10726"/>
    <x v="2"/>
    <x v="13"/>
    <n v="2526"/>
    <s v="Inventory"/>
    <n v="195.93833333333333"/>
    <n v="195.93833333333333"/>
    <n v="11756.3"/>
    <n v="0"/>
    <n v="0"/>
    <n v="74450.63"/>
    <n v="85440.09"/>
    <n v="10989.46"/>
    <n v="0"/>
    <m/>
    <m/>
    <m/>
    <m/>
    <m/>
    <m/>
    <m/>
    <m/>
    <m/>
    <m/>
    <m/>
    <n v="0"/>
    <n v="0"/>
    <n v="0"/>
    <m/>
    <n v="0"/>
    <n v="0"/>
    <n v="0"/>
    <n v="0"/>
    <n v="0"/>
    <m/>
    <n v="0"/>
    <n v="0"/>
    <n v="0"/>
    <n v="0"/>
    <n v="0"/>
    <n v="0"/>
  </r>
  <r>
    <s v="CC"/>
    <s v="K"/>
    <n v="1456500"/>
    <s v="MACHURE"/>
    <n v="90574"/>
    <n v="1"/>
    <m/>
    <n v="50826"/>
    <x v="2"/>
    <x v="13"/>
    <n v="2526"/>
    <s v="Inventory"/>
    <n v="48.033333333333331"/>
    <n v="48.033333333333331"/>
    <n v="2882"/>
    <n v="0"/>
    <n v="0"/>
    <n v="20174"/>
    <n v="20945.22"/>
    <n v="771.22"/>
    <n v="0"/>
    <m/>
    <m/>
    <m/>
    <m/>
    <m/>
    <m/>
    <m/>
    <m/>
    <m/>
    <m/>
    <m/>
    <n v="0"/>
    <n v="0"/>
    <n v="0"/>
    <m/>
    <n v="0"/>
    <n v="0"/>
    <n v="0"/>
    <n v="0"/>
    <n v="0"/>
    <m/>
    <n v="0"/>
    <n v="0"/>
    <n v="0"/>
    <n v="0"/>
    <n v="0"/>
    <n v="0"/>
  </r>
  <r>
    <s v="CC"/>
    <s v="K"/>
    <n v="1521900"/>
    <s v="MUHUGU"/>
    <n v="90542"/>
    <n v="1"/>
    <m/>
    <n v="300626"/>
    <x v="2"/>
    <x v="13"/>
    <n v="2526"/>
    <s v="Inventory"/>
    <n v="92.947666666666663"/>
    <n v="92.947666666666663"/>
    <n v="5576.86"/>
    <n v="0"/>
    <n v="0"/>
    <n v="35933.339999999997"/>
    <n v="40530.39"/>
    <n v="4597.05"/>
    <n v="0"/>
    <m/>
    <m/>
    <m/>
    <m/>
    <m/>
    <m/>
    <m/>
    <m/>
    <m/>
    <m/>
    <m/>
    <n v="0"/>
    <n v="0"/>
    <n v="0"/>
    <m/>
    <n v="0"/>
    <n v="0"/>
    <n v="0"/>
    <n v="0"/>
    <n v="0"/>
    <m/>
    <n v="0"/>
    <n v="0"/>
    <n v="0"/>
    <n v="0"/>
    <n v="0"/>
    <n v="0"/>
  </r>
  <r>
    <s v="CC"/>
    <s v="K"/>
    <n v="1523000"/>
    <s v="MUTIRA"/>
    <n v="90583"/>
    <n v="1"/>
    <m/>
    <n v="130826"/>
    <x v="2"/>
    <x v="13"/>
    <n v="2526"/>
    <s v="Inventory"/>
    <n v="215.93333333333334"/>
    <n v="215.93333333333334"/>
    <n v="12956"/>
    <n v="0"/>
    <n v="0"/>
    <n v="102020.73"/>
    <n v="94159.03"/>
    <n v="0"/>
    <n v="-7861.7"/>
    <m/>
    <m/>
    <m/>
    <m/>
    <m/>
    <m/>
    <m/>
    <m/>
    <m/>
    <m/>
    <m/>
    <n v="0"/>
    <n v="0"/>
    <n v="0"/>
    <m/>
    <n v="0"/>
    <n v="0"/>
    <n v="0"/>
    <n v="0"/>
    <n v="0"/>
    <m/>
    <n v="0"/>
    <n v="0"/>
    <n v="0"/>
    <n v="0"/>
    <n v="0"/>
    <n v="0"/>
  </r>
  <r>
    <s v="CC"/>
    <s v="K"/>
    <n v="1533600"/>
    <s v="NDARUGU"/>
    <n v="90547"/>
    <n v="1"/>
    <m/>
    <n v="10726"/>
    <x v="2"/>
    <x v="13"/>
    <n v="2526"/>
    <s v="Inventory"/>
    <n v="65.298500000000004"/>
    <n v="65.298500000000004"/>
    <n v="3917.91"/>
    <n v="0"/>
    <n v="0"/>
    <n v="24790.97"/>
    <n v="28473.8"/>
    <n v="3682.83"/>
    <n v="0"/>
    <m/>
    <m/>
    <m/>
    <m/>
    <m/>
    <m/>
    <m/>
    <m/>
    <m/>
    <m/>
    <m/>
    <n v="0"/>
    <n v="0"/>
    <n v="0"/>
    <m/>
    <n v="0"/>
    <n v="0"/>
    <n v="0"/>
    <n v="0"/>
    <n v="0"/>
    <m/>
    <n v="0"/>
    <n v="0"/>
    <n v="0"/>
    <n v="0"/>
    <n v="0"/>
    <n v="0"/>
  </r>
  <r>
    <s v="CC"/>
    <s v="K"/>
    <n v="1564900"/>
    <s v="OROMIA"/>
    <n v="90527"/>
    <n v="3"/>
    <m/>
    <n v="280426"/>
    <x v="0"/>
    <x v="0"/>
    <n v="2526"/>
    <s v="Longs"/>
    <n v="320"/>
    <n v="320"/>
    <n v="19200"/>
    <n v="0"/>
    <n v="0"/>
    <n v="116824.32000000001"/>
    <n v="106944"/>
    <n v="0"/>
    <n v="-9880.32"/>
    <m/>
    <m/>
    <m/>
    <m/>
    <m/>
    <m/>
    <m/>
    <m/>
    <m/>
    <m/>
    <m/>
    <n v="0"/>
    <n v="0"/>
    <n v="0"/>
    <m/>
    <n v="0"/>
    <n v="0"/>
    <n v="0"/>
    <n v="0"/>
    <n v="0"/>
    <m/>
    <n v="0"/>
    <n v="0"/>
    <n v="0"/>
    <n v="0"/>
    <n v="0"/>
    <n v="0"/>
  </r>
  <r>
    <s v="CC"/>
    <s v="K"/>
    <n v="1564900"/>
    <s v="OROMIA"/>
    <n v="90555"/>
    <n v="3"/>
    <m/>
    <n v="60726"/>
    <x v="0"/>
    <x v="7"/>
    <n v="2526"/>
    <s v="Longs"/>
    <n v="2240"/>
    <n v="2240"/>
    <n v="134400"/>
    <n v="0"/>
    <n v="0"/>
    <n v="829624.31999999995"/>
    <n v="763418.88"/>
    <n v="0"/>
    <n v="-66205.440000000002"/>
    <m/>
    <m/>
    <m/>
    <m/>
    <m/>
    <m/>
    <m/>
    <m/>
    <m/>
    <m/>
    <m/>
    <n v="0"/>
    <n v="0"/>
    <n v="0"/>
    <m/>
    <n v="0"/>
    <n v="0"/>
    <n v="0"/>
    <n v="0"/>
    <n v="0"/>
    <m/>
    <n v="0"/>
    <n v="0"/>
    <n v="0"/>
    <n v="0"/>
    <n v="0"/>
    <n v="0"/>
  </r>
  <r>
    <s v="CC"/>
    <s v="K"/>
    <n v="1564900"/>
    <s v="OROMIA"/>
    <n v="90556"/>
    <n v="3"/>
    <m/>
    <n v="60726"/>
    <x v="0"/>
    <x v="0"/>
    <n v="2526"/>
    <s v="Longs"/>
    <n v="2240"/>
    <n v="2240"/>
    <n v="134400"/>
    <n v="0"/>
    <n v="0"/>
    <n v="814813.44"/>
    <n v="748608"/>
    <n v="0"/>
    <n v="-66205.440000000002"/>
    <m/>
    <m/>
    <m/>
    <m/>
    <m/>
    <m/>
    <m/>
    <m/>
    <m/>
    <m/>
    <m/>
    <n v="0"/>
    <n v="0"/>
    <n v="0"/>
    <m/>
    <n v="0"/>
    <n v="0"/>
    <n v="0"/>
    <n v="0"/>
    <n v="0"/>
    <m/>
    <n v="0"/>
    <n v="0"/>
    <n v="0"/>
    <n v="0"/>
    <n v="0"/>
    <n v="0"/>
  </r>
  <r>
    <s v="CC"/>
    <s v="K"/>
    <n v="1564900"/>
    <s v="OROMIA"/>
    <n v="90560"/>
    <n v="3"/>
    <m/>
    <n v="90726"/>
    <x v="0"/>
    <x v="8"/>
    <n v="2526"/>
    <s v="Longs"/>
    <n v="4800"/>
    <n v="4800"/>
    <n v="288000"/>
    <n v="0"/>
    <n v="0"/>
    <n v="1777766.3999999999"/>
    <n v="1635897.6"/>
    <n v="0"/>
    <n v="-141868.79999999999"/>
    <m/>
    <m/>
    <m/>
    <m/>
    <m/>
    <m/>
    <m/>
    <m/>
    <m/>
    <m/>
    <m/>
    <n v="0"/>
    <n v="0"/>
    <n v="0"/>
    <m/>
    <n v="0"/>
    <n v="0"/>
    <n v="0"/>
    <n v="0"/>
    <n v="0"/>
    <m/>
    <n v="0"/>
    <n v="0"/>
    <n v="0"/>
    <n v="0"/>
    <n v="0"/>
    <n v="0"/>
  </r>
  <r>
    <s v="CC"/>
    <s v="K"/>
    <n v="1564900"/>
    <s v="OROMIA"/>
    <n v="90561"/>
    <n v="3"/>
    <m/>
    <n v="90726"/>
    <x v="0"/>
    <x v="4"/>
    <n v="2526"/>
    <s v="Longs"/>
    <n v="1600"/>
    <n v="1600"/>
    <n v="96000"/>
    <n v="0"/>
    <n v="0"/>
    <n v="582009.59999999998"/>
    <n v="534720"/>
    <n v="0"/>
    <n v="-47289.599999999999"/>
    <m/>
    <m/>
    <m/>
    <m/>
    <m/>
    <m/>
    <m/>
    <m/>
    <m/>
    <m/>
    <m/>
    <n v="0"/>
    <n v="0"/>
    <n v="0"/>
    <m/>
    <n v="0"/>
    <n v="0"/>
    <n v="0"/>
    <n v="0"/>
    <n v="0"/>
    <m/>
    <n v="0"/>
    <n v="0"/>
    <n v="0"/>
    <n v="0"/>
    <n v="0"/>
    <n v="0"/>
  </r>
  <r>
    <s v="CC"/>
    <s v="K"/>
    <n v="1651600"/>
    <s v="RUNG'ETO"/>
    <n v="90485"/>
    <n v="1"/>
    <m/>
    <n v="80825"/>
    <x v="2"/>
    <x v="13"/>
    <n v="2425"/>
    <s v="Inventory"/>
    <n v="70.060333333333332"/>
    <n v="70.060333333333332"/>
    <n v="4203.62"/>
    <n v="0"/>
    <n v="0"/>
    <n v="29677.56"/>
    <n v="30550.23"/>
    <n v="872.67"/>
    <n v="0"/>
    <m/>
    <m/>
    <m/>
    <m/>
    <m/>
    <m/>
    <m/>
    <m/>
    <m/>
    <m/>
    <m/>
    <n v="0"/>
    <n v="0"/>
    <n v="0"/>
    <m/>
    <n v="0"/>
    <n v="0"/>
    <n v="0"/>
    <n v="0"/>
    <n v="0"/>
    <m/>
    <n v="0"/>
    <n v="0"/>
    <n v="0"/>
    <n v="0"/>
    <n v="0"/>
    <n v="0"/>
  </r>
  <r>
    <s v="CC"/>
    <s v="K"/>
    <n v="1651600"/>
    <s v="RUNG'ETO"/>
    <n v="90568"/>
    <n v="1"/>
    <m/>
    <n v="220726"/>
    <x v="2"/>
    <x v="13"/>
    <n v="2526"/>
    <s v="Inventory"/>
    <n v="374.00483333333335"/>
    <n v="374.00483333333335"/>
    <n v="22440.29"/>
    <n v="0"/>
    <n v="0"/>
    <n v="180756.43"/>
    <n v="165097.70000000001"/>
    <n v="0"/>
    <n v="-15658.73"/>
    <m/>
    <m/>
    <m/>
    <m/>
    <m/>
    <m/>
    <s v="7"/>
    <m/>
    <m/>
    <m/>
    <m/>
    <n v="0"/>
    <n v="0"/>
    <n v="0"/>
    <m/>
    <n v="0"/>
    <n v="0"/>
    <n v="0"/>
    <n v="0"/>
    <n v="0"/>
    <m/>
    <n v="0"/>
    <n v="0"/>
    <n v="0"/>
    <n v="0"/>
    <n v="0"/>
    <n v="0"/>
  </r>
  <r>
    <s v="CC"/>
    <s v="K"/>
    <n v="1651600"/>
    <s v="RUNG'ETO"/>
    <n v="90576"/>
    <n v="1"/>
    <m/>
    <n v="60826"/>
    <x v="2"/>
    <x v="13"/>
    <n v="2526"/>
    <s v="Inventory"/>
    <n v="301.91533333333331"/>
    <n v="301.91533333333331"/>
    <n v="18114.919999999998"/>
    <n v="0"/>
    <n v="0"/>
    <n v="135097.45000000001"/>
    <n v="131651.99"/>
    <n v="0"/>
    <n v="-3445.46"/>
    <m/>
    <m/>
    <m/>
    <m/>
    <m/>
    <m/>
    <m/>
    <m/>
    <m/>
    <m/>
    <m/>
    <n v="0"/>
    <n v="0"/>
    <n v="0"/>
    <m/>
    <n v="0"/>
    <n v="0"/>
    <n v="0"/>
    <n v="0"/>
    <n v="0"/>
    <m/>
    <n v="0"/>
    <n v="0"/>
    <n v="0"/>
    <n v="0"/>
    <n v="0"/>
    <n v="0"/>
  </r>
  <r>
    <s v="CC"/>
    <s v="K"/>
    <n v="1651600"/>
    <s v="RUNG'ETO"/>
    <n v="90577"/>
    <n v="1"/>
    <m/>
    <n v="110826"/>
    <x v="2"/>
    <x v="13"/>
    <n v="2526"/>
    <s v="Inventory"/>
    <n v="39.625"/>
    <n v="39.625"/>
    <n v="2377.5"/>
    <n v="0"/>
    <n v="0"/>
    <n v="17941.72"/>
    <n v="17278.72"/>
    <n v="0"/>
    <n v="-663"/>
    <m/>
    <m/>
    <m/>
    <m/>
    <m/>
    <m/>
    <m/>
    <m/>
    <m/>
    <m/>
    <m/>
    <n v="0"/>
    <n v="0"/>
    <n v="0"/>
    <m/>
    <n v="0"/>
    <n v="0"/>
    <n v="0"/>
    <n v="0"/>
    <n v="0"/>
    <m/>
    <n v="0"/>
    <n v="0"/>
    <n v="0"/>
    <n v="0"/>
    <n v="0"/>
    <n v="0"/>
  </r>
  <r>
    <s v="CC"/>
    <s v="K"/>
    <n v="1651600"/>
    <s v="RUNG'ETO"/>
    <n v="90578"/>
    <n v="1"/>
    <m/>
    <n v="110826"/>
    <x v="2"/>
    <x v="15"/>
    <n v="2526"/>
    <s v="Inventory"/>
    <n v="11.866666666666667"/>
    <n v="11.866666666666667"/>
    <n v="712"/>
    <n v="0"/>
    <n v="0"/>
    <n v="3660.71"/>
    <n v="4044.3"/>
    <n v="383.59"/>
    <n v="0"/>
    <m/>
    <m/>
    <m/>
    <m/>
    <m/>
    <m/>
    <m/>
    <m/>
    <m/>
    <m/>
    <m/>
    <n v="0"/>
    <n v="0"/>
    <n v="0"/>
    <m/>
    <n v="0"/>
    <n v="0"/>
    <n v="0"/>
    <n v="0"/>
    <n v="0"/>
    <m/>
    <n v="0"/>
    <n v="0"/>
    <n v="0"/>
    <n v="0"/>
    <n v="0"/>
    <n v="0"/>
  </r>
  <r>
    <s v="CC"/>
    <s v="K"/>
    <n v="1651600"/>
    <s v="RUNG'ETO"/>
    <n v="90581"/>
    <n v="1"/>
    <m/>
    <n v="130826"/>
    <x v="2"/>
    <x v="13"/>
    <n v="2526"/>
    <s v="Inventory"/>
    <n v="44.866666666666667"/>
    <n v="44.866666666666667"/>
    <n v="2692"/>
    <n v="0"/>
    <n v="0"/>
    <n v="18201.3"/>
    <n v="19564.38"/>
    <n v="1363.08"/>
    <n v="0"/>
    <m/>
    <m/>
    <m/>
    <m/>
    <m/>
    <m/>
    <m/>
    <m/>
    <m/>
    <m/>
    <m/>
    <n v="0"/>
    <n v="0"/>
    <n v="0"/>
    <m/>
    <n v="0"/>
    <n v="0"/>
    <n v="0"/>
    <n v="0"/>
    <n v="0"/>
    <m/>
    <n v="0"/>
    <n v="0"/>
    <n v="0"/>
    <n v="0"/>
    <n v="0"/>
    <n v="0"/>
  </r>
  <r>
    <s v="CC"/>
    <s v="K"/>
    <n v="1651600"/>
    <s v="RUNG'ETO"/>
    <n v="90582"/>
    <n v="1"/>
    <m/>
    <n v="130826"/>
    <x v="2"/>
    <x v="15"/>
    <n v="2526"/>
    <s v="Inventory"/>
    <n v="88.15"/>
    <n v="88.15"/>
    <n v="5289"/>
    <n v="0"/>
    <n v="0"/>
    <n v="30046.63"/>
    <n v="30042.58"/>
    <n v="0"/>
    <n v="-4.05"/>
    <m/>
    <m/>
    <m/>
    <m/>
    <m/>
    <m/>
    <m/>
    <m/>
    <m/>
    <m/>
    <m/>
    <n v="0"/>
    <n v="0"/>
    <n v="0"/>
    <m/>
    <n v="0"/>
    <n v="0"/>
    <n v="0"/>
    <n v="0"/>
    <n v="0"/>
    <m/>
    <n v="0"/>
    <n v="0"/>
    <n v="0"/>
    <n v="0"/>
    <n v="0"/>
    <n v="0"/>
  </r>
  <r>
    <s v="CC"/>
    <s v="K"/>
    <n v="1651600"/>
    <s v="RUNG'ETO"/>
    <n v="90589"/>
    <n v="1"/>
    <m/>
    <n v="30926"/>
    <x v="2"/>
    <x v="17"/>
    <n v="2526"/>
    <s v="Inventory"/>
    <n v="236.83333333333334"/>
    <n v="236.83333333333334"/>
    <n v="14210"/>
    <n v="0"/>
    <n v="0"/>
    <n v="113548.82"/>
    <n v="104838.54"/>
    <n v="0"/>
    <n v="-8710.2800000000007"/>
    <m/>
    <m/>
    <m/>
    <m/>
    <m/>
    <m/>
    <m/>
    <m/>
    <m/>
    <m/>
    <m/>
    <n v="0"/>
    <n v="0"/>
    <n v="0"/>
    <m/>
    <n v="0"/>
    <n v="0"/>
    <n v="0"/>
    <n v="0"/>
    <n v="0"/>
    <m/>
    <n v="0"/>
    <n v="0"/>
    <n v="0"/>
    <n v="0"/>
    <n v="0"/>
    <n v="0"/>
  </r>
  <r>
    <s v="CC"/>
    <s v="K"/>
    <n v="1651600"/>
    <s v="RUNG'ETO"/>
    <n v="90590"/>
    <n v="1"/>
    <m/>
    <n v="30926"/>
    <x v="2"/>
    <x v="13"/>
    <n v="2526"/>
    <s v="Inventory"/>
    <n v="241.55"/>
    <n v="241.55"/>
    <n v="14493"/>
    <n v="0"/>
    <n v="0"/>
    <n v="104070.56"/>
    <n v="105329.33"/>
    <n v="1258.77"/>
    <n v="0"/>
    <m/>
    <m/>
    <m/>
    <m/>
    <m/>
    <m/>
    <m/>
    <m/>
    <m/>
    <m/>
    <m/>
    <n v="0"/>
    <n v="0"/>
    <n v="0"/>
    <m/>
    <n v="0"/>
    <n v="0"/>
    <n v="0"/>
    <n v="0"/>
    <n v="0"/>
    <m/>
    <n v="0"/>
    <n v="0"/>
    <n v="0"/>
    <n v="0"/>
    <n v="0"/>
    <n v="0"/>
  </r>
  <r>
    <s v="CC"/>
    <s v="K"/>
    <n v="1651600"/>
    <s v="RUNG'ETO"/>
    <n v="90591"/>
    <n v="1"/>
    <m/>
    <n v="30926"/>
    <x v="2"/>
    <x v="15"/>
    <n v="2526"/>
    <s v="Inventory"/>
    <n v="114.03333333333333"/>
    <n v="114.03333333333333"/>
    <n v="6842"/>
    <n v="0"/>
    <n v="0"/>
    <n v="35122.21"/>
    <n v="38863.93"/>
    <n v="3741.72"/>
    <n v="0"/>
    <m/>
    <m/>
    <m/>
    <m/>
    <m/>
    <m/>
    <m/>
    <m/>
    <m/>
    <m/>
    <m/>
    <n v="0"/>
    <n v="0"/>
    <n v="0"/>
    <m/>
    <n v="0"/>
    <n v="0"/>
    <n v="0"/>
    <n v="0"/>
    <n v="0"/>
    <m/>
    <n v="0"/>
    <n v="0"/>
    <n v="0"/>
    <n v="0"/>
    <n v="0"/>
    <n v="0"/>
  </r>
  <r>
    <m/>
    <m/>
    <m/>
    <m/>
    <m/>
    <m/>
    <m/>
    <m/>
    <x v="3"/>
    <x v="1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3"/>
    <x v="1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3"/>
    <x v="1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3"/>
    <x v="1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3"/>
    <x v="1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3"/>
    <x v="1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3"/>
    <x v="1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3"/>
    <x v="1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3"/>
    <x v="1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3"/>
    <x v="1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3"/>
    <x v="1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3"/>
    <x v="1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3"/>
    <x v="1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3"/>
    <x v="1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3"/>
    <x v="1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3"/>
    <x v="1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3"/>
    <x v="1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3"/>
    <x v="1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3"/>
    <x v="1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3"/>
    <x v="1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3"/>
    <x v="1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3"/>
    <x v="1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3"/>
    <x v="1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3"/>
    <x v="1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3"/>
    <x v="1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3"/>
    <x v="1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3"/>
    <x v="1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3"/>
    <x v="1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3"/>
    <x v="1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3"/>
    <x v="1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3"/>
    <x v="1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3"/>
    <x v="1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3"/>
    <x v="1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3"/>
    <x v="1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3"/>
    <x v="1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3"/>
    <x v="1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3"/>
    <x v="1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3"/>
    <x v="1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3"/>
    <x v="1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3"/>
    <x v="1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3"/>
    <x v="1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3"/>
    <x v="1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3"/>
    <x v="1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3"/>
    <x v="1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3"/>
    <x v="1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3"/>
    <x v="1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3"/>
    <x v="1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3"/>
    <x v="1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3"/>
    <x v="1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3"/>
    <x v="1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3"/>
    <x v="1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3"/>
    <x v="1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3"/>
    <x v="1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3"/>
    <x v="1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3"/>
    <x v="1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3"/>
    <x v="1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3"/>
    <x v="1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3"/>
    <x v="1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3"/>
    <x v="1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3"/>
    <x v="1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3"/>
    <x v="1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3"/>
    <x v="1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3"/>
    <x v="1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x v="3"/>
    <x v="1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0EBC30-3742-4D1D-B1F3-BC6F50E2DA73}" name="PivotTable16" cacheId="9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9" firstHeaderRow="1" firstDataRow="1" firstDataCol="1" rowPageCount="1" colPageCount="1"/>
  <pivotFields count="48"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5">
        <item h="1" x="0"/>
        <item h="1" x="1"/>
        <item x="2"/>
        <item x="3"/>
        <item t="default"/>
      </items>
    </pivotField>
    <pivotField axis="axisRow" showAll="0">
      <items count="21">
        <item x="0"/>
        <item x="7"/>
        <item x="17"/>
        <item x="1"/>
        <item x="18"/>
        <item x="4"/>
        <item x="8"/>
        <item x="12"/>
        <item x="13"/>
        <item x="5"/>
        <item x="3"/>
        <item x="11"/>
        <item x="6"/>
        <item x="9"/>
        <item x="15"/>
        <item x="14"/>
        <item x="2"/>
        <item x="10"/>
        <item x="16"/>
        <item x="19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9"/>
  </rowFields>
  <rowItems count="16">
    <i>
      <x v="2"/>
    </i>
    <i>
      <x v="3"/>
    </i>
    <i>
      <x v="5"/>
    </i>
    <i>
      <x v="6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9"/>
    </i>
    <i t="grand">
      <x/>
    </i>
  </rowItems>
  <colItems count="1">
    <i/>
  </colItems>
  <pageFields count="1">
    <pageField fld="8" hier="-1"/>
  </pageFields>
  <dataFields count="1">
    <dataField name="Sum of L/S" fld="13" baseField="0" baseItem="0" numFmtId="164"/>
  </dataFields>
  <formats count="2">
    <format dxfId="0">
      <pivotArea outline="0" collapsedLevelsAreSubtotals="1" fieldPosition="0"/>
    </format>
    <format dxfId="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0B571-D811-4F8D-92E6-305A8E7CAD0D}">
  <sheetPr filterMode="1"/>
  <dimension ref="A1:N177"/>
  <sheetViews>
    <sheetView workbookViewId="0">
      <pane ySplit="1" topLeftCell="A67" activePane="bottomLeft" state="frozen"/>
      <selection pane="bottomLeft" activeCell="D1" sqref="D1:D1048576"/>
    </sheetView>
  </sheetViews>
  <sheetFormatPr defaultColWidth="11.5546875" defaultRowHeight="13.2" x14ac:dyDescent="0.25"/>
  <cols>
    <col min="1" max="1" width="14" customWidth="1"/>
    <col min="2" max="2" width="8" customWidth="1"/>
    <col min="3" max="5" width="14" customWidth="1"/>
    <col min="6" max="7" width="16" customWidth="1"/>
    <col min="8" max="8" width="12" customWidth="1"/>
    <col min="9" max="9" width="16" customWidth="1"/>
    <col min="10" max="10" width="8" customWidth="1"/>
    <col min="11" max="11" width="16" customWidth="1"/>
    <col min="12" max="12" width="10.44140625" style="3" customWidth="1"/>
    <col min="13" max="13" width="11.33203125" style="3" customWidth="1"/>
    <col min="14" max="14" width="12" style="3" customWidth="1"/>
  </cols>
  <sheetData>
    <row r="1" spans="1:14" x14ac:dyDescent="0.25">
      <c r="A1" s="4" t="s">
        <v>6</v>
      </c>
      <c r="B1" s="4" t="s">
        <v>7</v>
      </c>
      <c r="C1" s="5" t="s">
        <v>8</v>
      </c>
      <c r="D1" s="5" t="s">
        <v>9</v>
      </c>
      <c r="E1" s="5" t="s">
        <v>10</v>
      </c>
      <c r="F1" s="4" t="s">
        <v>11</v>
      </c>
      <c r="G1" s="5" t="s">
        <v>12</v>
      </c>
      <c r="H1" s="5" t="s">
        <v>0</v>
      </c>
      <c r="I1" s="5" t="s">
        <v>13</v>
      </c>
      <c r="J1" s="5" t="s">
        <v>14</v>
      </c>
      <c r="K1" s="4" t="s">
        <v>15</v>
      </c>
      <c r="L1" s="6" t="s">
        <v>16</v>
      </c>
      <c r="M1" s="7" t="s">
        <v>17</v>
      </c>
      <c r="N1" s="6" t="s">
        <v>18</v>
      </c>
    </row>
    <row r="2" spans="1:14" hidden="1" x14ac:dyDescent="0.25">
      <c r="A2" s="8" t="s">
        <v>20</v>
      </c>
      <c r="B2" s="8" t="s">
        <v>19</v>
      </c>
      <c r="C2" s="8">
        <v>1002500</v>
      </c>
      <c r="D2" s="8">
        <v>3787498</v>
      </c>
      <c r="E2" s="8">
        <v>4</v>
      </c>
      <c r="F2" s="8" t="s">
        <v>21</v>
      </c>
      <c r="G2" s="8">
        <v>20426</v>
      </c>
      <c r="H2" s="8">
        <v>1390</v>
      </c>
      <c r="I2" s="8">
        <v>10020</v>
      </c>
      <c r="J2" s="8">
        <v>2526</v>
      </c>
      <c r="K2" s="8" t="s">
        <v>22</v>
      </c>
      <c r="L2" s="8">
        <f>N2/60</f>
        <v>960</v>
      </c>
      <c r="M2" s="9">
        <f>IF(K2="Short",-L2,L2)</f>
        <v>-960</v>
      </c>
      <c r="N2" s="8">
        <v>57600</v>
      </c>
    </row>
    <row r="3" spans="1:14" hidden="1" x14ac:dyDescent="0.25">
      <c r="A3" s="8" t="s">
        <v>20</v>
      </c>
      <c r="B3" s="8" t="s">
        <v>19</v>
      </c>
      <c r="C3" s="8">
        <v>1002500</v>
      </c>
      <c r="D3" s="8">
        <v>3787631</v>
      </c>
      <c r="E3" s="8">
        <v>4</v>
      </c>
      <c r="F3" s="8" t="s">
        <v>23</v>
      </c>
      <c r="G3" s="8">
        <v>240626</v>
      </c>
      <c r="H3" s="8">
        <v>1390</v>
      </c>
      <c r="I3" s="8">
        <v>10020</v>
      </c>
      <c r="J3" s="8">
        <v>2526</v>
      </c>
      <c r="K3" s="8" t="s">
        <v>22</v>
      </c>
      <c r="L3" s="8">
        <f t="shared" ref="L3:L66" si="0">N3/60</f>
        <v>320</v>
      </c>
      <c r="M3" s="9">
        <f t="shared" ref="M3:M66" si="1">IF(K3="Short",-L3,L3)</f>
        <v>-320</v>
      </c>
      <c r="N3" s="8">
        <v>19200</v>
      </c>
    </row>
    <row r="4" spans="1:14" hidden="1" x14ac:dyDescent="0.25">
      <c r="A4" s="8" t="s">
        <v>20</v>
      </c>
      <c r="B4" s="8" t="s">
        <v>19</v>
      </c>
      <c r="C4" s="8">
        <v>1002500</v>
      </c>
      <c r="D4" s="8">
        <v>3787638</v>
      </c>
      <c r="E4" s="8">
        <v>4</v>
      </c>
      <c r="F4" s="8" t="s">
        <v>24</v>
      </c>
      <c r="G4" s="8">
        <v>70726</v>
      </c>
      <c r="H4" s="8">
        <v>1390</v>
      </c>
      <c r="I4" s="8">
        <v>10020</v>
      </c>
      <c r="J4" s="8">
        <v>2526</v>
      </c>
      <c r="K4" s="8" t="s">
        <v>22</v>
      </c>
      <c r="L4" s="8">
        <f t="shared" si="0"/>
        <v>1280</v>
      </c>
      <c r="M4" s="9">
        <f t="shared" si="1"/>
        <v>-1280</v>
      </c>
      <c r="N4" s="8">
        <v>76800</v>
      </c>
    </row>
    <row r="5" spans="1:14" hidden="1" x14ac:dyDescent="0.25">
      <c r="A5" s="8" t="s">
        <v>20</v>
      </c>
      <c r="B5" s="8" t="s">
        <v>19</v>
      </c>
      <c r="C5" s="8">
        <v>1002500</v>
      </c>
      <c r="D5" s="8">
        <v>3787639</v>
      </c>
      <c r="E5" s="8">
        <v>4</v>
      </c>
      <c r="F5" s="8" t="s">
        <v>25</v>
      </c>
      <c r="G5" s="8">
        <v>70726</v>
      </c>
      <c r="H5" s="8">
        <v>1390</v>
      </c>
      <c r="I5" s="8">
        <v>10020</v>
      </c>
      <c r="J5" s="8">
        <v>2526</v>
      </c>
      <c r="K5" s="8" t="s">
        <v>22</v>
      </c>
      <c r="L5" s="8">
        <f t="shared" si="0"/>
        <v>960</v>
      </c>
      <c r="M5" s="9">
        <f t="shared" si="1"/>
        <v>-960</v>
      </c>
      <c r="N5" s="8">
        <v>57600</v>
      </c>
    </row>
    <row r="6" spans="1:14" hidden="1" x14ac:dyDescent="0.25">
      <c r="A6" s="8" t="s">
        <v>20</v>
      </c>
      <c r="B6" s="8" t="s">
        <v>19</v>
      </c>
      <c r="C6" s="8">
        <v>1002500</v>
      </c>
      <c r="D6" s="8">
        <v>3787697</v>
      </c>
      <c r="E6" s="8">
        <v>4</v>
      </c>
      <c r="F6" s="8" t="s">
        <v>26</v>
      </c>
      <c r="G6" s="8">
        <v>110926</v>
      </c>
      <c r="H6" s="8">
        <v>1391</v>
      </c>
      <c r="I6" s="8">
        <v>10030</v>
      </c>
      <c r="J6" s="8">
        <v>2526</v>
      </c>
      <c r="K6" s="8" t="s">
        <v>22</v>
      </c>
      <c r="L6" s="8">
        <f t="shared" si="0"/>
        <v>355.49983333333336</v>
      </c>
      <c r="M6" s="9">
        <f t="shared" si="1"/>
        <v>-355.49983333333336</v>
      </c>
      <c r="N6" s="8">
        <v>21329.99</v>
      </c>
    </row>
    <row r="7" spans="1:14" hidden="1" x14ac:dyDescent="0.25">
      <c r="A7" s="8" t="s">
        <v>20</v>
      </c>
      <c r="B7" s="8" t="s">
        <v>19</v>
      </c>
      <c r="C7" s="8">
        <v>1003400</v>
      </c>
      <c r="D7" s="8">
        <v>3787232</v>
      </c>
      <c r="E7" s="8">
        <v>4</v>
      </c>
      <c r="F7" s="8" t="s">
        <v>27</v>
      </c>
      <c r="G7" s="8">
        <v>60226</v>
      </c>
      <c r="H7" s="8">
        <v>1430</v>
      </c>
      <c r="I7" s="8">
        <v>10260</v>
      </c>
      <c r="J7" s="8">
        <v>2526</v>
      </c>
      <c r="K7" s="8" t="s">
        <v>22</v>
      </c>
      <c r="L7" s="9">
        <f t="shared" si="0"/>
        <v>333</v>
      </c>
      <c r="M7" s="9">
        <f t="shared" si="1"/>
        <v>-333</v>
      </c>
      <c r="N7" s="9">
        <v>19980</v>
      </c>
    </row>
    <row r="8" spans="1:14" hidden="1" x14ac:dyDescent="0.25">
      <c r="A8" s="8" t="s">
        <v>20</v>
      </c>
      <c r="B8" s="8" t="s">
        <v>19</v>
      </c>
      <c r="C8" s="8">
        <v>1003400</v>
      </c>
      <c r="D8" s="8">
        <v>3787642</v>
      </c>
      <c r="E8" s="8">
        <v>4</v>
      </c>
      <c r="F8" s="8" t="s">
        <v>28</v>
      </c>
      <c r="G8" s="8">
        <v>70726</v>
      </c>
      <c r="H8" s="8">
        <v>1391</v>
      </c>
      <c r="I8" s="8">
        <v>10030</v>
      </c>
      <c r="J8" s="8">
        <v>2526</v>
      </c>
      <c r="K8" s="8" t="s">
        <v>22</v>
      </c>
      <c r="L8" s="8">
        <f t="shared" si="0"/>
        <v>320</v>
      </c>
      <c r="M8" s="9">
        <f t="shared" si="1"/>
        <v>-320</v>
      </c>
      <c r="N8" s="8">
        <v>19200</v>
      </c>
    </row>
    <row r="9" spans="1:14" hidden="1" x14ac:dyDescent="0.25">
      <c r="A9" s="8" t="s">
        <v>20</v>
      </c>
      <c r="B9" s="8" t="s">
        <v>19</v>
      </c>
      <c r="C9" s="8">
        <v>1009900</v>
      </c>
      <c r="D9" s="8">
        <v>3787602</v>
      </c>
      <c r="E9" s="8">
        <v>4</v>
      </c>
      <c r="F9" s="8" t="s">
        <v>29</v>
      </c>
      <c r="G9" s="8">
        <v>210526</v>
      </c>
      <c r="H9" s="8">
        <v>1430</v>
      </c>
      <c r="I9" s="8">
        <v>10070</v>
      </c>
      <c r="J9" s="8">
        <v>2526</v>
      </c>
      <c r="K9" s="8" t="s">
        <v>22</v>
      </c>
      <c r="L9" s="9">
        <f t="shared" si="0"/>
        <v>320</v>
      </c>
      <c r="M9" s="9">
        <f t="shared" si="1"/>
        <v>-320</v>
      </c>
      <c r="N9" s="9">
        <v>19200</v>
      </c>
    </row>
    <row r="10" spans="1:14" hidden="1" x14ac:dyDescent="0.25">
      <c r="A10" s="8" t="s">
        <v>20</v>
      </c>
      <c r="B10" s="8" t="s">
        <v>19</v>
      </c>
      <c r="C10" s="8">
        <v>1010200</v>
      </c>
      <c r="D10" s="8">
        <v>3787680</v>
      </c>
      <c r="E10" s="8">
        <v>4</v>
      </c>
      <c r="F10" s="8" t="s">
        <v>30</v>
      </c>
      <c r="G10" s="8">
        <v>120826</v>
      </c>
      <c r="H10" s="8">
        <v>1430</v>
      </c>
      <c r="I10" s="8">
        <v>10040</v>
      </c>
      <c r="J10" s="8">
        <v>2526</v>
      </c>
      <c r="K10" s="8" t="s">
        <v>22</v>
      </c>
      <c r="L10" s="9">
        <f t="shared" si="0"/>
        <v>320</v>
      </c>
      <c r="M10" s="9">
        <f t="shared" si="1"/>
        <v>-320</v>
      </c>
      <c r="N10" s="9">
        <v>19200</v>
      </c>
    </row>
    <row r="11" spans="1:14" hidden="1" x14ac:dyDescent="0.25">
      <c r="A11" s="8" t="s">
        <v>20</v>
      </c>
      <c r="B11" s="8" t="s">
        <v>19</v>
      </c>
      <c r="C11" s="8">
        <v>1010500</v>
      </c>
      <c r="D11" s="8">
        <v>3787700</v>
      </c>
      <c r="E11" s="8">
        <v>4</v>
      </c>
      <c r="F11" s="8" t="s">
        <v>31</v>
      </c>
      <c r="G11" s="8">
        <v>140926</v>
      </c>
      <c r="H11" s="8">
        <v>1430</v>
      </c>
      <c r="I11" s="8">
        <v>10030</v>
      </c>
      <c r="J11" s="8">
        <v>2526</v>
      </c>
      <c r="K11" s="8" t="s">
        <v>22</v>
      </c>
      <c r="L11" s="9">
        <f t="shared" si="0"/>
        <v>100</v>
      </c>
      <c r="M11" s="9">
        <f t="shared" si="1"/>
        <v>-100</v>
      </c>
      <c r="N11" s="9">
        <v>6000</v>
      </c>
    </row>
    <row r="12" spans="1:14" hidden="1" x14ac:dyDescent="0.25">
      <c r="A12" s="8" t="s">
        <v>20</v>
      </c>
      <c r="B12" s="8" t="s">
        <v>19</v>
      </c>
      <c r="C12" s="8">
        <v>1010500</v>
      </c>
      <c r="D12" s="8">
        <v>3787701</v>
      </c>
      <c r="E12" s="8">
        <v>4</v>
      </c>
      <c r="F12" s="8" t="s">
        <v>32</v>
      </c>
      <c r="G12" s="8">
        <v>140926</v>
      </c>
      <c r="H12" s="8">
        <v>1430</v>
      </c>
      <c r="I12" s="8">
        <v>10060</v>
      </c>
      <c r="J12" s="8">
        <v>2526</v>
      </c>
      <c r="K12" s="8" t="s">
        <v>22</v>
      </c>
      <c r="L12" s="9">
        <f t="shared" si="0"/>
        <v>70</v>
      </c>
      <c r="M12" s="9">
        <f t="shared" si="1"/>
        <v>-70</v>
      </c>
      <c r="N12" s="9">
        <v>4200</v>
      </c>
    </row>
    <row r="13" spans="1:14" hidden="1" x14ac:dyDescent="0.25">
      <c r="A13" s="8" t="s">
        <v>20</v>
      </c>
      <c r="B13" s="8" t="s">
        <v>19</v>
      </c>
      <c r="C13" s="8">
        <v>1010500</v>
      </c>
      <c r="D13" s="8">
        <v>3787702</v>
      </c>
      <c r="E13" s="8">
        <v>4</v>
      </c>
      <c r="F13" s="8" t="s">
        <v>33</v>
      </c>
      <c r="G13" s="8">
        <v>140926</v>
      </c>
      <c r="H13" s="8">
        <v>1430</v>
      </c>
      <c r="I13" s="8">
        <v>10110</v>
      </c>
      <c r="J13" s="8">
        <v>2526</v>
      </c>
      <c r="K13" s="8" t="s">
        <v>22</v>
      </c>
      <c r="L13" s="9">
        <f t="shared" si="0"/>
        <v>70</v>
      </c>
      <c r="M13" s="9">
        <f t="shared" si="1"/>
        <v>-70</v>
      </c>
      <c r="N13" s="9">
        <v>4200</v>
      </c>
    </row>
    <row r="14" spans="1:14" hidden="1" x14ac:dyDescent="0.25">
      <c r="A14" s="8" t="s">
        <v>20</v>
      </c>
      <c r="B14" s="8" t="s">
        <v>19</v>
      </c>
      <c r="C14" s="8">
        <v>1010500</v>
      </c>
      <c r="D14" s="8">
        <v>3787703</v>
      </c>
      <c r="E14" s="8">
        <v>4</v>
      </c>
      <c r="F14" s="8" t="s">
        <v>34</v>
      </c>
      <c r="G14" s="8">
        <v>140926</v>
      </c>
      <c r="H14" s="8">
        <v>1430</v>
      </c>
      <c r="I14" s="8">
        <v>10110</v>
      </c>
      <c r="J14" s="8">
        <v>2526</v>
      </c>
      <c r="K14" s="8" t="s">
        <v>22</v>
      </c>
      <c r="L14" s="9">
        <f t="shared" si="0"/>
        <v>80</v>
      </c>
      <c r="M14" s="9">
        <f t="shared" si="1"/>
        <v>-80</v>
      </c>
      <c r="N14" s="9">
        <v>4800</v>
      </c>
    </row>
    <row r="15" spans="1:14" hidden="1" x14ac:dyDescent="0.25">
      <c r="A15" s="8" t="s">
        <v>20</v>
      </c>
      <c r="B15" s="8" t="s">
        <v>19</v>
      </c>
      <c r="C15" s="8">
        <v>1010600</v>
      </c>
      <c r="D15" s="8">
        <v>3787518</v>
      </c>
      <c r="E15" s="8">
        <v>4</v>
      </c>
      <c r="F15" s="8" t="s">
        <v>35</v>
      </c>
      <c r="G15" s="8">
        <v>100426</v>
      </c>
      <c r="H15" s="8">
        <v>1430</v>
      </c>
      <c r="I15" s="8">
        <v>10070</v>
      </c>
      <c r="J15" s="8">
        <v>2526</v>
      </c>
      <c r="K15" s="8" t="s">
        <v>22</v>
      </c>
      <c r="L15" s="9">
        <f t="shared" si="0"/>
        <v>320</v>
      </c>
      <c r="M15" s="9">
        <f t="shared" si="1"/>
        <v>-320</v>
      </c>
      <c r="N15" s="9">
        <v>19200</v>
      </c>
    </row>
    <row r="16" spans="1:14" hidden="1" x14ac:dyDescent="0.25">
      <c r="A16" s="8" t="s">
        <v>20</v>
      </c>
      <c r="B16" s="8" t="s">
        <v>19</v>
      </c>
      <c r="C16" s="8">
        <v>1010600</v>
      </c>
      <c r="D16" s="8">
        <v>3787581</v>
      </c>
      <c r="E16" s="8">
        <v>4</v>
      </c>
      <c r="F16" s="8" t="s">
        <v>36</v>
      </c>
      <c r="G16" s="8">
        <v>50526</v>
      </c>
      <c r="H16" s="8">
        <v>1430</v>
      </c>
      <c r="I16" s="8">
        <v>10070</v>
      </c>
      <c r="J16" s="8">
        <v>2526</v>
      </c>
      <c r="K16" s="8" t="s">
        <v>22</v>
      </c>
      <c r="L16" s="9">
        <f t="shared" si="0"/>
        <v>333.33316666666667</v>
      </c>
      <c r="M16" s="9">
        <f t="shared" si="1"/>
        <v>-333.33316666666667</v>
      </c>
      <c r="N16" s="9">
        <v>19999.990000000002</v>
      </c>
    </row>
    <row r="17" spans="1:14" hidden="1" x14ac:dyDescent="0.25">
      <c r="A17" s="8" t="s">
        <v>20</v>
      </c>
      <c r="B17" s="8" t="s">
        <v>19</v>
      </c>
      <c r="C17" s="8">
        <v>1010600</v>
      </c>
      <c r="D17" s="8">
        <v>3787637</v>
      </c>
      <c r="E17" s="8">
        <v>4</v>
      </c>
      <c r="F17" s="8" t="s">
        <v>37</v>
      </c>
      <c r="G17" s="8">
        <v>10726</v>
      </c>
      <c r="H17" s="8">
        <v>1390</v>
      </c>
      <c r="I17" s="8">
        <v>10020</v>
      </c>
      <c r="J17" s="8">
        <v>2526</v>
      </c>
      <c r="K17" s="8" t="s">
        <v>22</v>
      </c>
      <c r="L17" s="8">
        <f t="shared" si="0"/>
        <v>320</v>
      </c>
      <c r="M17" s="9">
        <f t="shared" si="1"/>
        <v>-320</v>
      </c>
      <c r="N17" s="8">
        <v>19200</v>
      </c>
    </row>
    <row r="18" spans="1:14" hidden="1" x14ac:dyDescent="0.25">
      <c r="A18" s="8" t="s">
        <v>20</v>
      </c>
      <c r="B18" s="8" t="s">
        <v>19</v>
      </c>
      <c r="C18" s="8">
        <v>1010600</v>
      </c>
      <c r="D18" s="8">
        <v>3787663</v>
      </c>
      <c r="E18" s="8">
        <v>4</v>
      </c>
      <c r="F18" s="8" t="s">
        <v>38</v>
      </c>
      <c r="G18" s="8">
        <v>270726</v>
      </c>
      <c r="H18" s="8">
        <v>1390</v>
      </c>
      <c r="I18" s="8">
        <v>10025</v>
      </c>
      <c r="J18" s="8">
        <v>2526</v>
      </c>
      <c r="K18" s="8" t="s">
        <v>22</v>
      </c>
      <c r="L18" s="8">
        <f t="shared" si="0"/>
        <v>320</v>
      </c>
      <c r="M18" s="9">
        <f t="shared" si="1"/>
        <v>-320</v>
      </c>
      <c r="N18" s="8">
        <v>19200</v>
      </c>
    </row>
    <row r="19" spans="1:14" hidden="1" x14ac:dyDescent="0.25">
      <c r="A19" s="8" t="s">
        <v>20</v>
      </c>
      <c r="B19" s="8" t="s">
        <v>19</v>
      </c>
      <c r="C19" s="8">
        <v>1010600</v>
      </c>
      <c r="D19" s="8">
        <v>3787664</v>
      </c>
      <c r="E19" s="8">
        <v>4</v>
      </c>
      <c r="F19" s="8" t="s">
        <v>39</v>
      </c>
      <c r="G19" s="8">
        <v>270726</v>
      </c>
      <c r="H19" s="8">
        <v>1390</v>
      </c>
      <c r="I19" s="8">
        <v>10025</v>
      </c>
      <c r="J19" s="8">
        <v>2526</v>
      </c>
      <c r="K19" s="8" t="s">
        <v>22</v>
      </c>
      <c r="L19" s="8">
        <f t="shared" si="0"/>
        <v>320</v>
      </c>
      <c r="M19" s="9">
        <f t="shared" si="1"/>
        <v>-320</v>
      </c>
      <c r="N19" s="8">
        <v>19200</v>
      </c>
    </row>
    <row r="20" spans="1:14" hidden="1" x14ac:dyDescent="0.25">
      <c r="A20" s="8" t="s">
        <v>20</v>
      </c>
      <c r="B20" s="8" t="s">
        <v>19</v>
      </c>
      <c r="C20" s="8">
        <v>1010600</v>
      </c>
      <c r="D20" s="8">
        <v>3787665</v>
      </c>
      <c r="E20" s="8">
        <v>4</v>
      </c>
      <c r="F20" s="8" t="s">
        <v>40</v>
      </c>
      <c r="G20" s="8">
        <v>270726</v>
      </c>
      <c r="H20" s="8">
        <v>1390</v>
      </c>
      <c r="I20" s="8">
        <v>10025</v>
      </c>
      <c r="J20" s="8">
        <v>2526</v>
      </c>
      <c r="K20" s="8" t="s">
        <v>22</v>
      </c>
      <c r="L20" s="8">
        <f t="shared" si="0"/>
        <v>320</v>
      </c>
      <c r="M20" s="9">
        <f t="shared" si="1"/>
        <v>-320</v>
      </c>
      <c r="N20" s="8">
        <v>19200</v>
      </c>
    </row>
    <row r="21" spans="1:14" hidden="1" x14ac:dyDescent="0.25">
      <c r="A21" s="8" t="s">
        <v>20</v>
      </c>
      <c r="B21" s="8" t="s">
        <v>19</v>
      </c>
      <c r="C21" s="8">
        <v>1010600</v>
      </c>
      <c r="D21" s="8">
        <v>3787681</v>
      </c>
      <c r="E21" s="8">
        <v>4</v>
      </c>
      <c r="F21" s="8" t="s">
        <v>41</v>
      </c>
      <c r="G21" s="8">
        <v>200826</v>
      </c>
      <c r="H21" s="8">
        <v>1430</v>
      </c>
      <c r="I21" s="8">
        <v>10070</v>
      </c>
      <c r="J21" s="8">
        <v>2526</v>
      </c>
      <c r="K21" s="8" t="s">
        <v>22</v>
      </c>
      <c r="L21" s="9">
        <f t="shared" si="0"/>
        <v>320</v>
      </c>
      <c r="M21" s="9">
        <f t="shared" si="1"/>
        <v>-320</v>
      </c>
      <c r="N21" s="9">
        <v>19200</v>
      </c>
    </row>
    <row r="22" spans="1:14" hidden="1" x14ac:dyDescent="0.25">
      <c r="A22" s="8" t="s">
        <v>20</v>
      </c>
      <c r="B22" s="8" t="s">
        <v>19</v>
      </c>
      <c r="C22" s="8">
        <v>1010600</v>
      </c>
      <c r="D22" s="8">
        <v>3787707</v>
      </c>
      <c r="E22" s="8">
        <v>4</v>
      </c>
      <c r="F22" s="8" t="s">
        <v>42</v>
      </c>
      <c r="G22" s="8">
        <v>180926</v>
      </c>
      <c r="H22" s="8">
        <v>1430</v>
      </c>
      <c r="I22" s="8">
        <v>10070</v>
      </c>
      <c r="J22" s="8">
        <v>2526</v>
      </c>
      <c r="K22" s="8" t="s">
        <v>22</v>
      </c>
      <c r="L22" s="9">
        <f t="shared" si="0"/>
        <v>333.33316666666667</v>
      </c>
      <c r="M22" s="9">
        <f t="shared" si="1"/>
        <v>-333.33316666666667</v>
      </c>
      <c r="N22" s="9">
        <v>19999.990000000002</v>
      </c>
    </row>
    <row r="23" spans="1:14" hidden="1" x14ac:dyDescent="0.25">
      <c r="A23" s="8" t="s">
        <v>20</v>
      </c>
      <c r="B23" s="8" t="s">
        <v>19</v>
      </c>
      <c r="C23" s="8">
        <v>1010600</v>
      </c>
      <c r="D23" s="8">
        <v>3787708</v>
      </c>
      <c r="E23" s="8">
        <v>4</v>
      </c>
      <c r="F23" s="8" t="s">
        <v>43</v>
      </c>
      <c r="G23" s="8">
        <v>180926</v>
      </c>
      <c r="H23" s="8">
        <v>1430</v>
      </c>
      <c r="I23" s="8">
        <v>10070</v>
      </c>
      <c r="J23" s="8">
        <v>2526</v>
      </c>
      <c r="K23" s="8" t="s">
        <v>22</v>
      </c>
      <c r="L23" s="9">
        <f t="shared" si="0"/>
        <v>333.33316666666667</v>
      </c>
      <c r="M23" s="9">
        <f t="shared" si="1"/>
        <v>-333.33316666666667</v>
      </c>
      <c r="N23" s="9">
        <v>19999.990000000002</v>
      </c>
    </row>
    <row r="24" spans="1:14" hidden="1" x14ac:dyDescent="0.25">
      <c r="A24" s="8" t="s">
        <v>20</v>
      </c>
      <c r="B24" s="8" t="s">
        <v>19</v>
      </c>
      <c r="C24" s="8">
        <v>1019500</v>
      </c>
      <c r="D24" s="8">
        <v>3787444</v>
      </c>
      <c r="E24" s="8">
        <v>4</v>
      </c>
      <c r="F24" s="8" t="s">
        <v>44</v>
      </c>
      <c r="G24" s="8">
        <v>170326</v>
      </c>
      <c r="H24" s="8">
        <v>1430</v>
      </c>
      <c r="I24" s="8">
        <v>10045</v>
      </c>
      <c r="J24" s="8">
        <v>2526</v>
      </c>
      <c r="K24" s="8" t="s">
        <v>22</v>
      </c>
      <c r="L24" s="9">
        <f t="shared" si="0"/>
        <v>720</v>
      </c>
      <c r="M24" s="9">
        <f t="shared" si="1"/>
        <v>-720</v>
      </c>
      <c r="N24" s="9">
        <v>43200</v>
      </c>
    </row>
    <row r="25" spans="1:14" hidden="1" x14ac:dyDescent="0.25">
      <c r="A25" s="8" t="s">
        <v>20</v>
      </c>
      <c r="B25" s="8" t="s">
        <v>19</v>
      </c>
      <c r="C25" s="8">
        <v>1019500</v>
      </c>
      <c r="D25" s="8">
        <v>3787579</v>
      </c>
      <c r="E25" s="8">
        <v>4</v>
      </c>
      <c r="F25" s="8" t="s">
        <v>45</v>
      </c>
      <c r="G25" s="8">
        <v>50526</v>
      </c>
      <c r="H25" s="8">
        <v>1430</v>
      </c>
      <c r="I25" s="8">
        <v>10110</v>
      </c>
      <c r="J25" s="8">
        <v>2526</v>
      </c>
      <c r="K25" s="8" t="s">
        <v>22</v>
      </c>
      <c r="L25" s="9">
        <f t="shared" si="0"/>
        <v>360</v>
      </c>
      <c r="M25" s="9">
        <f t="shared" si="1"/>
        <v>-360</v>
      </c>
      <c r="N25" s="9">
        <v>21600</v>
      </c>
    </row>
    <row r="26" spans="1:14" hidden="1" x14ac:dyDescent="0.25">
      <c r="A26" s="8" t="s">
        <v>20</v>
      </c>
      <c r="B26" s="8" t="s">
        <v>19</v>
      </c>
      <c r="C26" s="8">
        <v>1019500</v>
      </c>
      <c r="D26" s="8">
        <v>3787628</v>
      </c>
      <c r="E26" s="8">
        <v>4</v>
      </c>
      <c r="F26" s="8" t="s">
        <v>46</v>
      </c>
      <c r="G26" s="8">
        <v>80626</v>
      </c>
      <c r="H26" s="8">
        <v>1430</v>
      </c>
      <c r="I26" s="8">
        <v>10120</v>
      </c>
      <c r="J26" s="8">
        <v>2526</v>
      </c>
      <c r="K26" s="8" t="s">
        <v>22</v>
      </c>
      <c r="L26" s="9">
        <f t="shared" si="0"/>
        <v>333.33316666666667</v>
      </c>
      <c r="M26" s="9">
        <f t="shared" si="1"/>
        <v>-333.33316666666667</v>
      </c>
      <c r="N26" s="9">
        <v>19999.990000000002</v>
      </c>
    </row>
    <row r="27" spans="1:14" hidden="1" x14ac:dyDescent="0.25">
      <c r="A27" s="8" t="s">
        <v>20</v>
      </c>
      <c r="B27" s="8" t="s">
        <v>19</v>
      </c>
      <c r="C27" s="8">
        <v>1019500</v>
      </c>
      <c r="D27" s="8">
        <v>3787660</v>
      </c>
      <c r="E27" s="8">
        <v>4</v>
      </c>
      <c r="F27" s="8" t="s">
        <v>47</v>
      </c>
      <c r="G27" s="8">
        <v>220726</v>
      </c>
      <c r="H27" s="8">
        <v>1430</v>
      </c>
      <c r="I27" s="8">
        <v>10045</v>
      </c>
      <c r="J27" s="8">
        <v>2526</v>
      </c>
      <c r="K27" s="8" t="s">
        <v>22</v>
      </c>
      <c r="L27" s="9">
        <f t="shared" si="0"/>
        <v>720</v>
      </c>
      <c r="M27" s="9">
        <f t="shared" si="1"/>
        <v>-720</v>
      </c>
      <c r="N27" s="9">
        <v>43200</v>
      </c>
    </row>
    <row r="28" spans="1:14" hidden="1" x14ac:dyDescent="0.25">
      <c r="A28" s="8" t="s">
        <v>20</v>
      </c>
      <c r="B28" s="8" t="s">
        <v>19</v>
      </c>
      <c r="C28" s="8">
        <v>1019500</v>
      </c>
      <c r="D28" s="8">
        <v>3787661</v>
      </c>
      <c r="E28" s="8">
        <v>4</v>
      </c>
      <c r="F28" s="8" t="s">
        <v>48</v>
      </c>
      <c r="G28" s="8">
        <v>220726</v>
      </c>
      <c r="H28" s="8">
        <v>1430</v>
      </c>
      <c r="I28" s="8">
        <v>10045</v>
      </c>
      <c r="J28" s="8">
        <v>2526</v>
      </c>
      <c r="K28" s="8" t="s">
        <v>22</v>
      </c>
      <c r="L28" s="9">
        <f t="shared" si="0"/>
        <v>720</v>
      </c>
      <c r="M28" s="9">
        <f t="shared" si="1"/>
        <v>-720</v>
      </c>
      <c r="N28" s="9">
        <v>43200</v>
      </c>
    </row>
    <row r="29" spans="1:14" hidden="1" x14ac:dyDescent="0.25">
      <c r="A29" s="8" t="s">
        <v>20</v>
      </c>
      <c r="B29" s="8" t="s">
        <v>19</v>
      </c>
      <c r="C29" s="8">
        <v>1019500</v>
      </c>
      <c r="D29" s="8">
        <v>3787674</v>
      </c>
      <c r="E29" s="8">
        <v>4</v>
      </c>
      <c r="F29" s="8" t="s">
        <v>49</v>
      </c>
      <c r="G29" s="8">
        <v>50826</v>
      </c>
      <c r="H29" s="8">
        <v>1390</v>
      </c>
      <c r="I29" s="8">
        <v>10040</v>
      </c>
      <c r="J29" s="8">
        <v>2526</v>
      </c>
      <c r="K29" s="8" t="s">
        <v>22</v>
      </c>
      <c r="L29" s="8">
        <f t="shared" si="0"/>
        <v>1600</v>
      </c>
      <c r="M29" s="9">
        <f t="shared" si="1"/>
        <v>-1600</v>
      </c>
      <c r="N29" s="8">
        <v>96000</v>
      </c>
    </row>
    <row r="30" spans="1:14" hidden="1" x14ac:dyDescent="0.25">
      <c r="A30" s="8" t="s">
        <v>20</v>
      </c>
      <c r="B30" s="8" t="s">
        <v>19</v>
      </c>
      <c r="C30" s="8">
        <v>1019500</v>
      </c>
      <c r="D30" s="8">
        <v>3787675</v>
      </c>
      <c r="E30" s="8">
        <v>4</v>
      </c>
      <c r="F30" s="8" t="s">
        <v>50</v>
      </c>
      <c r="G30" s="8">
        <v>60826</v>
      </c>
      <c r="H30" s="8">
        <v>1430</v>
      </c>
      <c r="I30" s="8">
        <v>10045</v>
      </c>
      <c r="J30" s="8">
        <v>2526</v>
      </c>
      <c r="K30" s="8" t="s">
        <v>22</v>
      </c>
      <c r="L30" s="9">
        <f t="shared" si="0"/>
        <v>3600</v>
      </c>
      <c r="M30" s="9">
        <f t="shared" si="1"/>
        <v>-3600</v>
      </c>
      <c r="N30" s="9">
        <v>216000</v>
      </c>
    </row>
    <row r="31" spans="1:14" hidden="1" x14ac:dyDescent="0.25">
      <c r="A31" s="8" t="s">
        <v>20</v>
      </c>
      <c r="B31" s="8" t="s">
        <v>19</v>
      </c>
      <c r="C31" s="8">
        <v>1019500</v>
      </c>
      <c r="D31" s="8">
        <v>3787676</v>
      </c>
      <c r="E31" s="8">
        <v>4</v>
      </c>
      <c r="F31" s="8" t="s">
        <v>51</v>
      </c>
      <c r="G31" s="8">
        <v>60826</v>
      </c>
      <c r="H31" s="8">
        <v>1430</v>
      </c>
      <c r="I31" s="8">
        <v>10045</v>
      </c>
      <c r="J31" s="8">
        <v>2526</v>
      </c>
      <c r="K31" s="8" t="s">
        <v>22</v>
      </c>
      <c r="L31" s="9">
        <f t="shared" si="0"/>
        <v>1800</v>
      </c>
      <c r="M31" s="9">
        <f t="shared" si="1"/>
        <v>-1800</v>
      </c>
      <c r="N31" s="9">
        <v>108000</v>
      </c>
    </row>
    <row r="32" spans="1:14" hidden="1" x14ac:dyDescent="0.25">
      <c r="A32" s="8" t="s">
        <v>20</v>
      </c>
      <c r="B32" s="8" t="s">
        <v>19</v>
      </c>
      <c r="C32" s="8">
        <v>1019500</v>
      </c>
      <c r="D32" s="8">
        <v>3787686</v>
      </c>
      <c r="E32" s="8">
        <v>4</v>
      </c>
      <c r="F32" s="8" t="s">
        <v>52</v>
      </c>
      <c r="G32" s="8">
        <v>260826</v>
      </c>
      <c r="H32" s="8">
        <v>1430</v>
      </c>
      <c r="I32" s="8">
        <v>10110</v>
      </c>
      <c r="J32" s="8">
        <v>2627</v>
      </c>
      <c r="K32" s="8" t="s">
        <v>22</v>
      </c>
      <c r="L32" s="9">
        <f t="shared" si="0"/>
        <v>1440</v>
      </c>
      <c r="M32" s="9">
        <f t="shared" si="1"/>
        <v>-1440</v>
      </c>
      <c r="N32" s="9">
        <v>86400</v>
      </c>
    </row>
    <row r="33" spans="1:14" hidden="1" x14ac:dyDescent="0.25">
      <c r="A33" s="8" t="s">
        <v>20</v>
      </c>
      <c r="B33" s="8" t="s">
        <v>19</v>
      </c>
      <c r="C33" s="8">
        <v>1019500</v>
      </c>
      <c r="D33" s="8">
        <v>3787687</v>
      </c>
      <c r="E33" s="8">
        <v>4</v>
      </c>
      <c r="F33" s="8" t="s">
        <v>53</v>
      </c>
      <c r="G33" s="8">
        <v>260826</v>
      </c>
      <c r="H33" s="8">
        <v>1430</v>
      </c>
      <c r="I33" s="8">
        <v>10110</v>
      </c>
      <c r="J33" s="8">
        <v>2627</v>
      </c>
      <c r="K33" s="8" t="s">
        <v>22</v>
      </c>
      <c r="L33" s="9">
        <f t="shared" si="0"/>
        <v>1440</v>
      </c>
      <c r="M33" s="9">
        <f t="shared" si="1"/>
        <v>-1440</v>
      </c>
      <c r="N33" s="9">
        <v>86400</v>
      </c>
    </row>
    <row r="34" spans="1:14" hidden="1" x14ac:dyDescent="0.25">
      <c r="A34" s="8" t="s">
        <v>20</v>
      </c>
      <c r="B34" s="8" t="s">
        <v>19</v>
      </c>
      <c r="C34" s="8">
        <v>1019500</v>
      </c>
      <c r="D34" s="8">
        <v>3787689</v>
      </c>
      <c r="E34" s="8">
        <v>4</v>
      </c>
      <c r="F34" s="8" t="s">
        <v>54</v>
      </c>
      <c r="G34" s="8">
        <v>280826</v>
      </c>
      <c r="H34" s="8">
        <v>1430</v>
      </c>
      <c r="I34" s="8">
        <v>10120</v>
      </c>
      <c r="J34" s="8">
        <v>2526</v>
      </c>
      <c r="K34" s="8" t="s">
        <v>22</v>
      </c>
      <c r="L34" s="9">
        <f t="shared" si="0"/>
        <v>360</v>
      </c>
      <c r="M34" s="9">
        <f t="shared" si="1"/>
        <v>-360</v>
      </c>
      <c r="N34" s="9">
        <v>21600</v>
      </c>
    </row>
    <row r="35" spans="1:14" hidden="1" x14ac:dyDescent="0.25">
      <c r="A35" s="8" t="s">
        <v>20</v>
      </c>
      <c r="B35" s="8" t="s">
        <v>19</v>
      </c>
      <c r="C35" s="8">
        <v>1019500</v>
      </c>
      <c r="D35" s="8">
        <v>3787690</v>
      </c>
      <c r="E35" s="8">
        <v>4</v>
      </c>
      <c r="F35" s="8" t="s">
        <v>55</v>
      </c>
      <c r="G35" s="8">
        <v>10926</v>
      </c>
      <c r="H35" s="8">
        <v>1430</v>
      </c>
      <c r="I35" s="8">
        <v>10310</v>
      </c>
      <c r="J35" s="8">
        <v>2526</v>
      </c>
      <c r="K35" s="8" t="s">
        <v>22</v>
      </c>
      <c r="L35" s="9">
        <f t="shared" si="0"/>
        <v>320</v>
      </c>
      <c r="M35" s="9">
        <f t="shared" si="1"/>
        <v>-320</v>
      </c>
      <c r="N35" s="9">
        <v>19200</v>
      </c>
    </row>
    <row r="36" spans="1:14" hidden="1" x14ac:dyDescent="0.25">
      <c r="A36" s="8" t="s">
        <v>20</v>
      </c>
      <c r="B36" s="8" t="s">
        <v>19</v>
      </c>
      <c r="C36" s="8">
        <v>1019500</v>
      </c>
      <c r="D36" s="8">
        <v>3787691</v>
      </c>
      <c r="E36" s="8">
        <v>4</v>
      </c>
      <c r="F36" s="8" t="s">
        <v>56</v>
      </c>
      <c r="G36" s="8">
        <v>10926</v>
      </c>
      <c r="H36" s="8">
        <v>1430</v>
      </c>
      <c r="I36" s="8">
        <v>10120</v>
      </c>
      <c r="J36" s="8">
        <v>2526</v>
      </c>
      <c r="K36" s="8" t="s">
        <v>22</v>
      </c>
      <c r="L36" s="9">
        <f t="shared" si="0"/>
        <v>1800</v>
      </c>
      <c r="M36" s="9">
        <f t="shared" si="1"/>
        <v>-1800</v>
      </c>
      <c r="N36" s="9">
        <v>108000</v>
      </c>
    </row>
    <row r="37" spans="1:14" hidden="1" x14ac:dyDescent="0.25">
      <c r="A37" s="8" t="s">
        <v>20</v>
      </c>
      <c r="B37" s="8" t="s">
        <v>19</v>
      </c>
      <c r="C37" s="8">
        <v>1019500</v>
      </c>
      <c r="D37" s="8">
        <v>3787692</v>
      </c>
      <c r="E37" s="8">
        <v>4</v>
      </c>
      <c r="F37" s="8" t="s">
        <v>57</v>
      </c>
      <c r="G37" s="8">
        <v>10926</v>
      </c>
      <c r="H37" s="8">
        <v>1430</v>
      </c>
      <c r="I37" s="8">
        <v>10120</v>
      </c>
      <c r="J37" s="8">
        <v>2526</v>
      </c>
      <c r="K37" s="8" t="s">
        <v>22</v>
      </c>
      <c r="L37" s="9">
        <f t="shared" si="0"/>
        <v>1800</v>
      </c>
      <c r="M37" s="9">
        <f t="shared" si="1"/>
        <v>-1800</v>
      </c>
      <c r="N37" s="9">
        <v>108000</v>
      </c>
    </row>
    <row r="38" spans="1:14" hidden="1" x14ac:dyDescent="0.25">
      <c r="A38" s="8" t="s">
        <v>20</v>
      </c>
      <c r="B38" s="8" t="s">
        <v>19</v>
      </c>
      <c r="C38" s="8">
        <v>1019700</v>
      </c>
      <c r="D38" s="8">
        <v>3787320</v>
      </c>
      <c r="E38" s="8">
        <v>4</v>
      </c>
      <c r="F38" s="8" t="s">
        <v>58</v>
      </c>
      <c r="G38" s="8">
        <v>200226</v>
      </c>
      <c r="H38" s="8">
        <v>1430</v>
      </c>
      <c r="I38" s="8">
        <v>10080</v>
      </c>
      <c r="J38" s="8">
        <v>2526</v>
      </c>
      <c r="K38" s="8" t="s">
        <v>22</v>
      </c>
      <c r="L38" s="9">
        <f t="shared" si="0"/>
        <v>666.66649999999993</v>
      </c>
      <c r="M38" s="9">
        <f t="shared" si="1"/>
        <v>-666.66649999999993</v>
      </c>
      <c r="N38" s="9">
        <v>39999.99</v>
      </c>
    </row>
    <row r="39" spans="1:14" hidden="1" x14ac:dyDescent="0.25">
      <c r="A39" s="8" t="s">
        <v>20</v>
      </c>
      <c r="B39" s="8" t="s">
        <v>19</v>
      </c>
      <c r="C39" s="8">
        <v>1019700</v>
      </c>
      <c r="D39" s="8">
        <v>3787321</v>
      </c>
      <c r="E39" s="8">
        <v>4</v>
      </c>
      <c r="F39" s="8" t="s">
        <v>59</v>
      </c>
      <c r="G39" s="8">
        <v>200226</v>
      </c>
      <c r="H39" s="8">
        <v>1430</v>
      </c>
      <c r="I39" s="8">
        <v>10080</v>
      </c>
      <c r="J39" s="8">
        <v>2526</v>
      </c>
      <c r="K39" s="8" t="s">
        <v>22</v>
      </c>
      <c r="L39" s="9">
        <f t="shared" si="0"/>
        <v>666.66649999999993</v>
      </c>
      <c r="M39" s="9">
        <f t="shared" si="1"/>
        <v>-666.66649999999993</v>
      </c>
      <c r="N39" s="9">
        <v>39999.99</v>
      </c>
    </row>
    <row r="40" spans="1:14" hidden="1" x14ac:dyDescent="0.25">
      <c r="A40" s="8" t="s">
        <v>20</v>
      </c>
      <c r="B40" s="8" t="s">
        <v>19</v>
      </c>
      <c r="C40" s="8">
        <v>1019700</v>
      </c>
      <c r="D40" s="8">
        <v>3787322</v>
      </c>
      <c r="E40" s="8">
        <v>4</v>
      </c>
      <c r="F40" s="8" t="s">
        <v>60</v>
      </c>
      <c r="G40" s="8">
        <v>200226</v>
      </c>
      <c r="H40" s="8">
        <v>1430</v>
      </c>
      <c r="I40" s="8">
        <v>10080</v>
      </c>
      <c r="J40" s="8">
        <v>2526</v>
      </c>
      <c r="K40" s="8" t="s">
        <v>22</v>
      </c>
      <c r="L40" s="9">
        <f t="shared" si="0"/>
        <v>666.66649999999993</v>
      </c>
      <c r="M40" s="9">
        <f t="shared" si="1"/>
        <v>-666.66649999999993</v>
      </c>
      <c r="N40" s="9">
        <v>39999.99</v>
      </c>
    </row>
    <row r="41" spans="1:14" hidden="1" x14ac:dyDescent="0.25">
      <c r="A41" s="8" t="s">
        <v>20</v>
      </c>
      <c r="B41" s="8" t="s">
        <v>19</v>
      </c>
      <c r="C41" s="8">
        <v>1019700</v>
      </c>
      <c r="D41" s="8">
        <v>3787558</v>
      </c>
      <c r="E41" s="8">
        <v>4</v>
      </c>
      <c r="F41" s="8" t="s">
        <v>61</v>
      </c>
      <c r="G41" s="8">
        <v>210426</v>
      </c>
      <c r="H41" s="8">
        <v>1430</v>
      </c>
      <c r="I41" s="8">
        <v>10080</v>
      </c>
      <c r="J41" s="8">
        <v>2526</v>
      </c>
      <c r="K41" s="8" t="s">
        <v>22</v>
      </c>
      <c r="L41" s="9">
        <f t="shared" si="0"/>
        <v>320</v>
      </c>
      <c r="M41" s="9">
        <f t="shared" si="1"/>
        <v>-320</v>
      </c>
      <c r="N41" s="9">
        <v>19200</v>
      </c>
    </row>
    <row r="42" spans="1:14" hidden="1" x14ac:dyDescent="0.25">
      <c r="A42" s="8" t="s">
        <v>20</v>
      </c>
      <c r="B42" s="8" t="s">
        <v>19</v>
      </c>
      <c r="C42" s="8">
        <v>1019700</v>
      </c>
      <c r="D42" s="8">
        <v>3787570</v>
      </c>
      <c r="E42" s="8">
        <v>4</v>
      </c>
      <c r="F42" s="8" t="s">
        <v>62</v>
      </c>
      <c r="G42" s="8">
        <v>220426</v>
      </c>
      <c r="H42" s="8">
        <v>1430</v>
      </c>
      <c r="I42" s="8">
        <v>10080</v>
      </c>
      <c r="J42" s="8">
        <v>2526</v>
      </c>
      <c r="K42" s="8" t="s">
        <v>22</v>
      </c>
      <c r="L42" s="9">
        <f t="shared" si="0"/>
        <v>320</v>
      </c>
      <c r="M42" s="9">
        <f t="shared" si="1"/>
        <v>-320</v>
      </c>
      <c r="N42" s="9">
        <v>19200</v>
      </c>
    </row>
    <row r="43" spans="1:14" hidden="1" x14ac:dyDescent="0.25">
      <c r="A43" s="8" t="s">
        <v>20</v>
      </c>
      <c r="B43" s="8" t="s">
        <v>19</v>
      </c>
      <c r="C43" s="8">
        <v>1019700</v>
      </c>
      <c r="D43" s="8">
        <v>3787605</v>
      </c>
      <c r="E43" s="8">
        <v>4</v>
      </c>
      <c r="F43" s="8" t="s">
        <v>63</v>
      </c>
      <c r="G43" s="8">
        <v>290526</v>
      </c>
      <c r="H43" s="8">
        <v>1430</v>
      </c>
      <c r="I43" s="8">
        <v>10080</v>
      </c>
      <c r="J43" s="8">
        <v>2526</v>
      </c>
      <c r="K43" s="8" t="s">
        <v>22</v>
      </c>
      <c r="L43" s="9">
        <f t="shared" si="0"/>
        <v>1280</v>
      </c>
      <c r="M43" s="9">
        <f t="shared" si="1"/>
        <v>-1280</v>
      </c>
      <c r="N43" s="9">
        <v>76800</v>
      </c>
    </row>
    <row r="44" spans="1:14" hidden="1" x14ac:dyDescent="0.25">
      <c r="A44" s="8" t="s">
        <v>20</v>
      </c>
      <c r="B44" s="8" t="s">
        <v>19</v>
      </c>
      <c r="C44" s="8">
        <v>1019700</v>
      </c>
      <c r="D44" s="8">
        <v>3787606</v>
      </c>
      <c r="E44" s="8">
        <v>4</v>
      </c>
      <c r="F44" s="8" t="s">
        <v>64</v>
      </c>
      <c r="G44" s="8">
        <v>290526</v>
      </c>
      <c r="H44" s="8">
        <v>1430</v>
      </c>
      <c r="I44" s="8">
        <v>10080</v>
      </c>
      <c r="J44" s="8">
        <v>2526</v>
      </c>
      <c r="K44" s="8" t="s">
        <v>22</v>
      </c>
      <c r="L44" s="9">
        <f t="shared" si="0"/>
        <v>1280</v>
      </c>
      <c r="M44" s="9">
        <f t="shared" si="1"/>
        <v>-1280</v>
      </c>
      <c r="N44" s="9">
        <v>76800</v>
      </c>
    </row>
    <row r="45" spans="1:14" hidden="1" x14ac:dyDescent="0.25">
      <c r="A45" s="8" t="s">
        <v>20</v>
      </c>
      <c r="B45" s="8" t="s">
        <v>19</v>
      </c>
      <c r="C45" s="8">
        <v>1019700</v>
      </c>
      <c r="D45" s="8">
        <v>3787607</v>
      </c>
      <c r="E45" s="8">
        <v>4</v>
      </c>
      <c r="F45" s="8" t="s">
        <v>65</v>
      </c>
      <c r="G45" s="8">
        <v>280526</v>
      </c>
      <c r="H45" s="8">
        <v>1430</v>
      </c>
      <c r="I45" s="8">
        <v>10080</v>
      </c>
      <c r="J45" s="8">
        <v>2526</v>
      </c>
      <c r="K45" s="8" t="s">
        <v>22</v>
      </c>
      <c r="L45" s="9">
        <f t="shared" si="0"/>
        <v>1280</v>
      </c>
      <c r="M45" s="9">
        <f t="shared" si="1"/>
        <v>-1280</v>
      </c>
      <c r="N45" s="9">
        <v>76800</v>
      </c>
    </row>
    <row r="46" spans="1:14" hidden="1" x14ac:dyDescent="0.25">
      <c r="A46" s="8" t="s">
        <v>20</v>
      </c>
      <c r="B46" s="8" t="s">
        <v>19</v>
      </c>
      <c r="C46" s="8">
        <v>1019700</v>
      </c>
      <c r="D46" s="8">
        <v>3787640</v>
      </c>
      <c r="E46" s="8">
        <v>4</v>
      </c>
      <c r="F46" s="8" t="s">
        <v>66</v>
      </c>
      <c r="G46" s="8">
        <v>70726</v>
      </c>
      <c r="H46" s="8">
        <v>1390</v>
      </c>
      <c r="I46" s="8">
        <v>10025</v>
      </c>
      <c r="J46" s="8">
        <v>2526</v>
      </c>
      <c r="K46" s="8" t="s">
        <v>22</v>
      </c>
      <c r="L46" s="8">
        <f t="shared" si="0"/>
        <v>1280</v>
      </c>
      <c r="M46" s="9">
        <f t="shared" si="1"/>
        <v>-1280</v>
      </c>
      <c r="N46" s="8">
        <v>76800</v>
      </c>
    </row>
    <row r="47" spans="1:14" hidden="1" x14ac:dyDescent="0.25">
      <c r="A47" s="8" t="s">
        <v>20</v>
      </c>
      <c r="B47" s="8" t="s">
        <v>19</v>
      </c>
      <c r="C47" s="8">
        <v>1019700</v>
      </c>
      <c r="D47" s="8">
        <v>3787644</v>
      </c>
      <c r="E47" s="8">
        <v>4</v>
      </c>
      <c r="F47" s="8" t="s">
        <v>67</v>
      </c>
      <c r="G47" s="8">
        <v>90726</v>
      </c>
      <c r="H47" s="8">
        <v>1391</v>
      </c>
      <c r="I47" s="8">
        <v>10030</v>
      </c>
      <c r="J47" s="8">
        <v>2526</v>
      </c>
      <c r="K47" s="8" t="s">
        <v>22</v>
      </c>
      <c r="L47" s="8">
        <f t="shared" si="0"/>
        <v>320</v>
      </c>
      <c r="M47" s="9">
        <f t="shared" si="1"/>
        <v>-320</v>
      </c>
      <c r="N47" s="8">
        <v>19200</v>
      </c>
    </row>
    <row r="48" spans="1:14" hidden="1" x14ac:dyDescent="0.25">
      <c r="A48" s="8" t="s">
        <v>20</v>
      </c>
      <c r="B48" s="8" t="s">
        <v>19</v>
      </c>
      <c r="C48" s="8">
        <v>1019700</v>
      </c>
      <c r="D48" s="8">
        <v>3787645</v>
      </c>
      <c r="E48" s="8">
        <v>4</v>
      </c>
      <c r="F48" s="8" t="s">
        <v>68</v>
      </c>
      <c r="G48" s="8">
        <v>90726</v>
      </c>
      <c r="H48" s="8">
        <v>1391</v>
      </c>
      <c r="I48" s="8">
        <v>10030</v>
      </c>
      <c r="J48" s="8">
        <v>2526</v>
      </c>
      <c r="K48" s="8" t="s">
        <v>22</v>
      </c>
      <c r="L48" s="8">
        <f t="shared" si="0"/>
        <v>320</v>
      </c>
      <c r="M48" s="9">
        <f t="shared" si="1"/>
        <v>-320</v>
      </c>
      <c r="N48" s="8">
        <v>19200</v>
      </c>
    </row>
    <row r="49" spans="1:14" hidden="1" x14ac:dyDescent="0.25">
      <c r="A49" s="8" t="s">
        <v>20</v>
      </c>
      <c r="B49" s="8" t="s">
        <v>19</v>
      </c>
      <c r="C49" s="8">
        <v>1019700</v>
      </c>
      <c r="D49" s="8">
        <v>3787646</v>
      </c>
      <c r="E49" s="8">
        <v>4</v>
      </c>
      <c r="F49" s="8" t="s">
        <v>69</v>
      </c>
      <c r="G49" s="8">
        <v>90726</v>
      </c>
      <c r="H49" s="8">
        <v>1391</v>
      </c>
      <c r="I49" s="8">
        <v>10030</v>
      </c>
      <c r="J49" s="8">
        <v>2526</v>
      </c>
      <c r="K49" s="8" t="s">
        <v>22</v>
      </c>
      <c r="L49" s="8">
        <f t="shared" si="0"/>
        <v>320</v>
      </c>
      <c r="M49" s="9">
        <f t="shared" si="1"/>
        <v>-320</v>
      </c>
      <c r="N49" s="8">
        <v>19200</v>
      </c>
    </row>
    <row r="50" spans="1:14" hidden="1" x14ac:dyDescent="0.25">
      <c r="A50" s="8" t="s">
        <v>20</v>
      </c>
      <c r="B50" s="8" t="s">
        <v>19</v>
      </c>
      <c r="C50" s="8">
        <v>1019700</v>
      </c>
      <c r="D50" s="8">
        <v>3787647</v>
      </c>
      <c r="E50" s="8">
        <v>4</v>
      </c>
      <c r="F50" s="8" t="s">
        <v>70</v>
      </c>
      <c r="G50" s="8">
        <v>90726</v>
      </c>
      <c r="H50" s="8">
        <v>1391</v>
      </c>
      <c r="I50" s="8">
        <v>10030</v>
      </c>
      <c r="J50" s="8">
        <v>2526</v>
      </c>
      <c r="K50" s="8" t="s">
        <v>22</v>
      </c>
      <c r="L50" s="8">
        <f t="shared" si="0"/>
        <v>320</v>
      </c>
      <c r="M50" s="9">
        <f t="shared" si="1"/>
        <v>-320</v>
      </c>
      <c r="N50" s="8">
        <v>19200</v>
      </c>
    </row>
    <row r="51" spans="1:14" hidden="1" x14ac:dyDescent="0.25">
      <c r="A51" s="8" t="s">
        <v>20</v>
      </c>
      <c r="B51" s="8" t="s">
        <v>19</v>
      </c>
      <c r="C51" s="8">
        <v>1019700</v>
      </c>
      <c r="D51" s="8">
        <v>3787648</v>
      </c>
      <c r="E51" s="8">
        <v>4</v>
      </c>
      <c r="F51" s="8" t="s">
        <v>71</v>
      </c>
      <c r="G51" s="8">
        <v>90726</v>
      </c>
      <c r="H51" s="8">
        <v>1391</v>
      </c>
      <c r="I51" s="8">
        <v>10030</v>
      </c>
      <c r="J51" s="8">
        <v>2526</v>
      </c>
      <c r="K51" s="8" t="s">
        <v>22</v>
      </c>
      <c r="L51" s="8">
        <f t="shared" si="0"/>
        <v>320</v>
      </c>
      <c r="M51" s="9">
        <f t="shared" si="1"/>
        <v>-320</v>
      </c>
      <c r="N51" s="8">
        <v>19200</v>
      </c>
    </row>
    <row r="52" spans="1:14" hidden="1" x14ac:dyDescent="0.25">
      <c r="A52" s="8" t="s">
        <v>20</v>
      </c>
      <c r="B52" s="8" t="s">
        <v>19</v>
      </c>
      <c r="C52" s="8">
        <v>1019700</v>
      </c>
      <c r="D52" s="8">
        <v>3787649</v>
      </c>
      <c r="E52" s="8">
        <v>4</v>
      </c>
      <c r="F52" s="8" t="s">
        <v>72</v>
      </c>
      <c r="G52" s="8">
        <v>90726</v>
      </c>
      <c r="H52" s="8">
        <v>1391</v>
      </c>
      <c r="I52" s="8">
        <v>10030</v>
      </c>
      <c r="J52" s="8">
        <v>2526</v>
      </c>
      <c r="K52" s="8" t="s">
        <v>22</v>
      </c>
      <c r="L52" s="8">
        <f t="shared" si="0"/>
        <v>320</v>
      </c>
      <c r="M52" s="9">
        <f t="shared" si="1"/>
        <v>-320</v>
      </c>
      <c r="N52" s="8">
        <v>19200</v>
      </c>
    </row>
    <row r="53" spans="1:14" hidden="1" x14ac:dyDescent="0.25">
      <c r="A53" s="8" t="s">
        <v>20</v>
      </c>
      <c r="B53" s="8" t="s">
        <v>19</v>
      </c>
      <c r="C53" s="8">
        <v>1019700</v>
      </c>
      <c r="D53" s="8">
        <v>3787650</v>
      </c>
      <c r="E53" s="8">
        <v>4</v>
      </c>
      <c r="F53" s="8" t="s">
        <v>73</v>
      </c>
      <c r="G53" s="8">
        <v>90726</v>
      </c>
      <c r="H53" s="8">
        <v>1391</v>
      </c>
      <c r="I53" s="8">
        <v>10030</v>
      </c>
      <c r="J53" s="8">
        <v>2526</v>
      </c>
      <c r="K53" s="8" t="s">
        <v>22</v>
      </c>
      <c r="L53" s="8">
        <f t="shared" si="0"/>
        <v>320</v>
      </c>
      <c r="M53" s="9">
        <f t="shared" si="1"/>
        <v>-320</v>
      </c>
      <c r="N53" s="8">
        <v>19200</v>
      </c>
    </row>
    <row r="54" spans="1:14" hidden="1" x14ac:dyDescent="0.25">
      <c r="A54" s="8" t="s">
        <v>20</v>
      </c>
      <c r="B54" s="8" t="s">
        <v>19</v>
      </c>
      <c r="C54" s="8">
        <v>1019700</v>
      </c>
      <c r="D54" s="8">
        <v>3787651</v>
      </c>
      <c r="E54" s="8">
        <v>4</v>
      </c>
      <c r="F54" s="8" t="s">
        <v>74</v>
      </c>
      <c r="G54" s="8">
        <v>90726</v>
      </c>
      <c r="H54" s="8">
        <v>1391</v>
      </c>
      <c r="I54" s="8">
        <v>10030</v>
      </c>
      <c r="J54" s="8">
        <v>2526</v>
      </c>
      <c r="K54" s="8" t="s">
        <v>22</v>
      </c>
      <c r="L54" s="8">
        <f t="shared" si="0"/>
        <v>320</v>
      </c>
      <c r="M54" s="9">
        <f t="shared" si="1"/>
        <v>-320</v>
      </c>
      <c r="N54" s="8">
        <v>19200</v>
      </c>
    </row>
    <row r="55" spans="1:14" hidden="1" x14ac:dyDescent="0.25">
      <c r="A55" s="8" t="s">
        <v>20</v>
      </c>
      <c r="B55" s="8" t="s">
        <v>19</v>
      </c>
      <c r="C55" s="8">
        <v>1019700</v>
      </c>
      <c r="D55" s="8">
        <v>3787685</v>
      </c>
      <c r="E55" s="8">
        <v>4</v>
      </c>
      <c r="F55" s="8" t="s">
        <v>75</v>
      </c>
      <c r="G55" s="8">
        <v>250826</v>
      </c>
      <c r="H55" s="8">
        <v>1430</v>
      </c>
      <c r="I55" s="8">
        <v>10080</v>
      </c>
      <c r="J55" s="8">
        <v>2526</v>
      </c>
      <c r="K55" s="8" t="s">
        <v>22</v>
      </c>
      <c r="L55" s="9">
        <f t="shared" si="0"/>
        <v>320</v>
      </c>
      <c r="M55" s="9">
        <f t="shared" si="1"/>
        <v>-320</v>
      </c>
      <c r="N55" s="9">
        <v>19200</v>
      </c>
    </row>
    <row r="56" spans="1:14" hidden="1" x14ac:dyDescent="0.25">
      <c r="A56" s="8" t="s">
        <v>20</v>
      </c>
      <c r="B56" s="8" t="s">
        <v>19</v>
      </c>
      <c r="C56" s="8">
        <v>1027228</v>
      </c>
      <c r="D56" s="8">
        <v>3787653</v>
      </c>
      <c r="E56" s="8">
        <v>4</v>
      </c>
      <c r="F56" s="8" t="s">
        <v>76</v>
      </c>
      <c r="G56" s="8">
        <v>100726</v>
      </c>
      <c r="H56" s="8">
        <v>1390</v>
      </c>
      <c r="I56" s="8">
        <v>10050</v>
      </c>
      <c r="J56" s="8">
        <v>2526</v>
      </c>
      <c r="K56" s="8" t="s">
        <v>22</v>
      </c>
      <c r="L56" s="8">
        <f t="shared" si="0"/>
        <v>640</v>
      </c>
      <c r="M56" s="9">
        <f t="shared" si="1"/>
        <v>-640</v>
      </c>
      <c r="N56" s="8">
        <v>38400</v>
      </c>
    </row>
    <row r="57" spans="1:14" hidden="1" x14ac:dyDescent="0.25">
      <c r="A57" s="8" t="s">
        <v>20</v>
      </c>
      <c r="B57" s="8" t="s">
        <v>19</v>
      </c>
      <c r="C57" s="8">
        <v>1027228</v>
      </c>
      <c r="D57" s="8">
        <v>3787654</v>
      </c>
      <c r="E57" s="8">
        <v>4</v>
      </c>
      <c r="F57" s="8" t="s">
        <v>77</v>
      </c>
      <c r="G57" s="8">
        <v>100726</v>
      </c>
      <c r="H57" s="8">
        <v>1390</v>
      </c>
      <c r="I57" s="8">
        <v>10050</v>
      </c>
      <c r="J57" s="8">
        <v>2526</v>
      </c>
      <c r="K57" s="8" t="s">
        <v>22</v>
      </c>
      <c r="L57" s="8">
        <f t="shared" si="0"/>
        <v>640</v>
      </c>
      <c r="M57" s="9">
        <f t="shared" si="1"/>
        <v>-640</v>
      </c>
      <c r="N57" s="8">
        <v>38400</v>
      </c>
    </row>
    <row r="58" spans="1:14" hidden="1" x14ac:dyDescent="0.25">
      <c r="A58" s="8" t="s">
        <v>20</v>
      </c>
      <c r="B58" s="8" t="s">
        <v>19</v>
      </c>
      <c r="C58" s="8">
        <v>1027228</v>
      </c>
      <c r="D58" s="8">
        <v>3787667</v>
      </c>
      <c r="E58" s="8">
        <v>4</v>
      </c>
      <c r="F58" s="8" t="s">
        <v>78</v>
      </c>
      <c r="G58" s="8">
        <v>290726</v>
      </c>
      <c r="H58" s="8">
        <v>1390</v>
      </c>
      <c r="I58" s="8">
        <v>10050</v>
      </c>
      <c r="J58" s="8">
        <v>2526</v>
      </c>
      <c r="K58" s="8" t="s">
        <v>22</v>
      </c>
      <c r="L58" s="8">
        <f t="shared" si="0"/>
        <v>640</v>
      </c>
      <c r="M58" s="9">
        <f t="shared" si="1"/>
        <v>-640</v>
      </c>
      <c r="N58" s="8">
        <v>38400</v>
      </c>
    </row>
    <row r="59" spans="1:14" hidden="1" x14ac:dyDescent="0.25">
      <c r="A59" s="8" t="s">
        <v>20</v>
      </c>
      <c r="B59" s="8" t="s">
        <v>19</v>
      </c>
      <c r="C59" s="8">
        <v>1083600</v>
      </c>
      <c r="D59" s="8">
        <v>3787682</v>
      </c>
      <c r="E59" s="8">
        <v>4</v>
      </c>
      <c r="F59" s="8" t="s">
        <v>79</v>
      </c>
      <c r="G59" s="8">
        <v>210826</v>
      </c>
      <c r="H59" s="8">
        <v>1430</v>
      </c>
      <c r="I59" s="8">
        <v>10070</v>
      </c>
      <c r="J59" s="8">
        <v>2526</v>
      </c>
      <c r="K59" s="8" t="s">
        <v>22</v>
      </c>
      <c r="L59" s="9">
        <f t="shared" si="0"/>
        <v>320</v>
      </c>
      <c r="M59" s="9">
        <f t="shared" si="1"/>
        <v>-320</v>
      </c>
      <c r="N59" s="9">
        <v>19200</v>
      </c>
    </row>
    <row r="60" spans="1:14" hidden="1" x14ac:dyDescent="0.25">
      <c r="A60" s="8" t="s">
        <v>20</v>
      </c>
      <c r="B60" s="8" t="s">
        <v>19</v>
      </c>
      <c r="C60" s="8">
        <v>1089500</v>
      </c>
      <c r="D60" s="8">
        <v>3787706</v>
      </c>
      <c r="E60" s="8">
        <v>4</v>
      </c>
      <c r="F60" s="8"/>
      <c r="G60" s="8">
        <v>170926</v>
      </c>
      <c r="H60" s="8">
        <v>1430</v>
      </c>
      <c r="I60" s="8">
        <v>10060</v>
      </c>
      <c r="J60" s="8">
        <v>2627</v>
      </c>
      <c r="K60" s="8" t="s">
        <v>22</v>
      </c>
      <c r="L60" s="9">
        <f t="shared" si="0"/>
        <v>320</v>
      </c>
      <c r="M60" s="9">
        <f t="shared" si="1"/>
        <v>-320</v>
      </c>
      <c r="N60" s="9">
        <v>19200</v>
      </c>
    </row>
    <row r="61" spans="1:14" hidden="1" x14ac:dyDescent="0.25">
      <c r="A61" s="8" t="s">
        <v>20</v>
      </c>
      <c r="B61" s="8" t="s">
        <v>19</v>
      </c>
      <c r="C61" s="8">
        <v>1173800</v>
      </c>
      <c r="D61" s="8">
        <v>3787622</v>
      </c>
      <c r="E61" s="8">
        <v>4</v>
      </c>
      <c r="F61" s="8"/>
      <c r="G61" s="8">
        <v>80626</v>
      </c>
      <c r="H61" s="8">
        <v>1430</v>
      </c>
      <c r="I61" s="8">
        <v>10080</v>
      </c>
      <c r="J61" s="8">
        <v>2526</v>
      </c>
      <c r="K61" s="8" t="s">
        <v>22</v>
      </c>
      <c r="L61" s="9">
        <f t="shared" si="0"/>
        <v>1920</v>
      </c>
      <c r="M61" s="9">
        <f t="shared" si="1"/>
        <v>-1920</v>
      </c>
      <c r="N61" s="9">
        <v>115200</v>
      </c>
    </row>
    <row r="62" spans="1:14" hidden="1" x14ac:dyDescent="0.25">
      <c r="A62" s="8" t="s">
        <v>20</v>
      </c>
      <c r="B62" s="8" t="s">
        <v>19</v>
      </c>
      <c r="C62" s="8">
        <v>1173800</v>
      </c>
      <c r="D62" s="8">
        <v>3787623</v>
      </c>
      <c r="E62" s="8">
        <v>4</v>
      </c>
      <c r="F62" s="8"/>
      <c r="G62" s="8">
        <v>80626</v>
      </c>
      <c r="H62" s="8">
        <v>1430</v>
      </c>
      <c r="I62" s="8">
        <v>10080</v>
      </c>
      <c r="J62" s="8">
        <v>2526</v>
      </c>
      <c r="K62" s="8" t="s">
        <v>22</v>
      </c>
      <c r="L62" s="9">
        <f t="shared" si="0"/>
        <v>1920</v>
      </c>
      <c r="M62" s="9">
        <f t="shared" si="1"/>
        <v>-1920</v>
      </c>
      <c r="N62" s="9">
        <v>115200</v>
      </c>
    </row>
    <row r="63" spans="1:14" hidden="1" x14ac:dyDescent="0.25">
      <c r="A63" s="8" t="s">
        <v>20</v>
      </c>
      <c r="B63" s="8" t="s">
        <v>19</v>
      </c>
      <c r="C63" s="8">
        <v>1173800</v>
      </c>
      <c r="D63" s="8">
        <v>3787624</v>
      </c>
      <c r="E63" s="8">
        <v>4</v>
      </c>
      <c r="F63" s="8"/>
      <c r="G63" s="8">
        <v>80626</v>
      </c>
      <c r="H63" s="8">
        <v>1430</v>
      </c>
      <c r="I63" s="8">
        <v>10080</v>
      </c>
      <c r="J63" s="8">
        <v>2627</v>
      </c>
      <c r="K63" s="8" t="s">
        <v>22</v>
      </c>
      <c r="L63" s="9">
        <f t="shared" si="0"/>
        <v>1920</v>
      </c>
      <c r="M63" s="9">
        <f t="shared" si="1"/>
        <v>-1920</v>
      </c>
      <c r="N63" s="9">
        <v>115200</v>
      </c>
    </row>
    <row r="64" spans="1:14" hidden="1" x14ac:dyDescent="0.25">
      <c r="A64" s="8" t="s">
        <v>20</v>
      </c>
      <c r="B64" s="8" t="s">
        <v>19</v>
      </c>
      <c r="C64" s="8">
        <v>1173800</v>
      </c>
      <c r="D64" s="8">
        <v>3787625</v>
      </c>
      <c r="E64" s="8">
        <v>4</v>
      </c>
      <c r="F64" s="8"/>
      <c r="G64" s="8">
        <v>80626</v>
      </c>
      <c r="H64" s="8">
        <v>1430</v>
      </c>
      <c r="I64" s="8">
        <v>10080</v>
      </c>
      <c r="J64" s="8">
        <v>2627</v>
      </c>
      <c r="K64" s="8" t="s">
        <v>22</v>
      </c>
      <c r="L64" s="9">
        <f t="shared" si="0"/>
        <v>1920</v>
      </c>
      <c r="M64" s="9">
        <f t="shared" si="1"/>
        <v>-1920</v>
      </c>
      <c r="N64" s="9">
        <v>115200</v>
      </c>
    </row>
    <row r="65" spans="1:14" hidden="1" x14ac:dyDescent="0.25">
      <c r="A65" s="8" t="s">
        <v>20</v>
      </c>
      <c r="B65" s="8" t="s">
        <v>19</v>
      </c>
      <c r="C65" s="8">
        <v>1173800</v>
      </c>
      <c r="D65" s="8">
        <v>3787626</v>
      </c>
      <c r="E65" s="8">
        <v>4</v>
      </c>
      <c r="F65" s="8"/>
      <c r="G65" s="8">
        <v>80626</v>
      </c>
      <c r="H65" s="8">
        <v>1430</v>
      </c>
      <c r="I65" s="8">
        <v>10080</v>
      </c>
      <c r="J65" s="8">
        <v>2627</v>
      </c>
      <c r="K65" s="8" t="s">
        <v>22</v>
      </c>
      <c r="L65" s="9">
        <f t="shared" si="0"/>
        <v>1920</v>
      </c>
      <c r="M65" s="9">
        <f t="shared" si="1"/>
        <v>-1920</v>
      </c>
      <c r="N65" s="9">
        <v>115200</v>
      </c>
    </row>
    <row r="66" spans="1:14" hidden="1" x14ac:dyDescent="0.25">
      <c r="A66" s="8" t="s">
        <v>20</v>
      </c>
      <c r="B66" s="8" t="s">
        <v>19</v>
      </c>
      <c r="C66" s="8">
        <v>1173800</v>
      </c>
      <c r="D66" s="8">
        <v>3787627</v>
      </c>
      <c r="E66" s="8">
        <v>4</v>
      </c>
      <c r="F66" s="8"/>
      <c r="G66" s="8">
        <v>80626</v>
      </c>
      <c r="H66" s="8">
        <v>1430</v>
      </c>
      <c r="I66" s="8">
        <v>10080</v>
      </c>
      <c r="J66" s="8">
        <v>2627</v>
      </c>
      <c r="K66" s="8" t="s">
        <v>22</v>
      </c>
      <c r="L66" s="9">
        <f t="shared" si="0"/>
        <v>1600</v>
      </c>
      <c r="M66" s="9">
        <f t="shared" si="1"/>
        <v>-1600</v>
      </c>
      <c r="N66" s="9">
        <v>96000</v>
      </c>
    </row>
    <row r="67" spans="1:14" x14ac:dyDescent="0.25">
      <c r="A67" s="8" t="s">
        <v>20</v>
      </c>
      <c r="B67" s="8" t="s">
        <v>19</v>
      </c>
      <c r="C67" s="8">
        <v>1198700</v>
      </c>
      <c r="D67" s="8">
        <v>90523</v>
      </c>
      <c r="E67" s="8">
        <v>1</v>
      </c>
      <c r="F67" s="8"/>
      <c r="G67" s="8">
        <v>240426</v>
      </c>
      <c r="H67" s="8">
        <v>1430</v>
      </c>
      <c r="I67" s="8">
        <v>10057</v>
      </c>
      <c r="J67" s="8">
        <v>2526</v>
      </c>
      <c r="K67" s="8" t="s">
        <v>80</v>
      </c>
      <c r="L67" s="9">
        <f t="shared" ref="L67:L130" si="2">N67/60</f>
        <v>0.9976666666666667</v>
      </c>
      <c r="M67" s="9">
        <f t="shared" ref="M67:M130" si="3">IF(K67="Short",-L67,L67)</f>
        <v>0.9976666666666667</v>
      </c>
      <c r="N67" s="9">
        <v>59.86</v>
      </c>
    </row>
    <row r="68" spans="1:14" hidden="1" x14ac:dyDescent="0.25">
      <c r="A68" s="8" t="s">
        <v>20</v>
      </c>
      <c r="B68" s="8" t="s">
        <v>19</v>
      </c>
      <c r="C68" s="8">
        <v>1208300</v>
      </c>
      <c r="D68" s="8">
        <v>3787601</v>
      </c>
      <c r="E68" s="8">
        <v>4</v>
      </c>
      <c r="F68" s="8"/>
      <c r="G68" s="8">
        <v>140526</v>
      </c>
      <c r="H68" s="8">
        <v>1430</v>
      </c>
      <c r="I68" s="8">
        <v>10060</v>
      </c>
      <c r="J68" s="8">
        <v>2526</v>
      </c>
      <c r="K68" s="8" t="s">
        <v>22</v>
      </c>
      <c r="L68" s="9">
        <f t="shared" si="2"/>
        <v>320</v>
      </c>
      <c r="M68" s="9">
        <f t="shared" si="3"/>
        <v>-320</v>
      </c>
      <c r="N68" s="9">
        <v>19200</v>
      </c>
    </row>
    <row r="69" spans="1:14" hidden="1" x14ac:dyDescent="0.25">
      <c r="A69" s="8" t="s">
        <v>20</v>
      </c>
      <c r="B69" s="8" t="s">
        <v>19</v>
      </c>
      <c r="C69" s="8">
        <v>1368000</v>
      </c>
      <c r="D69" s="8">
        <v>3787699</v>
      </c>
      <c r="E69" s="8">
        <v>4</v>
      </c>
      <c r="F69" s="8" t="s">
        <v>81</v>
      </c>
      <c r="G69" s="8">
        <v>110926</v>
      </c>
      <c r="H69" s="8">
        <v>1430</v>
      </c>
      <c r="I69" s="8">
        <v>10140</v>
      </c>
      <c r="J69" s="8">
        <v>2526</v>
      </c>
      <c r="K69" s="8" t="s">
        <v>22</v>
      </c>
      <c r="L69" s="9">
        <f t="shared" si="2"/>
        <v>640</v>
      </c>
      <c r="M69" s="9">
        <f t="shared" si="3"/>
        <v>-640</v>
      </c>
      <c r="N69" s="9">
        <v>38400</v>
      </c>
    </row>
    <row r="70" spans="1:14" hidden="1" x14ac:dyDescent="0.25">
      <c r="A70" s="8" t="s">
        <v>20</v>
      </c>
      <c r="B70" s="8" t="s">
        <v>19</v>
      </c>
      <c r="C70" s="8">
        <v>1377800</v>
      </c>
      <c r="D70" s="8">
        <v>3787693</v>
      </c>
      <c r="E70" s="8">
        <v>4</v>
      </c>
      <c r="F70" s="8"/>
      <c r="G70" s="8">
        <v>20926</v>
      </c>
      <c r="H70" s="8">
        <v>1430</v>
      </c>
      <c r="I70" s="8">
        <v>10040</v>
      </c>
      <c r="J70" s="8">
        <v>2526</v>
      </c>
      <c r="K70" s="8" t="s">
        <v>22</v>
      </c>
      <c r="L70" s="9">
        <f t="shared" si="2"/>
        <v>110</v>
      </c>
      <c r="M70" s="9">
        <f t="shared" si="3"/>
        <v>-110</v>
      </c>
      <c r="N70" s="9">
        <v>6600</v>
      </c>
    </row>
    <row r="71" spans="1:14" hidden="1" x14ac:dyDescent="0.25">
      <c r="A71" s="8" t="s">
        <v>20</v>
      </c>
      <c r="B71" s="8" t="s">
        <v>19</v>
      </c>
      <c r="C71" s="8">
        <v>1377800</v>
      </c>
      <c r="D71" s="8">
        <v>3787694</v>
      </c>
      <c r="E71" s="8">
        <v>4</v>
      </c>
      <c r="F71" s="8"/>
      <c r="G71" s="8">
        <v>20926</v>
      </c>
      <c r="H71" s="8">
        <v>1430</v>
      </c>
      <c r="I71" s="8">
        <v>10040</v>
      </c>
      <c r="J71" s="8">
        <v>2526</v>
      </c>
      <c r="K71" s="8" t="s">
        <v>22</v>
      </c>
      <c r="L71" s="9">
        <f t="shared" si="2"/>
        <v>190</v>
      </c>
      <c r="M71" s="9">
        <f t="shared" si="3"/>
        <v>-190</v>
      </c>
      <c r="N71" s="9">
        <v>11400</v>
      </c>
    </row>
    <row r="72" spans="1:14" hidden="1" x14ac:dyDescent="0.25">
      <c r="A72" s="8" t="s">
        <v>20</v>
      </c>
      <c r="B72" s="8" t="s">
        <v>19</v>
      </c>
      <c r="C72" s="8">
        <v>1382600</v>
      </c>
      <c r="D72" s="8">
        <v>3787611</v>
      </c>
      <c r="E72" s="8">
        <v>4</v>
      </c>
      <c r="F72" s="8" t="s">
        <v>82</v>
      </c>
      <c r="G72" s="8">
        <v>20626</v>
      </c>
      <c r="H72" s="8">
        <v>1430</v>
      </c>
      <c r="I72" s="8">
        <v>10140</v>
      </c>
      <c r="J72" s="8">
        <v>2526</v>
      </c>
      <c r="K72" s="8" t="s">
        <v>22</v>
      </c>
      <c r="L72" s="9">
        <f t="shared" si="2"/>
        <v>320</v>
      </c>
      <c r="M72" s="9">
        <f t="shared" si="3"/>
        <v>-320</v>
      </c>
      <c r="N72" s="9">
        <v>19200</v>
      </c>
    </row>
    <row r="73" spans="1:14" hidden="1" x14ac:dyDescent="0.25">
      <c r="A73" s="8" t="s">
        <v>20</v>
      </c>
      <c r="B73" s="8" t="s">
        <v>19</v>
      </c>
      <c r="C73" s="8">
        <v>1382600</v>
      </c>
      <c r="D73" s="8">
        <v>3787612</v>
      </c>
      <c r="E73" s="8">
        <v>4</v>
      </c>
      <c r="F73" s="8" t="s">
        <v>83</v>
      </c>
      <c r="G73" s="8">
        <v>20626</v>
      </c>
      <c r="H73" s="8">
        <v>1430</v>
      </c>
      <c r="I73" s="8">
        <v>10140</v>
      </c>
      <c r="J73" s="8">
        <v>2526</v>
      </c>
      <c r="K73" s="8" t="s">
        <v>22</v>
      </c>
      <c r="L73" s="9">
        <f t="shared" si="2"/>
        <v>320</v>
      </c>
      <c r="M73" s="9">
        <f t="shared" si="3"/>
        <v>-320</v>
      </c>
      <c r="N73" s="9">
        <v>19200</v>
      </c>
    </row>
    <row r="74" spans="1:14" hidden="1" x14ac:dyDescent="0.25">
      <c r="A74" s="8" t="s">
        <v>20</v>
      </c>
      <c r="B74" s="8" t="s">
        <v>19</v>
      </c>
      <c r="C74" s="8">
        <v>1382600</v>
      </c>
      <c r="D74" s="8">
        <v>3787613</v>
      </c>
      <c r="E74" s="8">
        <v>4</v>
      </c>
      <c r="F74" s="8" t="s">
        <v>84</v>
      </c>
      <c r="G74" s="8">
        <v>20626</v>
      </c>
      <c r="H74" s="8">
        <v>1430</v>
      </c>
      <c r="I74" s="8">
        <v>10140</v>
      </c>
      <c r="J74" s="8">
        <v>2526</v>
      </c>
      <c r="K74" s="8" t="s">
        <v>22</v>
      </c>
      <c r="L74" s="9">
        <f t="shared" si="2"/>
        <v>320</v>
      </c>
      <c r="M74" s="9">
        <f t="shared" si="3"/>
        <v>-320</v>
      </c>
      <c r="N74" s="9">
        <v>19200</v>
      </c>
    </row>
    <row r="75" spans="1:14" x14ac:dyDescent="0.25">
      <c r="A75" s="8" t="s">
        <v>20</v>
      </c>
      <c r="B75" s="8" t="s">
        <v>19</v>
      </c>
      <c r="C75" s="8">
        <v>1395400</v>
      </c>
      <c r="D75" s="8">
        <v>90534</v>
      </c>
      <c r="E75" s="8">
        <v>1</v>
      </c>
      <c r="F75" s="8"/>
      <c r="G75" s="8">
        <v>120626</v>
      </c>
      <c r="H75" s="8">
        <v>1430</v>
      </c>
      <c r="I75" s="8">
        <v>10057</v>
      </c>
      <c r="J75" s="8">
        <v>2526</v>
      </c>
      <c r="K75" s="8" t="s">
        <v>80</v>
      </c>
      <c r="L75" s="9">
        <f t="shared" si="2"/>
        <v>9</v>
      </c>
      <c r="M75" s="9">
        <f t="shared" si="3"/>
        <v>9</v>
      </c>
      <c r="N75" s="9">
        <v>540</v>
      </c>
    </row>
    <row r="76" spans="1:14" x14ac:dyDescent="0.25">
      <c r="A76" s="8" t="s">
        <v>20</v>
      </c>
      <c r="B76" s="8" t="s">
        <v>19</v>
      </c>
      <c r="C76" s="8">
        <v>1395400</v>
      </c>
      <c r="D76" s="8">
        <v>90535</v>
      </c>
      <c r="E76" s="8">
        <v>1</v>
      </c>
      <c r="F76" s="8"/>
      <c r="G76" s="8">
        <v>120626</v>
      </c>
      <c r="H76" s="8">
        <v>1430</v>
      </c>
      <c r="I76" s="8">
        <v>10130</v>
      </c>
      <c r="J76" s="8">
        <v>2526</v>
      </c>
      <c r="K76" s="8" t="s">
        <v>80</v>
      </c>
      <c r="L76" s="9">
        <f t="shared" si="2"/>
        <v>0.9956666666666667</v>
      </c>
      <c r="M76" s="9">
        <f t="shared" si="3"/>
        <v>0.9956666666666667</v>
      </c>
      <c r="N76" s="9">
        <v>59.74</v>
      </c>
    </row>
    <row r="77" spans="1:14" x14ac:dyDescent="0.25">
      <c r="A77" s="8" t="s">
        <v>20</v>
      </c>
      <c r="B77" s="8" t="s">
        <v>19</v>
      </c>
      <c r="C77" s="8">
        <v>1395400</v>
      </c>
      <c r="D77" s="8">
        <v>90557</v>
      </c>
      <c r="E77" s="8">
        <v>1</v>
      </c>
      <c r="F77" s="8"/>
      <c r="G77" s="8">
        <v>60726</v>
      </c>
      <c r="H77" s="8">
        <v>1430</v>
      </c>
      <c r="I77" s="8">
        <v>10057</v>
      </c>
      <c r="J77" s="8">
        <v>2526</v>
      </c>
      <c r="K77" s="8" t="s">
        <v>80</v>
      </c>
      <c r="L77" s="9">
        <f t="shared" si="2"/>
        <v>37.046666666666667</v>
      </c>
      <c r="M77" s="9">
        <f t="shared" si="3"/>
        <v>37.046666666666667</v>
      </c>
      <c r="N77" s="9">
        <v>2222.8000000000002</v>
      </c>
    </row>
    <row r="78" spans="1:14" x14ac:dyDescent="0.25">
      <c r="A78" s="8" t="s">
        <v>20</v>
      </c>
      <c r="B78" s="8" t="s">
        <v>19</v>
      </c>
      <c r="C78" s="8">
        <v>1395400</v>
      </c>
      <c r="D78" s="8">
        <v>90558</v>
      </c>
      <c r="E78" s="8">
        <v>1</v>
      </c>
      <c r="F78" s="8"/>
      <c r="G78" s="8">
        <v>60726</v>
      </c>
      <c r="H78" s="8">
        <v>1430</v>
      </c>
      <c r="I78" s="8">
        <v>10130</v>
      </c>
      <c r="J78" s="8">
        <v>2526</v>
      </c>
      <c r="K78" s="8" t="s">
        <v>80</v>
      </c>
      <c r="L78" s="9">
        <f t="shared" si="2"/>
        <v>12.466666666666667</v>
      </c>
      <c r="M78" s="9">
        <f t="shared" si="3"/>
        <v>12.466666666666667</v>
      </c>
      <c r="N78" s="9">
        <v>748</v>
      </c>
    </row>
    <row r="79" spans="1:14" hidden="1" x14ac:dyDescent="0.25">
      <c r="A79" s="8" t="s">
        <v>20</v>
      </c>
      <c r="B79" s="8" t="s">
        <v>19</v>
      </c>
      <c r="C79" s="8">
        <v>1649000</v>
      </c>
      <c r="D79" s="8">
        <v>3787679</v>
      </c>
      <c r="E79" s="8">
        <v>4</v>
      </c>
      <c r="F79" s="8" t="s">
        <v>85</v>
      </c>
      <c r="G79" s="8">
        <v>100826</v>
      </c>
      <c r="H79" s="8">
        <v>1430</v>
      </c>
      <c r="I79" s="8">
        <v>10060</v>
      </c>
      <c r="J79" s="8">
        <v>2526</v>
      </c>
      <c r="K79" s="8" t="s">
        <v>22</v>
      </c>
      <c r="L79" s="9">
        <f t="shared" si="2"/>
        <v>320</v>
      </c>
      <c r="M79" s="9">
        <f t="shared" si="3"/>
        <v>-320</v>
      </c>
      <c r="N79" s="9">
        <v>19200</v>
      </c>
    </row>
    <row r="80" spans="1:14" hidden="1" x14ac:dyDescent="0.25">
      <c r="A80" s="8" t="s">
        <v>20</v>
      </c>
      <c r="B80" s="8" t="s">
        <v>19</v>
      </c>
      <c r="C80" s="8">
        <v>1649000</v>
      </c>
      <c r="D80" s="8">
        <v>3787683</v>
      </c>
      <c r="E80" s="8">
        <v>4</v>
      </c>
      <c r="F80" s="8" t="s">
        <v>86</v>
      </c>
      <c r="G80" s="8">
        <v>210826</v>
      </c>
      <c r="H80" s="8">
        <v>1430</v>
      </c>
      <c r="I80" s="8">
        <v>10060</v>
      </c>
      <c r="J80" s="8">
        <v>2526</v>
      </c>
      <c r="K80" s="8" t="s">
        <v>22</v>
      </c>
      <c r="L80" s="9">
        <f t="shared" si="2"/>
        <v>320</v>
      </c>
      <c r="M80" s="9">
        <f t="shared" si="3"/>
        <v>-320</v>
      </c>
      <c r="N80" s="9">
        <v>19200</v>
      </c>
    </row>
    <row r="81" spans="1:14" hidden="1" x14ac:dyDescent="0.25">
      <c r="A81" s="8" t="s">
        <v>20</v>
      </c>
      <c r="B81" s="8" t="s">
        <v>19</v>
      </c>
      <c r="C81" s="8">
        <v>1649000</v>
      </c>
      <c r="D81" s="8">
        <v>3787684</v>
      </c>
      <c r="E81" s="8">
        <v>4</v>
      </c>
      <c r="F81" s="8" t="s">
        <v>87</v>
      </c>
      <c r="G81" s="8">
        <v>210826</v>
      </c>
      <c r="H81" s="8">
        <v>1430</v>
      </c>
      <c r="I81" s="8">
        <v>10070</v>
      </c>
      <c r="J81" s="8">
        <v>2526</v>
      </c>
      <c r="K81" s="8" t="s">
        <v>22</v>
      </c>
      <c r="L81" s="9">
        <f t="shared" si="2"/>
        <v>320</v>
      </c>
      <c r="M81" s="9">
        <f t="shared" si="3"/>
        <v>-320</v>
      </c>
      <c r="N81" s="9">
        <v>19200</v>
      </c>
    </row>
    <row r="82" spans="1:14" hidden="1" x14ac:dyDescent="0.25">
      <c r="A82" s="8" t="s">
        <v>20</v>
      </c>
      <c r="B82" s="8" t="s">
        <v>19</v>
      </c>
      <c r="C82" s="8">
        <v>1677600</v>
      </c>
      <c r="D82" s="8">
        <v>3787311</v>
      </c>
      <c r="E82" s="8">
        <v>4</v>
      </c>
      <c r="F82" s="8"/>
      <c r="G82" s="8">
        <v>180226</v>
      </c>
      <c r="H82" s="8">
        <v>1430</v>
      </c>
      <c r="I82" s="8">
        <v>10080</v>
      </c>
      <c r="J82" s="8">
        <v>2526</v>
      </c>
      <c r="K82" s="8" t="s">
        <v>22</v>
      </c>
      <c r="L82" s="9">
        <f t="shared" si="2"/>
        <v>1280</v>
      </c>
      <c r="M82" s="9">
        <f t="shared" si="3"/>
        <v>-1280</v>
      </c>
      <c r="N82" s="9">
        <v>76800</v>
      </c>
    </row>
    <row r="83" spans="1:14" hidden="1" x14ac:dyDescent="0.25">
      <c r="A83" s="8" t="s">
        <v>20</v>
      </c>
      <c r="B83" s="8" t="s">
        <v>19</v>
      </c>
      <c r="C83" s="8">
        <v>1677600</v>
      </c>
      <c r="D83" s="8">
        <v>3787312</v>
      </c>
      <c r="E83" s="8">
        <v>4</v>
      </c>
      <c r="F83" s="8"/>
      <c r="G83" s="8">
        <v>180226</v>
      </c>
      <c r="H83" s="8">
        <v>1430</v>
      </c>
      <c r="I83" s="8">
        <v>10080</v>
      </c>
      <c r="J83" s="8">
        <v>2526</v>
      </c>
      <c r="K83" s="8" t="s">
        <v>22</v>
      </c>
      <c r="L83" s="9">
        <f t="shared" si="2"/>
        <v>1280</v>
      </c>
      <c r="M83" s="9">
        <f t="shared" si="3"/>
        <v>-1280</v>
      </c>
      <c r="N83" s="9">
        <v>76800</v>
      </c>
    </row>
    <row r="84" spans="1:14" hidden="1" x14ac:dyDescent="0.25">
      <c r="A84" s="8" t="s">
        <v>20</v>
      </c>
      <c r="B84" s="8" t="s">
        <v>19</v>
      </c>
      <c r="C84" s="8">
        <v>1677600</v>
      </c>
      <c r="D84" s="8">
        <v>3787313</v>
      </c>
      <c r="E84" s="8">
        <v>4</v>
      </c>
      <c r="F84" s="8"/>
      <c r="G84" s="8">
        <v>180226</v>
      </c>
      <c r="H84" s="8">
        <v>1430</v>
      </c>
      <c r="I84" s="8">
        <v>10080</v>
      </c>
      <c r="J84" s="8">
        <v>2526</v>
      </c>
      <c r="K84" s="8" t="s">
        <v>22</v>
      </c>
      <c r="L84" s="9">
        <f t="shared" si="2"/>
        <v>1280</v>
      </c>
      <c r="M84" s="9">
        <f t="shared" si="3"/>
        <v>-1280</v>
      </c>
      <c r="N84" s="9">
        <v>76800</v>
      </c>
    </row>
    <row r="85" spans="1:14" hidden="1" x14ac:dyDescent="0.25">
      <c r="A85" s="8" t="s">
        <v>20</v>
      </c>
      <c r="B85" s="8" t="s">
        <v>19</v>
      </c>
      <c r="C85" s="8">
        <v>1677600</v>
      </c>
      <c r="D85" s="8">
        <v>3787314</v>
      </c>
      <c r="E85" s="8">
        <v>4</v>
      </c>
      <c r="F85" s="8"/>
      <c r="G85" s="8">
        <v>180226</v>
      </c>
      <c r="H85" s="8">
        <v>1430</v>
      </c>
      <c r="I85" s="8">
        <v>10080</v>
      </c>
      <c r="J85" s="8">
        <v>2526</v>
      </c>
      <c r="K85" s="8" t="s">
        <v>22</v>
      </c>
      <c r="L85" s="9">
        <f t="shared" si="2"/>
        <v>1280</v>
      </c>
      <c r="M85" s="9">
        <f t="shared" si="3"/>
        <v>-1280</v>
      </c>
      <c r="N85" s="9">
        <v>76800</v>
      </c>
    </row>
    <row r="86" spans="1:14" hidden="1" x14ac:dyDescent="0.25">
      <c r="A86" s="8" t="s">
        <v>20</v>
      </c>
      <c r="B86" s="8" t="s">
        <v>19</v>
      </c>
      <c r="C86" s="8">
        <v>1677600</v>
      </c>
      <c r="D86" s="8">
        <v>3787566</v>
      </c>
      <c r="E86" s="8">
        <v>4</v>
      </c>
      <c r="F86" s="8"/>
      <c r="G86" s="8">
        <v>220426</v>
      </c>
      <c r="H86" s="8">
        <v>1430</v>
      </c>
      <c r="I86" s="8">
        <v>10080</v>
      </c>
      <c r="J86" s="8">
        <v>2526</v>
      </c>
      <c r="K86" s="8" t="s">
        <v>22</v>
      </c>
      <c r="L86" s="9">
        <f t="shared" si="2"/>
        <v>320</v>
      </c>
      <c r="M86" s="9">
        <f t="shared" si="3"/>
        <v>-320</v>
      </c>
      <c r="N86" s="9">
        <v>19200</v>
      </c>
    </row>
    <row r="87" spans="1:14" hidden="1" x14ac:dyDescent="0.25">
      <c r="A87" s="8" t="s">
        <v>20</v>
      </c>
      <c r="B87" s="8" t="s">
        <v>19</v>
      </c>
      <c r="C87" s="8">
        <v>1677600</v>
      </c>
      <c r="D87" s="8">
        <v>3787567</v>
      </c>
      <c r="E87" s="8">
        <v>4</v>
      </c>
      <c r="F87" s="8"/>
      <c r="G87" s="8">
        <v>220426</v>
      </c>
      <c r="H87" s="8">
        <v>1430</v>
      </c>
      <c r="I87" s="8">
        <v>10080</v>
      </c>
      <c r="J87" s="8">
        <v>2526</v>
      </c>
      <c r="K87" s="8" t="s">
        <v>22</v>
      </c>
      <c r="L87" s="9">
        <f t="shared" si="2"/>
        <v>320</v>
      </c>
      <c r="M87" s="9">
        <f t="shared" si="3"/>
        <v>-320</v>
      </c>
      <c r="N87" s="9">
        <v>19200</v>
      </c>
    </row>
    <row r="88" spans="1:14" hidden="1" x14ac:dyDescent="0.25">
      <c r="A88" s="8" t="s">
        <v>20</v>
      </c>
      <c r="B88" s="8" t="s">
        <v>19</v>
      </c>
      <c r="C88" s="8">
        <v>1677600</v>
      </c>
      <c r="D88" s="8">
        <v>3787568</v>
      </c>
      <c r="E88" s="8">
        <v>4</v>
      </c>
      <c r="F88" s="8" t="s">
        <v>88</v>
      </c>
      <c r="G88" s="8">
        <v>220426</v>
      </c>
      <c r="H88" s="8">
        <v>1430</v>
      </c>
      <c r="I88" s="8">
        <v>10080</v>
      </c>
      <c r="J88" s="8">
        <v>2526</v>
      </c>
      <c r="K88" s="8" t="s">
        <v>22</v>
      </c>
      <c r="L88" s="9">
        <f t="shared" si="2"/>
        <v>320</v>
      </c>
      <c r="M88" s="9">
        <f t="shared" si="3"/>
        <v>-320</v>
      </c>
      <c r="N88" s="9">
        <v>19200</v>
      </c>
    </row>
    <row r="89" spans="1:14" hidden="1" x14ac:dyDescent="0.25">
      <c r="A89" s="8" t="s">
        <v>20</v>
      </c>
      <c r="B89" s="8" t="s">
        <v>89</v>
      </c>
      <c r="C89" s="8">
        <v>1001700</v>
      </c>
      <c r="D89" s="8">
        <v>3787039</v>
      </c>
      <c r="E89" s="8">
        <v>4</v>
      </c>
      <c r="F89" s="8" t="s">
        <v>90</v>
      </c>
      <c r="G89" s="8">
        <v>111225</v>
      </c>
      <c r="H89" s="8">
        <v>1430</v>
      </c>
      <c r="I89" s="8">
        <v>10070</v>
      </c>
      <c r="J89" s="8">
        <v>2526</v>
      </c>
      <c r="K89" s="8" t="s">
        <v>22</v>
      </c>
      <c r="L89" s="9">
        <f t="shared" si="2"/>
        <v>320</v>
      </c>
      <c r="M89" s="9">
        <f t="shared" si="3"/>
        <v>-320</v>
      </c>
      <c r="N89" s="9">
        <v>19200</v>
      </c>
    </row>
    <row r="90" spans="1:14" hidden="1" x14ac:dyDescent="0.25">
      <c r="A90" s="8" t="s">
        <v>20</v>
      </c>
      <c r="B90" s="8" t="s">
        <v>89</v>
      </c>
      <c r="C90" s="8">
        <v>1001700</v>
      </c>
      <c r="D90" s="8">
        <v>3787621</v>
      </c>
      <c r="E90" s="8">
        <v>4</v>
      </c>
      <c r="F90" s="8" t="s">
        <v>91</v>
      </c>
      <c r="G90" s="8">
        <v>50626</v>
      </c>
      <c r="H90" s="8">
        <v>1430</v>
      </c>
      <c r="I90" s="8">
        <v>10070</v>
      </c>
      <c r="J90" s="8">
        <v>2627</v>
      </c>
      <c r="K90" s="8" t="s">
        <v>22</v>
      </c>
      <c r="L90" s="9">
        <f t="shared" si="2"/>
        <v>320</v>
      </c>
      <c r="M90" s="9">
        <f t="shared" si="3"/>
        <v>-320</v>
      </c>
      <c r="N90" s="9">
        <v>19200</v>
      </c>
    </row>
    <row r="91" spans="1:14" hidden="1" x14ac:dyDescent="0.25">
      <c r="A91" s="8" t="s">
        <v>20</v>
      </c>
      <c r="B91" s="8" t="s">
        <v>89</v>
      </c>
      <c r="C91" s="8">
        <v>1001700</v>
      </c>
      <c r="D91" s="8">
        <v>3787655</v>
      </c>
      <c r="E91" s="8">
        <v>4</v>
      </c>
      <c r="F91" s="8" t="s">
        <v>92</v>
      </c>
      <c r="G91" s="8">
        <v>160726</v>
      </c>
      <c r="H91" s="8">
        <v>1391</v>
      </c>
      <c r="I91" s="8">
        <v>10030</v>
      </c>
      <c r="J91" s="8">
        <v>2526</v>
      </c>
      <c r="K91" s="8" t="s">
        <v>22</v>
      </c>
      <c r="L91" s="8">
        <f t="shared" si="2"/>
        <v>3780</v>
      </c>
      <c r="M91" s="9">
        <f t="shared" si="3"/>
        <v>-3780</v>
      </c>
      <c r="N91" s="8">
        <v>226800</v>
      </c>
    </row>
    <row r="92" spans="1:14" hidden="1" x14ac:dyDescent="0.25">
      <c r="A92" s="8" t="s">
        <v>20</v>
      </c>
      <c r="B92" s="8" t="s">
        <v>89</v>
      </c>
      <c r="C92" s="8">
        <v>1001700</v>
      </c>
      <c r="D92" s="8">
        <v>3787671</v>
      </c>
      <c r="E92" s="8">
        <v>4</v>
      </c>
      <c r="F92" s="8" t="s">
        <v>93</v>
      </c>
      <c r="G92" s="8">
        <v>40826</v>
      </c>
      <c r="H92" s="8">
        <v>1391</v>
      </c>
      <c r="I92" s="8">
        <v>10030</v>
      </c>
      <c r="J92" s="8">
        <v>2526</v>
      </c>
      <c r="K92" s="8" t="s">
        <v>22</v>
      </c>
      <c r="L92" s="8">
        <f t="shared" si="2"/>
        <v>2880</v>
      </c>
      <c r="M92" s="9">
        <f t="shared" si="3"/>
        <v>-2880</v>
      </c>
      <c r="N92" s="8">
        <v>172800</v>
      </c>
    </row>
    <row r="93" spans="1:14" hidden="1" x14ac:dyDescent="0.25">
      <c r="A93" s="8" t="s">
        <v>20</v>
      </c>
      <c r="B93" s="8" t="s">
        <v>89</v>
      </c>
      <c r="C93" s="8">
        <v>1001700</v>
      </c>
      <c r="D93" s="8">
        <v>3787672</v>
      </c>
      <c r="E93" s="8">
        <v>4</v>
      </c>
      <c r="F93" s="8" t="s">
        <v>94</v>
      </c>
      <c r="G93" s="8">
        <v>40826</v>
      </c>
      <c r="H93" s="8">
        <v>1391</v>
      </c>
      <c r="I93" s="8">
        <v>19100</v>
      </c>
      <c r="J93" s="8">
        <v>2526</v>
      </c>
      <c r="K93" s="8" t="s">
        <v>22</v>
      </c>
      <c r="L93" s="8">
        <f t="shared" si="2"/>
        <v>1920</v>
      </c>
      <c r="M93" s="9">
        <f t="shared" si="3"/>
        <v>-1920</v>
      </c>
      <c r="N93" s="8">
        <v>115200</v>
      </c>
    </row>
    <row r="94" spans="1:14" hidden="1" x14ac:dyDescent="0.25">
      <c r="A94" s="8" t="s">
        <v>20</v>
      </c>
      <c r="B94" s="8" t="s">
        <v>89</v>
      </c>
      <c r="C94" s="8">
        <v>1001700</v>
      </c>
      <c r="D94" s="8">
        <v>3787688</v>
      </c>
      <c r="E94" s="8">
        <v>4</v>
      </c>
      <c r="F94" s="8" t="s">
        <v>95</v>
      </c>
      <c r="G94" s="8">
        <v>270826</v>
      </c>
      <c r="H94" s="8">
        <v>1430</v>
      </c>
      <c r="I94" s="8">
        <v>10110</v>
      </c>
      <c r="J94" s="8">
        <v>2627</v>
      </c>
      <c r="K94" s="8" t="s">
        <v>22</v>
      </c>
      <c r="L94" s="9">
        <f t="shared" si="2"/>
        <v>320</v>
      </c>
      <c r="M94" s="9">
        <f t="shared" si="3"/>
        <v>-320</v>
      </c>
      <c r="N94" s="9">
        <v>19200</v>
      </c>
    </row>
    <row r="95" spans="1:14" hidden="1" x14ac:dyDescent="0.25">
      <c r="A95" s="8" t="s">
        <v>20</v>
      </c>
      <c r="B95" s="8" t="s">
        <v>89</v>
      </c>
      <c r="C95" s="8">
        <v>1001700</v>
      </c>
      <c r="D95" s="8">
        <v>3787695</v>
      </c>
      <c r="E95" s="8">
        <v>4</v>
      </c>
      <c r="F95" s="8" t="s">
        <v>96</v>
      </c>
      <c r="G95" s="8">
        <v>30926</v>
      </c>
      <c r="H95" s="8">
        <v>1390</v>
      </c>
      <c r="I95" s="8">
        <v>10045</v>
      </c>
      <c r="J95" s="8">
        <v>2526</v>
      </c>
      <c r="K95" s="8" t="s">
        <v>22</v>
      </c>
      <c r="L95" s="8">
        <f t="shared" si="2"/>
        <v>320</v>
      </c>
      <c r="M95" s="9">
        <f t="shared" si="3"/>
        <v>-320</v>
      </c>
      <c r="N95" s="8">
        <v>19200</v>
      </c>
    </row>
    <row r="96" spans="1:14" hidden="1" x14ac:dyDescent="0.25">
      <c r="A96" s="8" t="s">
        <v>20</v>
      </c>
      <c r="B96" s="8" t="s">
        <v>89</v>
      </c>
      <c r="C96" s="8">
        <v>1001700</v>
      </c>
      <c r="D96" s="8">
        <v>3787696</v>
      </c>
      <c r="E96" s="8">
        <v>4</v>
      </c>
      <c r="F96" s="8" t="s">
        <v>97</v>
      </c>
      <c r="G96" s="8">
        <v>40926</v>
      </c>
      <c r="H96" s="8">
        <v>1390</v>
      </c>
      <c r="I96" s="8">
        <v>10045</v>
      </c>
      <c r="J96" s="8">
        <v>2526</v>
      </c>
      <c r="K96" s="8" t="s">
        <v>22</v>
      </c>
      <c r="L96" s="8">
        <f t="shared" si="2"/>
        <v>3200</v>
      </c>
      <c r="M96" s="9">
        <f t="shared" si="3"/>
        <v>-3200</v>
      </c>
      <c r="N96" s="8">
        <v>192000</v>
      </c>
    </row>
    <row r="97" spans="1:14" hidden="1" x14ac:dyDescent="0.25">
      <c r="A97" s="8" t="s">
        <v>20</v>
      </c>
      <c r="B97" s="8" t="s">
        <v>89</v>
      </c>
      <c r="C97" s="8">
        <v>1001700</v>
      </c>
      <c r="D97" s="8">
        <v>3787698</v>
      </c>
      <c r="E97" s="8">
        <v>4</v>
      </c>
      <c r="F97" s="8" t="s">
        <v>98</v>
      </c>
      <c r="G97" s="8">
        <v>110926</v>
      </c>
      <c r="H97" s="8">
        <v>1430</v>
      </c>
      <c r="I97" s="8">
        <v>10060</v>
      </c>
      <c r="J97" s="8">
        <v>2627</v>
      </c>
      <c r="K97" s="8" t="s">
        <v>22</v>
      </c>
      <c r="L97" s="9">
        <f t="shared" si="2"/>
        <v>320</v>
      </c>
      <c r="M97" s="9">
        <f t="shared" si="3"/>
        <v>-320</v>
      </c>
      <c r="N97" s="9">
        <v>19200</v>
      </c>
    </row>
    <row r="98" spans="1:14" hidden="1" x14ac:dyDescent="0.25">
      <c r="A98" s="8" t="s">
        <v>20</v>
      </c>
      <c r="B98" s="8" t="s">
        <v>89</v>
      </c>
      <c r="C98" s="8">
        <v>1001700</v>
      </c>
      <c r="D98" s="8">
        <v>3787704</v>
      </c>
      <c r="E98" s="8">
        <v>4</v>
      </c>
      <c r="F98" s="8" t="s">
        <v>99</v>
      </c>
      <c r="G98" s="8">
        <v>140926</v>
      </c>
      <c r="H98" s="8">
        <v>1390</v>
      </c>
      <c r="I98" s="8">
        <v>10045</v>
      </c>
      <c r="J98" s="8">
        <v>2526</v>
      </c>
      <c r="K98" s="8" t="s">
        <v>22</v>
      </c>
      <c r="L98" s="8">
        <f t="shared" si="2"/>
        <v>1280</v>
      </c>
      <c r="M98" s="9">
        <f t="shared" si="3"/>
        <v>-1280</v>
      </c>
      <c r="N98" s="8">
        <v>76800</v>
      </c>
    </row>
    <row r="99" spans="1:14" x14ac:dyDescent="0.25">
      <c r="A99" s="8" t="s">
        <v>20</v>
      </c>
      <c r="B99" s="8" t="s">
        <v>89</v>
      </c>
      <c r="C99" s="8">
        <v>1009000</v>
      </c>
      <c r="D99" s="8">
        <v>90520</v>
      </c>
      <c r="E99" s="8">
        <v>1</v>
      </c>
      <c r="F99" s="8"/>
      <c r="G99" s="8">
        <v>240426</v>
      </c>
      <c r="H99" s="8">
        <v>1430</v>
      </c>
      <c r="I99" s="8">
        <v>10130</v>
      </c>
      <c r="J99" s="8">
        <v>2526</v>
      </c>
      <c r="K99" s="8" t="s">
        <v>80</v>
      </c>
      <c r="L99" s="9">
        <f t="shared" si="2"/>
        <v>1273</v>
      </c>
      <c r="M99" s="9">
        <f t="shared" si="3"/>
        <v>1273</v>
      </c>
      <c r="N99" s="9">
        <v>76380</v>
      </c>
    </row>
    <row r="100" spans="1:14" x14ac:dyDescent="0.25">
      <c r="A100" s="8" t="s">
        <v>20</v>
      </c>
      <c r="B100" s="8" t="s">
        <v>89</v>
      </c>
      <c r="C100" s="8">
        <v>1009000</v>
      </c>
      <c r="D100" s="8">
        <v>90528</v>
      </c>
      <c r="E100" s="8">
        <v>1</v>
      </c>
      <c r="F100" s="8"/>
      <c r="G100" s="8">
        <v>300426</v>
      </c>
      <c r="H100" s="8">
        <v>1430</v>
      </c>
      <c r="I100" s="8">
        <v>10027</v>
      </c>
      <c r="J100" s="8">
        <v>2526</v>
      </c>
      <c r="K100" s="8" t="s">
        <v>80</v>
      </c>
      <c r="L100" s="9">
        <f t="shared" si="2"/>
        <v>309.99816666666663</v>
      </c>
      <c r="M100" s="9">
        <f t="shared" si="3"/>
        <v>309.99816666666663</v>
      </c>
      <c r="N100" s="9">
        <v>18599.89</v>
      </c>
    </row>
    <row r="101" spans="1:14" x14ac:dyDescent="0.25">
      <c r="A101" s="8" t="s">
        <v>20</v>
      </c>
      <c r="B101" s="8" t="s">
        <v>89</v>
      </c>
      <c r="C101" s="8">
        <v>1009000</v>
      </c>
      <c r="D101" s="8">
        <v>90529</v>
      </c>
      <c r="E101" s="8">
        <v>1</v>
      </c>
      <c r="F101" s="8"/>
      <c r="G101" s="8">
        <v>300426</v>
      </c>
      <c r="H101" s="8">
        <v>1430</v>
      </c>
      <c r="I101" s="8">
        <v>10260</v>
      </c>
      <c r="J101" s="8">
        <v>2526</v>
      </c>
      <c r="K101" s="8" t="s">
        <v>80</v>
      </c>
      <c r="L101" s="9">
        <f t="shared" si="2"/>
        <v>332.82566666666668</v>
      </c>
      <c r="M101" s="9">
        <f t="shared" si="3"/>
        <v>332.82566666666668</v>
      </c>
      <c r="N101" s="9">
        <v>19969.54</v>
      </c>
    </row>
    <row r="102" spans="1:14" x14ac:dyDescent="0.25">
      <c r="A102" s="8" t="s">
        <v>20</v>
      </c>
      <c r="B102" s="8" t="s">
        <v>89</v>
      </c>
      <c r="C102" s="8">
        <v>1009000</v>
      </c>
      <c r="D102" s="8">
        <v>90530</v>
      </c>
      <c r="E102" s="8">
        <v>1</v>
      </c>
      <c r="F102" s="8"/>
      <c r="G102" s="8">
        <v>300426</v>
      </c>
      <c r="H102" s="8">
        <v>1430</v>
      </c>
      <c r="I102" s="8">
        <v>10057</v>
      </c>
      <c r="J102" s="8">
        <v>2526</v>
      </c>
      <c r="K102" s="8" t="s">
        <v>80</v>
      </c>
      <c r="L102" s="9">
        <f t="shared" si="2"/>
        <v>182.9975</v>
      </c>
      <c r="M102" s="9">
        <f t="shared" si="3"/>
        <v>182.9975</v>
      </c>
      <c r="N102" s="9">
        <v>10979.85</v>
      </c>
    </row>
    <row r="103" spans="1:14" x14ac:dyDescent="0.25">
      <c r="A103" s="8" t="s">
        <v>20</v>
      </c>
      <c r="B103" s="8" t="s">
        <v>89</v>
      </c>
      <c r="C103" s="8">
        <v>1009000</v>
      </c>
      <c r="D103" s="8">
        <v>90533</v>
      </c>
      <c r="E103" s="8">
        <v>1</v>
      </c>
      <c r="F103" s="8"/>
      <c r="G103" s="8">
        <v>20626</v>
      </c>
      <c r="H103" s="8">
        <v>1430</v>
      </c>
      <c r="I103" s="8">
        <v>10130</v>
      </c>
      <c r="J103" s="8">
        <v>2526</v>
      </c>
      <c r="K103" s="8" t="s">
        <v>80</v>
      </c>
      <c r="L103" s="9">
        <f t="shared" si="2"/>
        <v>4223.0293333333339</v>
      </c>
      <c r="M103" s="9">
        <f t="shared" si="3"/>
        <v>4223.0293333333339</v>
      </c>
      <c r="N103" s="9">
        <v>253381.76000000001</v>
      </c>
    </row>
    <row r="104" spans="1:14" x14ac:dyDescent="0.25">
      <c r="A104" s="8" t="s">
        <v>20</v>
      </c>
      <c r="B104" s="8" t="s">
        <v>89</v>
      </c>
      <c r="C104" s="8">
        <v>1009000</v>
      </c>
      <c r="D104" s="8">
        <v>90562</v>
      </c>
      <c r="E104" s="8">
        <v>1</v>
      </c>
      <c r="F104" s="8"/>
      <c r="G104" s="8">
        <v>160726</v>
      </c>
      <c r="H104" s="8">
        <v>1430</v>
      </c>
      <c r="I104" s="8">
        <v>10057</v>
      </c>
      <c r="J104" s="8">
        <v>2526</v>
      </c>
      <c r="K104" s="8" t="s">
        <v>80</v>
      </c>
      <c r="L104" s="9">
        <f t="shared" si="2"/>
        <v>22006.536166666665</v>
      </c>
      <c r="M104" s="9">
        <f t="shared" si="3"/>
        <v>22006.536166666665</v>
      </c>
      <c r="N104" s="9">
        <v>1320392.17</v>
      </c>
    </row>
    <row r="105" spans="1:14" x14ac:dyDescent="0.25">
      <c r="A105" s="8" t="s">
        <v>20</v>
      </c>
      <c r="B105" s="8" t="s">
        <v>89</v>
      </c>
      <c r="C105" s="8">
        <v>1009000</v>
      </c>
      <c r="D105" s="8">
        <v>90562</v>
      </c>
      <c r="E105" s="8">
        <v>3</v>
      </c>
      <c r="F105" s="8"/>
      <c r="G105" s="8">
        <v>160726</v>
      </c>
      <c r="H105" s="8">
        <v>1430</v>
      </c>
      <c r="I105" s="8">
        <v>10057</v>
      </c>
      <c r="J105" s="8">
        <v>2526</v>
      </c>
      <c r="K105" s="8" t="s">
        <v>100</v>
      </c>
      <c r="L105" s="9">
        <f t="shared" si="2"/>
        <v>114.9975</v>
      </c>
      <c r="M105" s="9">
        <f t="shared" si="3"/>
        <v>114.9975</v>
      </c>
      <c r="N105" s="9">
        <v>6899.85</v>
      </c>
    </row>
    <row r="106" spans="1:14" x14ac:dyDescent="0.25">
      <c r="A106" s="8" t="s">
        <v>20</v>
      </c>
      <c r="B106" s="8" t="s">
        <v>89</v>
      </c>
      <c r="C106" s="8">
        <v>1009000</v>
      </c>
      <c r="D106" s="8">
        <v>90567</v>
      </c>
      <c r="E106" s="8">
        <v>1</v>
      </c>
      <c r="F106" s="8"/>
      <c r="G106" s="8">
        <v>220726</v>
      </c>
      <c r="H106" s="8">
        <v>1430</v>
      </c>
      <c r="I106" s="8">
        <v>10027</v>
      </c>
      <c r="J106" s="8">
        <v>2526</v>
      </c>
      <c r="K106" s="8" t="s">
        <v>80</v>
      </c>
      <c r="L106" s="9">
        <f t="shared" si="2"/>
        <v>2711.8871666666669</v>
      </c>
      <c r="M106" s="9">
        <f t="shared" si="3"/>
        <v>2711.8871666666669</v>
      </c>
      <c r="N106" s="9">
        <v>162713.23000000001</v>
      </c>
    </row>
    <row r="107" spans="1:14" x14ac:dyDescent="0.25">
      <c r="A107" s="8" t="s">
        <v>20</v>
      </c>
      <c r="B107" s="8" t="s">
        <v>89</v>
      </c>
      <c r="C107" s="8">
        <v>1009000</v>
      </c>
      <c r="D107" s="8">
        <v>90597</v>
      </c>
      <c r="E107" s="8">
        <v>1</v>
      </c>
      <c r="F107" s="8"/>
      <c r="G107" s="8">
        <v>250926</v>
      </c>
      <c r="H107" s="8">
        <v>1430</v>
      </c>
      <c r="I107" s="8">
        <v>10057</v>
      </c>
      <c r="J107" s="8">
        <v>2526</v>
      </c>
      <c r="K107" s="8" t="s">
        <v>80</v>
      </c>
      <c r="L107" s="9">
        <f t="shared" si="2"/>
        <v>85.433333333333337</v>
      </c>
      <c r="M107" s="9">
        <f t="shared" si="3"/>
        <v>85.433333333333337</v>
      </c>
      <c r="N107" s="9">
        <v>5126</v>
      </c>
    </row>
    <row r="108" spans="1:14" x14ac:dyDescent="0.25">
      <c r="A108" s="8" t="s">
        <v>20</v>
      </c>
      <c r="B108" s="8" t="s">
        <v>89</v>
      </c>
      <c r="C108" s="8">
        <v>1009000</v>
      </c>
      <c r="D108" s="8">
        <v>90598</v>
      </c>
      <c r="E108" s="8">
        <v>1</v>
      </c>
      <c r="F108" s="8"/>
      <c r="G108" s="8">
        <v>250926</v>
      </c>
      <c r="H108" s="8">
        <v>1430</v>
      </c>
      <c r="I108" s="8">
        <v>10130</v>
      </c>
      <c r="J108" s="8">
        <v>2526</v>
      </c>
      <c r="K108" s="8" t="s">
        <v>80</v>
      </c>
      <c r="L108" s="9">
        <f t="shared" si="2"/>
        <v>141.56666666666666</v>
      </c>
      <c r="M108" s="9">
        <f t="shared" si="3"/>
        <v>141.56666666666666</v>
      </c>
      <c r="N108" s="9">
        <v>8494</v>
      </c>
    </row>
    <row r="109" spans="1:14" x14ac:dyDescent="0.25">
      <c r="A109" s="8" t="s">
        <v>20</v>
      </c>
      <c r="B109" s="8" t="s">
        <v>89</v>
      </c>
      <c r="C109" s="8">
        <v>1009000</v>
      </c>
      <c r="D109" s="8">
        <v>90599</v>
      </c>
      <c r="E109" s="8">
        <v>1</v>
      </c>
      <c r="F109" s="8"/>
      <c r="G109" s="8">
        <v>250926</v>
      </c>
      <c r="H109" s="8">
        <v>1430</v>
      </c>
      <c r="I109" s="8">
        <v>10057</v>
      </c>
      <c r="J109" s="8">
        <v>2526</v>
      </c>
      <c r="K109" s="8" t="s">
        <v>80</v>
      </c>
      <c r="L109" s="9">
        <f t="shared" si="2"/>
        <v>316</v>
      </c>
      <c r="M109" s="9">
        <f t="shared" si="3"/>
        <v>316</v>
      </c>
      <c r="N109" s="9">
        <v>18960</v>
      </c>
    </row>
    <row r="110" spans="1:14" x14ac:dyDescent="0.25">
      <c r="A110" s="8" t="s">
        <v>20</v>
      </c>
      <c r="B110" s="8" t="s">
        <v>89</v>
      </c>
      <c r="C110" s="8">
        <v>1009000</v>
      </c>
      <c r="D110" s="8">
        <v>90600</v>
      </c>
      <c r="E110" s="8">
        <v>1</v>
      </c>
      <c r="F110" s="8"/>
      <c r="G110" s="8">
        <v>250926</v>
      </c>
      <c r="H110" s="8">
        <v>1430</v>
      </c>
      <c r="I110" s="8">
        <v>10130</v>
      </c>
      <c r="J110" s="8">
        <v>2526</v>
      </c>
      <c r="K110" s="8" t="s">
        <v>80</v>
      </c>
      <c r="L110" s="9">
        <f t="shared" si="2"/>
        <v>162</v>
      </c>
      <c r="M110" s="9">
        <f t="shared" si="3"/>
        <v>162</v>
      </c>
      <c r="N110" s="9">
        <v>9720</v>
      </c>
    </row>
    <row r="111" spans="1:14" x14ac:dyDescent="0.25">
      <c r="A111" s="8" t="s">
        <v>20</v>
      </c>
      <c r="B111" s="8" t="s">
        <v>89</v>
      </c>
      <c r="C111" s="8">
        <v>1009000</v>
      </c>
      <c r="D111" s="8">
        <v>90601</v>
      </c>
      <c r="E111" s="8">
        <v>1</v>
      </c>
      <c r="F111" s="8"/>
      <c r="G111" s="8">
        <v>250926</v>
      </c>
      <c r="H111" s="8">
        <v>1430</v>
      </c>
      <c r="I111" s="8">
        <v>10260</v>
      </c>
      <c r="J111" s="8">
        <v>2526</v>
      </c>
      <c r="K111" s="8" t="s">
        <v>80</v>
      </c>
      <c r="L111" s="9">
        <f t="shared" si="2"/>
        <v>35</v>
      </c>
      <c r="M111" s="9">
        <f t="shared" si="3"/>
        <v>35</v>
      </c>
      <c r="N111" s="9">
        <v>2100</v>
      </c>
    </row>
    <row r="112" spans="1:14" x14ac:dyDescent="0.25">
      <c r="A112" s="8" t="s">
        <v>20</v>
      </c>
      <c r="B112" s="8" t="s">
        <v>89</v>
      </c>
      <c r="C112" s="8">
        <v>1038000</v>
      </c>
      <c r="D112" s="8">
        <v>90546</v>
      </c>
      <c r="E112" s="8">
        <v>1</v>
      </c>
      <c r="F112" s="8"/>
      <c r="G112" s="8">
        <v>10726</v>
      </c>
      <c r="H112" s="8">
        <v>1430</v>
      </c>
      <c r="I112" s="8">
        <v>10057</v>
      </c>
      <c r="J112" s="8">
        <v>2526</v>
      </c>
      <c r="K112" s="8" t="s">
        <v>80</v>
      </c>
      <c r="L112" s="9">
        <f t="shared" si="2"/>
        <v>74.048333333333332</v>
      </c>
      <c r="M112" s="9">
        <f t="shared" si="3"/>
        <v>74.048333333333332</v>
      </c>
      <c r="N112" s="9">
        <v>4442.8999999999996</v>
      </c>
    </row>
    <row r="113" spans="1:14" x14ac:dyDescent="0.25">
      <c r="A113" s="8" t="s">
        <v>20</v>
      </c>
      <c r="B113" s="8" t="s">
        <v>89</v>
      </c>
      <c r="C113" s="8">
        <v>1038000</v>
      </c>
      <c r="D113" s="8">
        <v>90546</v>
      </c>
      <c r="E113" s="8">
        <v>3</v>
      </c>
      <c r="F113" s="8"/>
      <c r="G113" s="8">
        <v>10726</v>
      </c>
      <c r="H113" s="8">
        <v>1430</v>
      </c>
      <c r="I113" s="8">
        <v>10057</v>
      </c>
      <c r="J113" s="8">
        <v>2526</v>
      </c>
      <c r="K113" s="8" t="s">
        <v>100</v>
      </c>
      <c r="L113" s="9">
        <f t="shared" si="2"/>
        <v>12.029666666666666</v>
      </c>
      <c r="M113" s="9">
        <f t="shared" si="3"/>
        <v>12.029666666666666</v>
      </c>
      <c r="N113" s="9">
        <v>721.78</v>
      </c>
    </row>
    <row r="114" spans="1:14" hidden="1" x14ac:dyDescent="0.25">
      <c r="A114" s="8" t="s">
        <v>20</v>
      </c>
      <c r="B114" s="8" t="s">
        <v>89</v>
      </c>
      <c r="C114" s="8">
        <v>1060800</v>
      </c>
      <c r="D114" s="8">
        <v>90573</v>
      </c>
      <c r="E114" s="8">
        <v>3</v>
      </c>
      <c r="F114" s="8"/>
      <c r="G114" s="8">
        <v>280726</v>
      </c>
      <c r="H114" s="8">
        <v>1391</v>
      </c>
      <c r="I114" s="8">
        <v>10035</v>
      </c>
      <c r="J114" s="8">
        <v>2526</v>
      </c>
      <c r="K114" s="8" t="s">
        <v>100</v>
      </c>
      <c r="L114" s="8">
        <f t="shared" si="2"/>
        <v>2560</v>
      </c>
      <c r="M114" s="9">
        <f t="shared" si="3"/>
        <v>2560</v>
      </c>
      <c r="N114" s="8">
        <v>153600</v>
      </c>
    </row>
    <row r="115" spans="1:14" x14ac:dyDescent="0.25">
      <c r="A115" s="8" t="s">
        <v>20</v>
      </c>
      <c r="B115" s="8" t="s">
        <v>89</v>
      </c>
      <c r="C115" s="8">
        <v>1080600</v>
      </c>
      <c r="D115" s="8">
        <v>90564</v>
      </c>
      <c r="E115" s="8">
        <v>1</v>
      </c>
      <c r="F115" s="8"/>
      <c r="G115" s="8">
        <v>160726</v>
      </c>
      <c r="H115" s="8">
        <v>1430</v>
      </c>
      <c r="I115" s="8">
        <v>10057</v>
      </c>
      <c r="J115" s="8">
        <v>2526</v>
      </c>
      <c r="K115" s="8" t="s">
        <v>80</v>
      </c>
      <c r="L115" s="9">
        <f t="shared" si="2"/>
        <v>452.15333333333336</v>
      </c>
      <c r="M115" s="9">
        <f t="shared" si="3"/>
        <v>452.15333333333336</v>
      </c>
      <c r="N115" s="9">
        <v>27129.200000000001</v>
      </c>
    </row>
    <row r="116" spans="1:14" x14ac:dyDescent="0.25">
      <c r="A116" s="8" t="s">
        <v>20</v>
      </c>
      <c r="B116" s="8" t="s">
        <v>89</v>
      </c>
      <c r="C116" s="8">
        <v>1080600</v>
      </c>
      <c r="D116" s="8">
        <v>90565</v>
      </c>
      <c r="E116" s="8">
        <v>1</v>
      </c>
      <c r="F116" s="8"/>
      <c r="G116" s="8">
        <v>160726</v>
      </c>
      <c r="H116" s="8">
        <v>1430</v>
      </c>
      <c r="I116" s="8">
        <v>10130</v>
      </c>
      <c r="J116" s="8">
        <v>2526</v>
      </c>
      <c r="K116" s="8" t="s">
        <v>80</v>
      </c>
      <c r="L116" s="9">
        <f t="shared" si="2"/>
        <v>167.26499999999999</v>
      </c>
      <c r="M116" s="9">
        <f t="shared" si="3"/>
        <v>167.26499999999999</v>
      </c>
      <c r="N116" s="9">
        <v>10035.9</v>
      </c>
    </row>
    <row r="117" spans="1:14" x14ac:dyDescent="0.25">
      <c r="A117" s="8" t="s">
        <v>20</v>
      </c>
      <c r="B117" s="8" t="s">
        <v>89</v>
      </c>
      <c r="C117" s="8">
        <v>1080600</v>
      </c>
      <c r="D117" s="8">
        <v>90569</v>
      </c>
      <c r="E117" s="8">
        <v>1</v>
      </c>
      <c r="F117" s="8"/>
      <c r="G117" s="8">
        <v>220726</v>
      </c>
      <c r="H117" s="8">
        <v>1430</v>
      </c>
      <c r="I117" s="8">
        <v>10057</v>
      </c>
      <c r="J117" s="8">
        <v>2526</v>
      </c>
      <c r="K117" s="8" t="s">
        <v>80</v>
      </c>
      <c r="L117" s="9">
        <f t="shared" si="2"/>
        <v>564.33249999999998</v>
      </c>
      <c r="M117" s="9">
        <f t="shared" si="3"/>
        <v>564.33249999999998</v>
      </c>
      <c r="N117" s="9">
        <v>33859.949999999997</v>
      </c>
    </row>
    <row r="118" spans="1:14" x14ac:dyDescent="0.25">
      <c r="A118" s="8" t="s">
        <v>20</v>
      </c>
      <c r="B118" s="8" t="s">
        <v>89</v>
      </c>
      <c r="C118" s="8">
        <v>1080600</v>
      </c>
      <c r="D118" s="8">
        <v>90570</v>
      </c>
      <c r="E118" s="8">
        <v>1</v>
      </c>
      <c r="F118" s="8"/>
      <c r="G118" s="8">
        <v>230726</v>
      </c>
      <c r="H118" s="8">
        <v>1430</v>
      </c>
      <c r="I118" s="8">
        <v>10130</v>
      </c>
      <c r="J118" s="8">
        <v>2526</v>
      </c>
      <c r="K118" s="8" t="s">
        <v>80</v>
      </c>
      <c r="L118" s="9">
        <f t="shared" si="2"/>
        <v>184.43333333333334</v>
      </c>
      <c r="M118" s="9">
        <f t="shared" si="3"/>
        <v>184.43333333333334</v>
      </c>
      <c r="N118" s="9">
        <v>11066</v>
      </c>
    </row>
    <row r="119" spans="1:14" x14ac:dyDescent="0.25">
      <c r="A119" s="8" t="s">
        <v>20</v>
      </c>
      <c r="B119" s="8" t="s">
        <v>89</v>
      </c>
      <c r="C119" s="8">
        <v>1080600</v>
      </c>
      <c r="D119" s="8">
        <v>90575</v>
      </c>
      <c r="E119" s="8">
        <v>1</v>
      </c>
      <c r="F119" s="8"/>
      <c r="G119" s="8">
        <v>60826</v>
      </c>
      <c r="H119" s="8">
        <v>1430</v>
      </c>
      <c r="I119" s="8">
        <v>10057</v>
      </c>
      <c r="J119" s="8">
        <v>2526</v>
      </c>
      <c r="K119" s="8" t="s">
        <v>80</v>
      </c>
      <c r="L119" s="9">
        <f t="shared" si="2"/>
        <v>317.51666666666665</v>
      </c>
      <c r="M119" s="9">
        <f t="shared" si="3"/>
        <v>317.51666666666665</v>
      </c>
      <c r="N119" s="9">
        <v>19051</v>
      </c>
    </row>
    <row r="120" spans="1:14" x14ac:dyDescent="0.25">
      <c r="A120" s="8" t="s">
        <v>20</v>
      </c>
      <c r="B120" s="8" t="s">
        <v>89</v>
      </c>
      <c r="C120" s="8">
        <v>1080600</v>
      </c>
      <c r="D120" s="8">
        <v>90579</v>
      </c>
      <c r="E120" s="8">
        <v>1</v>
      </c>
      <c r="F120" s="8"/>
      <c r="G120" s="8">
        <v>120826</v>
      </c>
      <c r="H120" s="8">
        <v>1430</v>
      </c>
      <c r="I120" s="8">
        <v>10027</v>
      </c>
      <c r="J120" s="8">
        <v>2526</v>
      </c>
      <c r="K120" s="8" t="s">
        <v>80</v>
      </c>
      <c r="L120" s="9">
        <f t="shared" si="2"/>
        <v>56.446666666666673</v>
      </c>
      <c r="M120" s="9">
        <f t="shared" si="3"/>
        <v>56.446666666666673</v>
      </c>
      <c r="N120" s="9">
        <v>3386.8</v>
      </c>
    </row>
    <row r="121" spans="1:14" x14ac:dyDescent="0.25">
      <c r="A121" s="8" t="s">
        <v>20</v>
      </c>
      <c r="B121" s="8" t="s">
        <v>89</v>
      </c>
      <c r="C121" s="8">
        <v>1080600</v>
      </c>
      <c r="D121" s="8">
        <v>90580</v>
      </c>
      <c r="E121" s="8">
        <v>1</v>
      </c>
      <c r="F121" s="8"/>
      <c r="G121" s="8">
        <v>120826</v>
      </c>
      <c r="H121" s="8">
        <v>1430</v>
      </c>
      <c r="I121" s="8">
        <v>10057</v>
      </c>
      <c r="J121" s="8">
        <v>2526</v>
      </c>
      <c r="K121" s="8" t="s">
        <v>80</v>
      </c>
      <c r="L121" s="9">
        <f t="shared" si="2"/>
        <v>351.13166666666672</v>
      </c>
      <c r="M121" s="9">
        <f t="shared" si="3"/>
        <v>351.13166666666672</v>
      </c>
      <c r="N121" s="9">
        <v>21067.9</v>
      </c>
    </row>
    <row r="122" spans="1:14" x14ac:dyDescent="0.25">
      <c r="A122" s="8" t="s">
        <v>20</v>
      </c>
      <c r="B122" s="8" t="s">
        <v>89</v>
      </c>
      <c r="C122" s="8">
        <v>1080600</v>
      </c>
      <c r="D122" s="8">
        <v>90586</v>
      </c>
      <c r="E122" s="8">
        <v>1</v>
      </c>
      <c r="F122" s="8"/>
      <c r="G122" s="8">
        <v>270826</v>
      </c>
      <c r="H122" s="8">
        <v>1430</v>
      </c>
      <c r="I122" s="8">
        <v>10027</v>
      </c>
      <c r="J122" s="8">
        <v>2526</v>
      </c>
      <c r="K122" s="8" t="s">
        <v>80</v>
      </c>
      <c r="L122" s="9">
        <f t="shared" si="2"/>
        <v>57.3</v>
      </c>
      <c r="M122" s="9">
        <f t="shared" si="3"/>
        <v>57.3</v>
      </c>
      <c r="N122" s="9">
        <v>3438</v>
      </c>
    </row>
    <row r="123" spans="1:14" x14ac:dyDescent="0.25">
      <c r="A123" s="8" t="s">
        <v>20</v>
      </c>
      <c r="B123" s="8" t="s">
        <v>89</v>
      </c>
      <c r="C123" s="8">
        <v>1157300</v>
      </c>
      <c r="D123" s="8">
        <v>90563</v>
      </c>
      <c r="E123" s="8">
        <v>1</v>
      </c>
      <c r="F123" s="8"/>
      <c r="G123" s="8">
        <v>170726</v>
      </c>
      <c r="H123" s="8">
        <v>1430</v>
      </c>
      <c r="I123" s="8">
        <v>10040</v>
      </c>
      <c r="J123" s="8">
        <v>2526</v>
      </c>
      <c r="K123" s="8" t="s">
        <v>80</v>
      </c>
      <c r="L123" s="9">
        <f t="shared" si="2"/>
        <v>4</v>
      </c>
      <c r="M123" s="9">
        <f t="shared" si="3"/>
        <v>4</v>
      </c>
      <c r="N123" s="9">
        <v>240</v>
      </c>
    </row>
    <row r="124" spans="1:14" x14ac:dyDescent="0.25">
      <c r="A124" s="8" t="s">
        <v>20</v>
      </c>
      <c r="B124" s="8" t="s">
        <v>89</v>
      </c>
      <c r="C124" s="8">
        <v>1157300</v>
      </c>
      <c r="D124" s="8">
        <v>90587</v>
      </c>
      <c r="E124" s="8">
        <v>1</v>
      </c>
      <c r="F124" s="8"/>
      <c r="G124" s="8">
        <v>20926</v>
      </c>
      <c r="H124" s="8">
        <v>1430</v>
      </c>
      <c r="I124" s="8">
        <v>10027</v>
      </c>
      <c r="J124" s="8">
        <v>2526</v>
      </c>
      <c r="K124" s="8" t="s">
        <v>80</v>
      </c>
      <c r="L124" s="9">
        <f t="shared" si="2"/>
        <v>307</v>
      </c>
      <c r="M124" s="9">
        <f t="shared" si="3"/>
        <v>307</v>
      </c>
      <c r="N124" s="9">
        <v>18420</v>
      </c>
    </row>
    <row r="125" spans="1:14" x14ac:dyDescent="0.25">
      <c r="A125" s="8" t="s">
        <v>20</v>
      </c>
      <c r="B125" s="8" t="s">
        <v>89</v>
      </c>
      <c r="C125" s="8">
        <v>1157300</v>
      </c>
      <c r="D125" s="8">
        <v>90588</v>
      </c>
      <c r="E125" s="8">
        <v>1</v>
      </c>
      <c r="F125" s="8"/>
      <c r="G125" s="8">
        <v>20926</v>
      </c>
      <c r="H125" s="8">
        <v>1430</v>
      </c>
      <c r="I125" s="8">
        <v>10057</v>
      </c>
      <c r="J125" s="8">
        <v>2526</v>
      </c>
      <c r="K125" s="8" t="s">
        <v>80</v>
      </c>
      <c r="L125" s="9">
        <f t="shared" si="2"/>
        <v>866</v>
      </c>
      <c r="M125" s="9">
        <f t="shared" si="3"/>
        <v>866</v>
      </c>
      <c r="N125" s="9">
        <v>51960</v>
      </c>
    </row>
    <row r="126" spans="1:14" x14ac:dyDescent="0.25">
      <c r="A126" s="8" t="s">
        <v>20</v>
      </c>
      <c r="B126" s="8" t="s">
        <v>89</v>
      </c>
      <c r="C126" s="8">
        <v>1157300</v>
      </c>
      <c r="D126" s="8">
        <v>90592</v>
      </c>
      <c r="E126" s="8">
        <v>1</v>
      </c>
      <c r="F126" s="8"/>
      <c r="G126" s="8">
        <v>100926</v>
      </c>
      <c r="H126" s="8">
        <v>1430</v>
      </c>
      <c r="I126" s="8">
        <v>10057</v>
      </c>
      <c r="J126" s="8">
        <v>2526</v>
      </c>
      <c r="K126" s="8" t="s">
        <v>80</v>
      </c>
      <c r="L126" s="9">
        <f t="shared" si="2"/>
        <v>337</v>
      </c>
      <c r="M126" s="9">
        <f t="shared" si="3"/>
        <v>337</v>
      </c>
      <c r="N126" s="9">
        <v>20220</v>
      </c>
    </row>
    <row r="127" spans="1:14" x14ac:dyDescent="0.25">
      <c r="A127" s="8" t="s">
        <v>20</v>
      </c>
      <c r="B127" s="8" t="s">
        <v>89</v>
      </c>
      <c r="C127" s="8">
        <v>1157300</v>
      </c>
      <c r="D127" s="8">
        <v>90593</v>
      </c>
      <c r="E127" s="8">
        <v>3</v>
      </c>
      <c r="F127" s="8"/>
      <c r="G127" s="8">
        <v>100926</v>
      </c>
      <c r="H127" s="8">
        <v>1430</v>
      </c>
      <c r="I127" s="8">
        <v>10130</v>
      </c>
      <c r="J127" s="8">
        <v>2526</v>
      </c>
      <c r="K127" s="8" t="s">
        <v>100</v>
      </c>
      <c r="L127" s="9">
        <f t="shared" si="2"/>
        <v>131</v>
      </c>
      <c r="M127" s="9">
        <f t="shared" si="3"/>
        <v>131</v>
      </c>
      <c r="N127" s="9">
        <v>7860</v>
      </c>
    </row>
    <row r="128" spans="1:14" x14ac:dyDescent="0.25">
      <c r="A128" s="8" t="s">
        <v>20</v>
      </c>
      <c r="B128" s="8" t="s">
        <v>89</v>
      </c>
      <c r="C128" s="8">
        <v>1157300</v>
      </c>
      <c r="D128" s="8">
        <v>90595</v>
      </c>
      <c r="E128" s="8">
        <v>3</v>
      </c>
      <c r="F128" s="8"/>
      <c r="G128" s="8">
        <v>170926</v>
      </c>
      <c r="H128" s="8">
        <v>1430</v>
      </c>
      <c r="I128" s="8">
        <v>10057</v>
      </c>
      <c r="J128" s="8">
        <v>2526</v>
      </c>
      <c r="K128" s="8" t="s">
        <v>100</v>
      </c>
      <c r="L128" s="9">
        <f t="shared" si="2"/>
        <v>867.4666666666667</v>
      </c>
      <c r="M128" s="9">
        <f t="shared" si="3"/>
        <v>867.4666666666667</v>
      </c>
      <c r="N128" s="9">
        <v>52048</v>
      </c>
    </row>
    <row r="129" spans="1:14" x14ac:dyDescent="0.25">
      <c r="A129" s="8" t="s">
        <v>20</v>
      </c>
      <c r="B129" s="8" t="s">
        <v>89</v>
      </c>
      <c r="C129" s="8">
        <v>1157300</v>
      </c>
      <c r="D129" s="8">
        <v>90596</v>
      </c>
      <c r="E129" s="8">
        <v>3</v>
      </c>
      <c r="F129" s="8"/>
      <c r="G129" s="8">
        <v>170926</v>
      </c>
      <c r="H129" s="8">
        <v>1430</v>
      </c>
      <c r="I129" s="8">
        <v>10130</v>
      </c>
      <c r="J129" s="8">
        <v>2526</v>
      </c>
      <c r="K129" s="8" t="s">
        <v>100</v>
      </c>
      <c r="L129" s="9">
        <f t="shared" si="2"/>
        <v>64.816666666666663</v>
      </c>
      <c r="M129" s="9">
        <f t="shared" si="3"/>
        <v>64.816666666666663</v>
      </c>
      <c r="N129" s="9">
        <v>3889</v>
      </c>
    </row>
    <row r="130" spans="1:14" x14ac:dyDescent="0.25">
      <c r="A130" s="8" t="s">
        <v>20</v>
      </c>
      <c r="B130" s="8" t="s">
        <v>89</v>
      </c>
      <c r="C130" s="8">
        <v>1175600</v>
      </c>
      <c r="D130" s="8">
        <v>90469</v>
      </c>
      <c r="E130" s="8">
        <v>1</v>
      </c>
      <c r="F130" s="8"/>
      <c r="G130" s="8">
        <v>300125</v>
      </c>
      <c r="H130" s="8">
        <v>1430</v>
      </c>
      <c r="I130" s="8">
        <v>10027</v>
      </c>
      <c r="J130" s="8">
        <v>2425</v>
      </c>
      <c r="K130" s="8" t="s">
        <v>80</v>
      </c>
      <c r="L130" s="9">
        <f t="shared" si="2"/>
        <v>267.19983333333334</v>
      </c>
      <c r="M130" s="9">
        <f t="shared" si="3"/>
        <v>267.19983333333334</v>
      </c>
      <c r="N130" s="9">
        <v>16031.99</v>
      </c>
    </row>
    <row r="131" spans="1:14" x14ac:dyDescent="0.25">
      <c r="A131" s="8" t="s">
        <v>20</v>
      </c>
      <c r="B131" s="8" t="s">
        <v>89</v>
      </c>
      <c r="C131" s="8">
        <v>1175600</v>
      </c>
      <c r="D131" s="8">
        <v>90470</v>
      </c>
      <c r="E131" s="8">
        <v>1</v>
      </c>
      <c r="F131" s="8"/>
      <c r="G131" s="8">
        <v>300125</v>
      </c>
      <c r="H131" s="8">
        <v>1430</v>
      </c>
      <c r="I131" s="8">
        <v>10057</v>
      </c>
      <c r="J131" s="8">
        <v>2425</v>
      </c>
      <c r="K131" s="8" t="s">
        <v>80</v>
      </c>
      <c r="L131" s="9">
        <f t="shared" ref="L131:L177" si="4">N131/60</f>
        <v>586.94299999999998</v>
      </c>
      <c r="M131" s="9">
        <f t="shared" ref="M131:M177" si="5">IF(K131="Short",-L131,L131)</f>
        <v>586.94299999999998</v>
      </c>
      <c r="N131" s="9">
        <v>35216.58</v>
      </c>
    </row>
    <row r="132" spans="1:14" x14ac:dyDescent="0.25">
      <c r="A132" s="8" t="s">
        <v>20</v>
      </c>
      <c r="B132" s="8" t="s">
        <v>89</v>
      </c>
      <c r="C132" s="8">
        <v>1175600</v>
      </c>
      <c r="D132" s="8">
        <v>90544</v>
      </c>
      <c r="E132" s="8">
        <v>1</v>
      </c>
      <c r="F132" s="8"/>
      <c r="G132" s="8">
        <v>10726</v>
      </c>
      <c r="H132" s="8">
        <v>1430</v>
      </c>
      <c r="I132" s="8">
        <v>10057</v>
      </c>
      <c r="J132" s="8">
        <v>2526</v>
      </c>
      <c r="K132" s="8" t="s">
        <v>80</v>
      </c>
      <c r="L132" s="9">
        <f t="shared" si="4"/>
        <v>1652.1084999999998</v>
      </c>
      <c r="M132" s="9">
        <f t="shared" si="5"/>
        <v>1652.1084999999998</v>
      </c>
      <c r="N132" s="9">
        <v>99126.51</v>
      </c>
    </row>
    <row r="133" spans="1:14" x14ac:dyDescent="0.25">
      <c r="A133" s="8" t="s">
        <v>20</v>
      </c>
      <c r="B133" s="8" t="s">
        <v>89</v>
      </c>
      <c r="C133" s="8">
        <v>1175600</v>
      </c>
      <c r="D133" s="8">
        <v>90566</v>
      </c>
      <c r="E133" s="8">
        <v>1</v>
      </c>
      <c r="F133" s="8"/>
      <c r="G133" s="8">
        <v>220726</v>
      </c>
      <c r="H133" s="8">
        <v>1430</v>
      </c>
      <c r="I133" s="8">
        <v>10027</v>
      </c>
      <c r="J133" s="8">
        <v>2526</v>
      </c>
      <c r="K133" s="8" t="s">
        <v>80</v>
      </c>
      <c r="L133" s="9">
        <f t="shared" si="4"/>
        <v>184.02616666666665</v>
      </c>
      <c r="M133" s="9">
        <f t="shared" si="5"/>
        <v>184.02616666666665</v>
      </c>
      <c r="N133" s="9">
        <v>11041.57</v>
      </c>
    </row>
    <row r="134" spans="1:14" hidden="1" x14ac:dyDescent="0.25">
      <c r="A134" s="8" t="s">
        <v>20</v>
      </c>
      <c r="B134" s="8" t="s">
        <v>89</v>
      </c>
      <c r="C134" s="8">
        <v>1177300</v>
      </c>
      <c r="D134" s="8">
        <v>90532</v>
      </c>
      <c r="E134" s="8">
        <v>3</v>
      </c>
      <c r="F134" s="8"/>
      <c r="G134" s="8">
        <v>170626</v>
      </c>
      <c r="H134" s="8">
        <v>1390</v>
      </c>
      <c r="I134" s="8">
        <v>10020</v>
      </c>
      <c r="J134" s="8">
        <v>2526</v>
      </c>
      <c r="K134" s="8" t="s">
        <v>100</v>
      </c>
      <c r="L134" s="8">
        <f t="shared" si="4"/>
        <v>320</v>
      </c>
      <c r="M134" s="9">
        <f t="shared" si="5"/>
        <v>320</v>
      </c>
      <c r="N134" s="8">
        <v>19200</v>
      </c>
    </row>
    <row r="135" spans="1:14" hidden="1" x14ac:dyDescent="0.25">
      <c r="A135" s="8" t="s">
        <v>20</v>
      </c>
      <c r="B135" s="8" t="s">
        <v>89</v>
      </c>
      <c r="C135" s="8">
        <v>1177300</v>
      </c>
      <c r="D135" s="8">
        <v>90536</v>
      </c>
      <c r="E135" s="8">
        <v>3</v>
      </c>
      <c r="F135" s="8"/>
      <c r="G135" s="8">
        <v>170626</v>
      </c>
      <c r="H135" s="8">
        <v>1390</v>
      </c>
      <c r="I135" s="8">
        <v>10020</v>
      </c>
      <c r="J135" s="8">
        <v>2526</v>
      </c>
      <c r="K135" s="8" t="s">
        <v>100</v>
      </c>
      <c r="L135" s="8">
        <f t="shared" si="4"/>
        <v>320</v>
      </c>
      <c r="M135" s="9">
        <f t="shared" si="5"/>
        <v>320</v>
      </c>
      <c r="N135" s="8">
        <v>19200</v>
      </c>
    </row>
    <row r="136" spans="1:14" hidden="1" x14ac:dyDescent="0.25">
      <c r="A136" s="8" t="s">
        <v>20</v>
      </c>
      <c r="B136" s="8" t="s">
        <v>89</v>
      </c>
      <c r="C136" s="8">
        <v>1177300</v>
      </c>
      <c r="D136" s="8">
        <v>90537</v>
      </c>
      <c r="E136" s="8">
        <v>3</v>
      </c>
      <c r="F136" s="8"/>
      <c r="G136" s="8">
        <v>170626</v>
      </c>
      <c r="H136" s="8">
        <v>1390</v>
      </c>
      <c r="I136" s="8">
        <v>10020</v>
      </c>
      <c r="J136" s="8">
        <v>2526</v>
      </c>
      <c r="K136" s="8" t="s">
        <v>100</v>
      </c>
      <c r="L136" s="8">
        <f t="shared" si="4"/>
        <v>320</v>
      </c>
      <c r="M136" s="9">
        <f t="shared" si="5"/>
        <v>320</v>
      </c>
      <c r="N136" s="8">
        <v>19200</v>
      </c>
    </row>
    <row r="137" spans="1:14" hidden="1" x14ac:dyDescent="0.25">
      <c r="A137" s="8" t="s">
        <v>20</v>
      </c>
      <c r="B137" s="8" t="s">
        <v>89</v>
      </c>
      <c r="C137" s="8">
        <v>1177300</v>
      </c>
      <c r="D137" s="8">
        <v>90538</v>
      </c>
      <c r="E137" s="8">
        <v>3</v>
      </c>
      <c r="F137" s="8"/>
      <c r="G137" s="8">
        <v>170626</v>
      </c>
      <c r="H137" s="8">
        <v>1390</v>
      </c>
      <c r="I137" s="8">
        <v>10020</v>
      </c>
      <c r="J137" s="8">
        <v>2526</v>
      </c>
      <c r="K137" s="8" t="s">
        <v>100</v>
      </c>
      <c r="L137" s="8">
        <f t="shared" si="4"/>
        <v>320</v>
      </c>
      <c r="M137" s="9">
        <f t="shared" si="5"/>
        <v>320</v>
      </c>
      <c r="N137" s="8">
        <v>19200</v>
      </c>
    </row>
    <row r="138" spans="1:14" hidden="1" x14ac:dyDescent="0.25">
      <c r="A138" s="8" t="s">
        <v>20</v>
      </c>
      <c r="B138" s="8" t="s">
        <v>89</v>
      </c>
      <c r="C138" s="8">
        <v>1177300</v>
      </c>
      <c r="D138" s="8">
        <v>90553</v>
      </c>
      <c r="E138" s="8">
        <v>3</v>
      </c>
      <c r="F138" s="8"/>
      <c r="G138" s="8">
        <v>60726</v>
      </c>
      <c r="H138" s="8">
        <v>1390</v>
      </c>
      <c r="I138" s="8">
        <v>10050</v>
      </c>
      <c r="J138" s="8">
        <v>2526</v>
      </c>
      <c r="K138" s="8" t="s">
        <v>100</v>
      </c>
      <c r="L138" s="8">
        <f t="shared" si="4"/>
        <v>640</v>
      </c>
      <c r="M138" s="9">
        <f t="shared" si="5"/>
        <v>640</v>
      </c>
      <c r="N138" s="8">
        <v>38400</v>
      </c>
    </row>
    <row r="139" spans="1:14" hidden="1" x14ac:dyDescent="0.25">
      <c r="A139" s="8" t="s">
        <v>20</v>
      </c>
      <c r="B139" s="8" t="s">
        <v>89</v>
      </c>
      <c r="C139" s="8">
        <v>1177300</v>
      </c>
      <c r="D139" s="8">
        <v>90559</v>
      </c>
      <c r="E139" s="8">
        <v>3</v>
      </c>
      <c r="F139" s="8"/>
      <c r="G139" s="8">
        <v>80726</v>
      </c>
      <c r="H139" s="8">
        <v>1390</v>
      </c>
      <c r="I139" s="8">
        <v>10050</v>
      </c>
      <c r="J139" s="8">
        <v>2526</v>
      </c>
      <c r="K139" s="8" t="s">
        <v>100</v>
      </c>
      <c r="L139" s="8">
        <f t="shared" si="4"/>
        <v>640</v>
      </c>
      <c r="M139" s="9">
        <f t="shared" si="5"/>
        <v>640</v>
      </c>
      <c r="N139" s="8">
        <v>38400</v>
      </c>
    </row>
    <row r="140" spans="1:14" hidden="1" x14ac:dyDescent="0.25">
      <c r="A140" s="8" t="s">
        <v>20</v>
      </c>
      <c r="B140" s="8" t="s">
        <v>89</v>
      </c>
      <c r="C140" s="8">
        <v>1177300</v>
      </c>
      <c r="D140" s="8">
        <v>90571</v>
      </c>
      <c r="E140" s="8">
        <v>3</v>
      </c>
      <c r="F140" s="8"/>
      <c r="G140" s="8">
        <v>270726</v>
      </c>
      <c r="H140" s="8">
        <v>1390</v>
      </c>
      <c r="I140" s="8">
        <v>10050</v>
      </c>
      <c r="J140" s="8">
        <v>2526</v>
      </c>
      <c r="K140" s="8" t="s">
        <v>100</v>
      </c>
      <c r="L140" s="8">
        <f t="shared" si="4"/>
        <v>640</v>
      </c>
      <c r="M140" s="9">
        <f t="shared" si="5"/>
        <v>640</v>
      </c>
      <c r="N140" s="8">
        <v>38400</v>
      </c>
    </row>
    <row r="141" spans="1:14" x14ac:dyDescent="0.25">
      <c r="A141" s="8" t="s">
        <v>20</v>
      </c>
      <c r="B141" s="8" t="s">
        <v>89</v>
      </c>
      <c r="C141" s="8">
        <v>1183600</v>
      </c>
      <c r="D141" s="8">
        <v>90503</v>
      </c>
      <c r="E141" s="8">
        <v>1</v>
      </c>
      <c r="F141" s="8"/>
      <c r="G141" s="8">
        <v>150126</v>
      </c>
      <c r="H141" s="8">
        <v>1430</v>
      </c>
      <c r="I141" s="8">
        <v>10057</v>
      </c>
      <c r="J141" s="8">
        <v>2526</v>
      </c>
      <c r="K141" s="8" t="s">
        <v>80</v>
      </c>
      <c r="L141" s="9">
        <f t="shared" si="4"/>
        <v>174.06466666666665</v>
      </c>
      <c r="M141" s="9">
        <f t="shared" si="5"/>
        <v>174.06466666666665</v>
      </c>
      <c r="N141" s="9">
        <v>10443.879999999999</v>
      </c>
    </row>
    <row r="142" spans="1:14" x14ac:dyDescent="0.25">
      <c r="A142" s="8" t="s">
        <v>20</v>
      </c>
      <c r="B142" s="8" t="s">
        <v>89</v>
      </c>
      <c r="C142" s="8">
        <v>1191700</v>
      </c>
      <c r="D142" s="8">
        <v>90506</v>
      </c>
      <c r="E142" s="8">
        <v>1</v>
      </c>
      <c r="F142" s="8"/>
      <c r="G142" s="8">
        <v>150126</v>
      </c>
      <c r="H142" s="8">
        <v>1430</v>
      </c>
      <c r="I142" s="8">
        <v>10130</v>
      </c>
      <c r="J142" s="8">
        <v>2526</v>
      </c>
      <c r="K142" s="8" t="s">
        <v>80</v>
      </c>
      <c r="L142" s="9">
        <f t="shared" si="4"/>
        <v>7.2186666666666666</v>
      </c>
      <c r="M142" s="9">
        <f t="shared" si="5"/>
        <v>7.2186666666666666</v>
      </c>
      <c r="N142" s="9">
        <v>433.12</v>
      </c>
    </row>
    <row r="143" spans="1:14" hidden="1" x14ac:dyDescent="0.25">
      <c r="A143" s="8" t="s">
        <v>20</v>
      </c>
      <c r="B143" s="8" t="s">
        <v>89</v>
      </c>
      <c r="C143" s="8">
        <v>1194900</v>
      </c>
      <c r="D143" s="8">
        <v>3787658</v>
      </c>
      <c r="E143" s="8">
        <v>4</v>
      </c>
      <c r="F143" s="8" t="s">
        <v>88</v>
      </c>
      <c r="G143" s="8">
        <v>210726</v>
      </c>
      <c r="H143" s="8">
        <v>1391</v>
      </c>
      <c r="I143" s="8">
        <v>10030</v>
      </c>
      <c r="J143" s="8">
        <v>2526</v>
      </c>
      <c r="K143" s="8" t="s">
        <v>22</v>
      </c>
      <c r="L143" s="8">
        <f t="shared" si="4"/>
        <v>1280</v>
      </c>
      <c r="M143" s="9">
        <f t="shared" si="5"/>
        <v>-1280</v>
      </c>
      <c r="N143" s="8">
        <v>76800</v>
      </c>
    </row>
    <row r="144" spans="1:14" hidden="1" x14ac:dyDescent="0.25">
      <c r="A144" s="8" t="s">
        <v>20</v>
      </c>
      <c r="B144" s="8" t="s">
        <v>89</v>
      </c>
      <c r="C144" s="8">
        <v>1205300</v>
      </c>
      <c r="D144" s="8">
        <v>90550</v>
      </c>
      <c r="E144" s="8">
        <v>1</v>
      </c>
      <c r="F144" s="8"/>
      <c r="G144" s="8">
        <v>20726</v>
      </c>
      <c r="H144" s="8">
        <v>1391</v>
      </c>
      <c r="I144" s="8">
        <v>10030</v>
      </c>
      <c r="J144" s="8">
        <v>2526</v>
      </c>
      <c r="K144" s="8" t="s">
        <v>80</v>
      </c>
      <c r="L144" s="8">
        <f t="shared" si="4"/>
        <v>3907</v>
      </c>
      <c r="M144" s="9">
        <f t="shared" si="5"/>
        <v>3907</v>
      </c>
      <c r="N144" s="8">
        <v>234420</v>
      </c>
    </row>
    <row r="145" spans="1:14" hidden="1" x14ac:dyDescent="0.25">
      <c r="A145" s="8" t="s">
        <v>20</v>
      </c>
      <c r="B145" s="8" t="s">
        <v>89</v>
      </c>
      <c r="C145" s="8">
        <v>1205300</v>
      </c>
      <c r="D145" s="8">
        <v>90551</v>
      </c>
      <c r="E145" s="8">
        <v>3</v>
      </c>
      <c r="F145" s="8"/>
      <c r="G145" s="8">
        <v>20726</v>
      </c>
      <c r="H145" s="8">
        <v>1391</v>
      </c>
      <c r="I145" s="8">
        <v>10030</v>
      </c>
      <c r="J145" s="8">
        <v>2526</v>
      </c>
      <c r="K145" s="8" t="s">
        <v>100</v>
      </c>
      <c r="L145" s="8">
        <f t="shared" si="4"/>
        <v>2530</v>
      </c>
      <c r="M145" s="9">
        <f t="shared" si="5"/>
        <v>2530</v>
      </c>
      <c r="N145" s="8">
        <v>151800</v>
      </c>
    </row>
    <row r="146" spans="1:14" hidden="1" x14ac:dyDescent="0.25">
      <c r="A146" s="8" t="s">
        <v>20</v>
      </c>
      <c r="B146" s="8" t="s">
        <v>89</v>
      </c>
      <c r="C146" s="8">
        <v>1205300</v>
      </c>
      <c r="D146" s="8">
        <v>90554</v>
      </c>
      <c r="E146" s="8">
        <v>3</v>
      </c>
      <c r="F146" s="8"/>
      <c r="G146" s="8">
        <v>60726</v>
      </c>
      <c r="H146" s="8">
        <v>1391</v>
      </c>
      <c r="I146" s="8">
        <v>10030</v>
      </c>
      <c r="J146" s="8">
        <v>2526</v>
      </c>
      <c r="K146" s="8" t="s">
        <v>100</v>
      </c>
      <c r="L146" s="8">
        <f t="shared" si="4"/>
        <v>5730</v>
      </c>
      <c r="M146" s="9">
        <f t="shared" si="5"/>
        <v>5730</v>
      </c>
      <c r="N146" s="8">
        <v>343800</v>
      </c>
    </row>
    <row r="147" spans="1:14" hidden="1" x14ac:dyDescent="0.25">
      <c r="A147" s="8" t="s">
        <v>20</v>
      </c>
      <c r="B147" s="8" t="s">
        <v>89</v>
      </c>
      <c r="C147" s="8">
        <v>1205300</v>
      </c>
      <c r="D147" s="8">
        <v>90572</v>
      </c>
      <c r="E147" s="8">
        <v>3</v>
      </c>
      <c r="F147" s="8"/>
      <c r="G147" s="8">
        <v>280726</v>
      </c>
      <c r="H147" s="8">
        <v>1391</v>
      </c>
      <c r="I147" s="8">
        <v>19100</v>
      </c>
      <c r="J147" s="8">
        <v>2526</v>
      </c>
      <c r="K147" s="8" t="s">
        <v>100</v>
      </c>
      <c r="L147" s="8">
        <f t="shared" si="4"/>
        <v>1920</v>
      </c>
      <c r="M147" s="9">
        <f t="shared" si="5"/>
        <v>1920</v>
      </c>
      <c r="N147" s="8">
        <v>115200</v>
      </c>
    </row>
    <row r="148" spans="1:14" hidden="1" x14ac:dyDescent="0.25">
      <c r="A148" s="8" t="s">
        <v>20</v>
      </c>
      <c r="B148" s="8" t="s">
        <v>89</v>
      </c>
      <c r="C148" s="8">
        <v>1206800</v>
      </c>
      <c r="D148" s="8">
        <v>90514</v>
      </c>
      <c r="E148" s="8">
        <v>1</v>
      </c>
      <c r="F148" s="8"/>
      <c r="G148" s="8">
        <v>250326</v>
      </c>
      <c r="H148" s="8">
        <v>1390</v>
      </c>
      <c r="I148" s="8">
        <v>10040</v>
      </c>
      <c r="J148" s="8">
        <v>2526</v>
      </c>
      <c r="K148" s="8" t="s">
        <v>80</v>
      </c>
      <c r="L148" s="8">
        <f t="shared" si="4"/>
        <v>320</v>
      </c>
      <c r="M148" s="9">
        <f t="shared" si="5"/>
        <v>320</v>
      </c>
      <c r="N148" s="8">
        <v>19200</v>
      </c>
    </row>
    <row r="149" spans="1:14" x14ac:dyDescent="0.25">
      <c r="A149" s="8" t="s">
        <v>20</v>
      </c>
      <c r="B149" s="8" t="s">
        <v>89</v>
      </c>
      <c r="C149" s="8">
        <v>1209800</v>
      </c>
      <c r="D149" s="8">
        <v>90540</v>
      </c>
      <c r="E149" s="8">
        <v>1</v>
      </c>
      <c r="F149" s="8"/>
      <c r="G149" s="8">
        <v>190626</v>
      </c>
      <c r="H149" s="8">
        <v>1430</v>
      </c>
      <c r="I149" s="8">
        <v>10057</v>
      </c>
      <c r="J149" s="8">
        <v>2526</v>
      </c>
      <c r="K149" s="8" t="s">
        <v>80</v>
      </c>
      <c r="L149" s="9">
        <f t="shared" si="4"/>
        <v>36.123666666666665</v>
      </c>
      <c r="M149" s="9">
        <f t="shared" si="5"/>
        <v>36.123666666666665</v>
      </c>
      <c r="N149" s="9">
        <v>2167.42</v>
      </c>
    </row>
    <row r="150" spans="1:14" x14ac:dyDescent="0.25">
      <c r="A150" s="8" t="s">
        <v>20</v>
      </c>
      <c r="B150" s="8" t="s">
        <v>89</v>
      </c>
      <c r="C150" s="8">
        <v>1219600</v>
      </c>
      <c r="D150" s="8">
        <v>90491</v>
      </c>
      <c r="E150" s="8">
        <v>1</v>
      </c>
      <c r="F150" s="8"/>
      <c r="G150" s="8">
        <v>110925</v>
      </c>
      <c r="H150" s="8">
        <v>1430</v>
      </c>
      <c r="I150" s="8">
        <v>10027</v>
      </c>
      <c r="J150" s="8">
        <v>2526</v>
      </c>
      <c r="K150" s="8" t="s">
        <v>80</v>
      </c>
      <c r="L150" s="9">
        <f t="shared" si="4"/>
        <v>10.999833333333333</v>
      </c>
      <c r="M150" s="9">
        <f t="shared" si="5"/>
        <v>10.999833333333333</v>
      </c>
      <c r="N150" s="9">
        <v>659.99</v>
      </c>
    </row>
    <row r="151" spans="1:14" x14ac:dyDescent="0.25">
      <c r="A151" s="8" t="s">
        <v>20</v>
      </c>
      <c r="B151" s="8" t="s">
        <v>89</v>
      </c>
      <c r="C151" s="8">
        <v>1219600</v>
      </c>
      <c r="D151" s="8">
        <v>90492</v>
      </c>
      <c r="E151" s="8">
        <v>1</v>
      </c>
      <c r="F151" s="8"/>
      <c r="G151" s="8">
        <v>110925</v>
      </c>
      <c r="H151" s="8">
        <v>1430</v>
      </c>
      <c r="I151" s="8">
        <v>10057</v>
      </c>
      <c r="J151" s="8">
        <v>2526</v>
      </c>
      <c r="K151" s="8" t="s">
        <v>80</v>
      </c>
      <c r="L151" s="9">
        <f t="shared" si="4"/>
        <v>43</v>
      </c>
      <c r="M151" s="9">
        <f t="shared" si="5"/>
        <v>43</v>
      </c>
      <c r="N151" s="9">
        <v>2580</v>
      </c>
    </row>
    <row r="152" spans="1:14" x14ac:dyDescent="0.25">
      <c r="A152" s="8" t="s">
        <v>20</v>
      </c>
      <c r="B152" s="8" t="s">
        <v>89</v>
      </c>
      <c r="C152" s="8">
        <v>1219600</v>
      </c>
      <c r="D152" s="8">
        <v>90494</v>
      </c>
      <c r="E152" s="8">
        <v>1</v>
      </c>
      <c r="F152" s="8"/>
      <c r="G152" s="8">
        <v>120925</v>
      </c>
      <c r="H152" s="8">
        <v>1430</v>
      </c>
      <c r="I152" s="8">
        <v>10027</v>
      </c>
      <c r="J152" s="8">
        <v>2526</v>
      </c>
      <c r="K152" s="8" t="s">
        <v>80</v>
      </c>
      <c r="L152" s="9">
        <f t="shared" si="4"/>
        <v>149</v>
      </c>
      <c r="M152" s="9">
        <f t="shared" si="5"/>
        <v>149</v>
      </c>
      <c r="N152" s="9">
        <v>8940</v>
      </c>
    </row>
    <row r="153" spans="1:14" x14ac:dyDescent="0.25">
      <c r="A153" s="8" t="s">
        <v>20</v>
      </c>
      <c r="B153" s="8" t="s">
        <v>89</v>
      </c>
      <c r="C153" s="8">
        <v>1219600</v>
      </c>
      <c r="D153" s="8">
        <v>90511</v>
      </c>
      <c r="E153" s="8">
        <v>1</v>
      </c>
      <c r="F153" s="8"/>
      <c r="G153" s="8">
        <v>270226</v>
      </c>
      <c r="H153" s="8">
        <v>1430</v>
      </c>
      <c r="I153" s="8">
        <v>10130</v>
      </c>
      <c r="J153" s="8">
        <v>2526</v>
      </c>
      <c r="K153" s="8" t="s">
        <v>80</v>
      </c>
      <c r="L153" s="9">
        <f t="shared" si="4"/>
        <v>18.987833333333334</v>
      </c>
      <c r="M153" s="9">
        <f t="shared" si="5"/>
        <v>18.987833333333334</v>
      </c>
      <c r="N153" s="9">
        <v>1139.27</v>
      </c>
    </row>
    <row r="154" spans="1:14" x14ac:dyDescent="0.25">
      <c r="A154" s="8" t="s">
        <v>20</v>
      </c>
      <c r="B154" s="8" t="s">
        <v>89</v>
      </c>
      <c r="C154" s="8">
        <v>1365200</v>
      </c>
      <c r="D154" s="8">
        <v>90508</v>
      </c>
      <c r="E154" s="8">
        <v>1</v>
      </c>
      <c r="F154" s="8"/>
      <c r="G154" s="8">
        <v>200126</v>
      </c>
      <c r="H154" s="8">
        <v>1430</v>
      </c>
      <c r="I154" s="8">
        <v>10057</v>
      </c>
      <c r="J154" s="8">
        <v>2526</v>
      </c>
      <c r="K154" s="8" t="s">
        <v>80</v>
      </c>
      <c r="L154" s="9">
        <f t="shared" si="4"/>
        <v>1.0113333333333334</v>
      </c>
      <c r="M154" s="9">
        <f t="shared" si="5"/>
        <v>1.0113333333333334</v>
      </c>
      <c r="N154" s="9">
        <v>60.68</v>
      </c>
    </row>
    <row r="155" spans="1:14" x14ac:dyDescent="0.25">
      <c r="A155" s="8" t="s">
        <v>20</v>
      </c>
      <c r="B155" s="8" t="s">
        <v>89</v>
      </c>
      <c r="C155" s="8">
        <v>1365200</v>
      </c>
      <c r="D155" s="8">
        <v>90602</v>
      </c>
      <c r="E155" s="8">
        <v>3</v>
      </c>
      <c r="F155" s="8"/>
      <c r="G155" s="8">
        <v>300926</v>
      </c>
      <c r="H155" s="8">
        <v>1430</v>
      </c>
      <c r="I155" s="8">
        <v>10027</v>
      </c>
      <c r="J155" s="8">
        <v>2526</v>
      </c>
      <c r="K155" s="8" t="s">
        <v>100</v>
      </c>
      <c r="L155" s="9">
        <f t="shared" si="4"/>
        <v>211.61666666666667</v>
      </c>
      <c r="M155" s="9">
        <f t="shared" si="5"/>
        <v>211.61666666666667</v>
      </c>
      <c r="N155" s="9">
        <v>12697</v>
      </c>
    </row>
    <row r="156" spans="1:14" x14ac:dyDescent="0.25">
      <c r="A156" s="8" t="s">
        <v>20</v>
      </c>
      <c r="B156" s="8" t="s">
        <v>89</v>
      </c>
      <c r="C156" s="8">
        <v>1386900</v>
      </c>
      <c r="D156" s="8">
        <v>90548</v>
      </c>
      <c r="E156" s="8">
        <v>1</v>
      </c>
      <c r="F156" s="8"/>
      <c r="G156" s="8">
        <v>10726</v>
      </c>
      <c r="H156" s="8">
        <v>1430</v>
      </c>
      <c r="I156" s="8">
        <v>10057</v>
      </c>
      <c r="J156" s="8">
        <v>2526</v>
      </c>
      <c r="K156" s="8" t="s">
        <v>80</v>
      </c>
      <c r="L156" s="9">
        <f t="shared" si="4"/>
        <v>272.303</v>
      </c>
      <c r="M156" s="9">
        <f t="shared" si="5"/>
        <v>272.303</v>
      </c>
      <c r="N156" s="9">
        <v>16338.18</v>
      </c>
    </row>
    <row r="157" spans="1:14" x14ac:dyDescent="0.25">
      <c r="A157" s="8" t="s">
        <v>20</v>
      </c>
      <c r="B157" s="8" t="s">
        <v>89</v>
      </c>
      <c r="C157" s="8">
        <v>1386900</v>
      </c>
      <c r="D157" s="8">
        <v>90548</v>
      </c>
      <c r="E157" s="8">
        <v>3</v>
      </c>
      <c r="F157" s="8"/>
      <c r="G157" s="8">
        <v>10726</v>
      </c>
      <c r="H157" s="8">
        <v>1430</v>
      </c>
      <c r="I157" s="8">
        <v>10057</v>
      </c>
      <c r="J157" s="8">
        <v>2526</v>
      </c>
      <c r="K157" s="8" t="s">
        <v>100</v>
      </c>
      <c r="L157" s="9">
        <f t="shared" si="4"/>
        <v>60</v>
      </c>
      <c r="M157" s="9">
        <f t="shared" si="5"/>
        <v>60</v>
      </c>
      <c r="N157" s="9">
        <v>3600</v>
      </c>
    </row>
    <row r="158" spans="1:14" x14ac:dyDescent="0.25">
      <c r="A158" s="8" t="s">
        <v>20</v>
      </c>
      <c r="B158" s="8" t="s">
        <v>89</v>
      </c>
      <c r="C158" s="8">
        <v>1456500</v>
      </c>
      <c r="D158" s="8">
        <v>90545</v>
      </c>
      <c r="E158" s="8">
        <v>1</v>
      </c>
      <c r="F158" s="8"/>
      <c r="G158" s="8">
        <v>10726</v>
      </c>
      <c r="H158" s="8">
        <v>1430</v>
      </c>
      <c r="I158" s="8">
        <v>10057</v>
      </c>
      <c r="J158" s="8">
        <v>2526</v>
      </c>
      <c r="K158" s="8" t="s">
        <v>80</v>
      </c>
      <c r="L158" s="9">
        <f t="shared" si="4"/>
        <v>195.93833333333333</v>
      </c>
      <c r="M158" s="9">
        <f t="shared" si="5"/>
        <v>195.93833333333333</v>
      </c>
      <c r="N158" s="9">
        <v>11756.3</v>
      </c>
    </row>
    <row r="159" spans="1:14" x14ac:dyDescent="0.25">
      <c r="A159" s="8" t="s">
        <v>20</v>
      </c>
      <c r="B159" s="8" t="s">
        <v>89</v>
      </c>
      <c r="C159" s="8">
        <v>1456500</v>
      </c>
      <c r="D159" s="8">
        <v>90574</v>
      </c>
      <c r="E159" s="8">
        <v>1</v>
      </c>
      <c r="F159" s="8"/>
      <c r="G159" s="8">
        <v>50826</v>
      </c>
      <c r="H159" s="8">
        <v>1430</v>
      </c>
      <c r="I159" s="8">
        <v>10057</v>
      </c>
      <c r="J159" s="8">
        <v>2526</v>
      </c>
      <c r="K159" s="8" t="s">
        <v>80</v>
      </c>
      <c r="L159" s="9">
        <f t="shared" si="4"/>
        <v>48.033333333333331</v>
      </c>
      <c r="M159" s="9">
        <f t="shared" si="5"/>
        <v>48.033333333333331</v>
      </c>
      <c r="N159" s="9">
        <v>2882</v>
      </c>
    </row>
    <row r="160" spans="1:14" x14ac:dyDescent="0.25">
      <c r="A160" s="8" t="s">
        <v>20</v>
      </c>
      <c r="B160" s="8" t="s">
        <v>89</v>
      </c>
      <c r="C160" s="8">
        <v>1521900</v>
      </c>
      <c r="D160" s="8">
        <v>90542</v>
      </c>
      <c r="E160" s="8">
        <v>1</v>
      </c>
      <c r="F160" s="8"/>
      <c r="G160" s="8">
        <v>300626</v>
      </c>
      <c r="H160" s="8">
        <v>1430</v>
      </c>
      <c r="I160" s="8">
        <v>10057</v>
      </c>
      <c r="J160" s="8">
        <v>2526</v>
      </c>
      <c r="K160" s="8" t="s">
        <v>80</v>
      </c>
      <c r="L160" s="9">
        <f t="shared" si="4"/>
        <v>92.947666666666663</v>
      </c>
      <c r="M160" s="9">
        <f t="shared" si="5"/>
        <v>92.947666666666663</v>
      </c>
      <c r="N160" s="9">
        <v>5576.86</v>
      </c>
    </row>
    <row r="161" spans="1:14" x14ac:dyDescent="0.25">
      <c r="A161" s="8" t="s">
        <v>20</v>
      </c>
      <c r="B161" s="8" t="s">
        <v>89</v>
      </c>
      <c r="C161" s="8">
        <v>1523000</v>
      </c>
      <c r="D161" s="8">
        <v>90583</v>
      </c>
      <c r="E161" s="8">
        <v>1</v>
      </c>
      <c r="F161" s="8"/>
      <c r="G161" s="8">
        <v>130826</v>
      </c>
      <c r="H161" s="8">
        <v>1430</v>
      </c>
      <c r="I161" s="8">
        <v>10057</v>
      </c>
      <c r="J161" s="8">
        <v>2526</v>
      </c>
      <c r="K161" s="8" t="s">
        <v>80</v>
      </c>
      <c r="L161" s="9">
        <f t="shared" si="4"/>
        <v>215.93333333333334</v>
      </c>
      <c r="M161" s="9">
        <f t="shared" si="5"/>
        <v>215.93333333333334</v>
      </c>
      <c r="N161" s="9">
        <v>12956</v>
      </c>
    </row>
    <row r="162" spans="1:14" x14ac:dyDescent="0.25">
      <c r="A162" s="8" t="s">
        <v>20</v>
      </c>
      <c r="B162" s="8" t="s">
        <v>89</v>
      </c>
      <c r="C162" s="8">
        <v>1533600</v>
      </c>
      <c r="D162" s="8">
        <v>90547</v>
      </c>
      <c r="E162" s="8">
        <v>1</v>
      </c>
      <c r="F162" s="8"/>
      <c r="G162" s="8">
        <v>10726</v>
      </c>
      <c r="H162" s="8">
        <v>1430</v>
      </c>
      <c r="I162" s="8">
        <v>10057</v>
      </c>
      <c r="J162" s="8">
        <v>2526</v>
      </c>
      <c r="K162" s="8" t="s">
        <v>80</v>
      </c>
      <c r="L162" s="9">
        <f t="shared" si="4"/>
        <v>65.298500000000004</v>
      </c>
      <c r="M162" s="9">
        <f t="shared" si="5"/>
        <v>65.298500000000004</v>
      </c>
      <c r="N162" s="9">
        <v>3917.91</v>
      </c>
    </row>
    <row r="163" spans="1:14" hidden="1" x14ac:dyDescent="0.25">
      <c r="A163" s="8" t="s">
        <v>20</v>
      </c>
      <c r="B163" s="8" t="s">
        <v>89</v>
      </c>
      <c r="C163" s="8">
        <v>1564900</v>
      </c>
      <c r="D163" s="8">
        <v>90527</v>
      </c>
      <c r="E163" s="8">
        <v>3</v>
      </c>
      <c r="F163" s="8"/>
      <c r="G163" s="8">
        <v>280426</v>
      </c>
      <c r="H163" s="8">
        <v>1390</v>
      </c>
      <c r="I163" s="8">
        <v>10020</v>
      </c>
      <c r="J163" s="8">
        <v>2526</v>
      </c>
      <c r="K163" s="8" t="s">
        <v>100</v>
      </c>
      <c r="L163" s="8">
        <f t="shared" si="4"/>
        <v>320</v>
      </c>
      <c r="M163" s="9">
        <f t="shared" si="5"/>
        <v>320</v>
      </c>
      <c r="N163" s="8">
        <v>19200</v>
      </c>
    </row>
    <row r="164" spans="1:14" hidden="1" x14ac:dyDescent="0.25">
      <c r="A164" s="8" t="s">
        <v>20</v>
      </c>
      <c r="B164" s="8" t="s">
        <v>89</v>
      </c>
      <c r="C164" s="8">
        <v>1564900</v>
      </c>
      <c r="D164" s="8">
        <v>90555</v>
      </c>
      <c r="E164" s="8">
        <v>3</v>
      </c>
      <c r="F164" s="8"/>
      <c r="G164" s="8">
        <v>60726</v>
      </c>
      <c r="H164" s="8">
        <v>1390</v>
      </c>
      <c r="I164" s="8">
        <v>10025</v>
      </c>
      <c r="J164" s="8">
        <v>2526</v>
      </c>
      <c r="K164" s="8" t="s">
        <v>100</v>
      </c>
      <c r="L164" s="8">
        <f t="shared" si="4"/>
        <v>2240</v>
      </c>
      <c r="M164" s="9">
        <f t="shared" si="5"/>
        <v>2240</v>
      </c>
      <c r="N164" s="8">
        <v>134400</v>
      </c>
    </row>
    <row r="165" spans="1:14" hidden="1" x14ac:dyDescent="0.25">
      <c r="A165" s="8" t="s">
        <v>20</v>
      </c>
      <c r="B165" s="8" t="s">
        <v>89</v>
      </c>
      <c r="C165" s="8">
        <v>1564900</v>
      </c>
      <c r="D165" s="8">
        <v>90556</v>
      </c>
      <c r="E165" s="8">
        <v>3</v>
      </c>
      <c r="F165" s="8"/>
      <c r="G165" s="8">
        <v>60726</v>
      </c>
      <c r="H165" s="8">
        <v>1390</v>
      </c>
      <c r="I165" s="8">
        <v>10020</v>
      </c>
      <c r="J165" s="8">
        <v>2526</v>
      </c>
      <c r="K165" s="8" t="s">
        <v>100</v>
      </c>
      <c r="L165" s="8">
        <f t="shared" si="4"/>
        <v>2240</v>
      </c>
      <c r="M165" s="9">
        <f t="shared" si="5"/>
        <v>2240</v>
      </c>
      <c r="N165" s="8">
        <v>134400</v>
      </c>
    </row>
    <row r="166" spans="1:14" hidden="1" x14ac:dyDescent="0.25">
      <c r="A166" s="8" t="s">
        <v>20</v>
      </c>
      <c r="B166" s="8" t="s">
        <v>89</v>
      </c>
      <c r="C166" s="8">
        <v>1564900</v>
      </c>
      <c r="D166" s="8">
        <v>90560</v>
      </c>
      <c r="E166" s="8">
        <v>3</v>
      </c>
      <c r="F166" s="8"/>
      <c r="G166" s="8">
        <v>90726</v>
      </c>
      <c r="H166" s="8">
        <v>1390</v>
      </c>
      <c r="I166" s="8">
        <v>10045</v>
      </c>
      <c r="J166" s="8">
        <v>2526</v>
      </c>
      <c r="K166" s="8" t="s">
        <v>100</v>
      </c>
      <c r="L166" s="8">
        <f t="shared" si="4"/>
        <v>4800</v>
      </c>
      <c r="M166" s="9">
        <f t="shared" si="5"/>
        <v>4800</v>
      </c>
      <c r="N166" s="8">
        <v>288000</v>
      </c>
    </row>
    <row r="167" spans="1:14" hidden="1" x14ac:dyDescent="0.25">
      <c r="A167" s="8" t="s">
        <v>20</v>
      </c>
      <c r="B167" s="8" t="s">
        <v>89</v>
      </c>
      <c r="C167" s="8">
        <v>1564900</v>
      </c>
      <c r="D167" s="8">
        <v>90561</v>
      </c>
      <c r="E167" s="8">
        <v>3</v>
      </c>
      <c r="F167" s="8"/>
      <c r="G167" s="8">
        <v>90726</v>
      </c>
      <c r="H167" s="8">
        <v>1390</v>
      </c>
      <c r="I167" s="8">
        <v>10040</v>
      </c>
      <c r="J167" s="8">
        <v>2526</v>
      </c>
      <c r="K167" s="8" t="s">
        <v>100</v>
      </c>
      <c r="L167" s="8">
        <f t="shared" si="4"/>
        <v>1600</v>
      </c>
      <c r="M167" s="9">
        <f t="shared" si="5"/>
        <v>1600</v>
      </c>
      <c r="N167" s="8">
        <v>96000</v>
      </c>
    </row>
    <row r="168" spans="1:14" x14ac:dyDescent="0.25">
      <c r="A168" s="8" t="s">
        <v>20</v>
      </c>
      <c r="B168" s="8" t="s">
        <v>89</v>
      </c>
      <c r="C168" s="8">
        <v>1651600</v>
      </c>
      <c r="D168" s="8">
        <v>90485</v>
      </c>
      <c r="E168" s="8">
        <v>1</v>
      </c>
      <c r="F168" s="8"/>
      <c r="G168" s="8">
        <v>80825</v>
      </c>
      <c r="H168" s="8">
        <v>1430</v>
      </c>
      <c r="I168" s="8">
        <v>10057</v>
      </c>
      <c r="J168" s="8">
        <v>2425</v>
      </c>
      <c r="K168" s="8" t="s">
        <v>80</v>
      </c>
      <c r="L168" s="9">
        <f t="shared" si="4"/>
        <v>70.060333333333332</v>
      </c>
      <c r="M168" s="9">
        <f t="shared" si="5"/>
        <v>70.060333333333332</v>
      </c>
      <c r="N168" s="9">
        <v>4203.62</v>
      </c>
    </row>
    <row r="169" spans="1:14" x14ac:dyDescent="0.25">
      <c r="A169" s="8" t="s">
        <v>20</v>
      </c>
      <c r="B169" s="8" t="s">
        <v>89</v>
      </c>
      <c r="C169" s="8">
        <v>1651600</v>
      </c>
      <c r="D169" s="8">
        <v>90568</v>
      </c>
      <c r="E169" s="8">
        <v>1</v>
      </c>
      <c r="F169" s="8"/>
      <c r="G169" s="8">
        <v>220726</v>
      </c>
      <c r="H169" s="8">
        <v>1430</v>
      </c>
      <c r="I169" s="8">
        <v>10057</v>
      </c>
      <c r="J169" s="8">
        <v>2526</v>
      </c>
      <c r="K169" s="8" t="s">
        <v>80</v>
      </c>
      <c r="L169" s="9">
        <f t="shared" si="4"/>
        <v>374.00483333333335</v>
      </c>
      <c r="M169" s="9">
        <f t="shared" si="5"/>
        <v>374.00483333333335</v>
      </c>
      <c r="N169" s="9">
        <v>22440.29</v>
      </c>
    </row>
    <row r="170" spans="1:14" x14ac:dyDescent="0.25">
      <c r="A170" s="8" t="s">
        <v>20</v>
      </c>
      <c r="B170" s="8" t="s">
        <v>89</v>
      </c>
      <c r="C170" s="8">
        <v>1651600</v>
      </c>
      <c r="D170" s="8">
        <v>90576</v>
      </c>
      <c r="E170" s="8">
        <v>1</v>
      </c>
      <c r="F170" s="8"/>
      <c r="G170" s="8">
        <v>60826</v>
      </c>
      <c r="H170" s="8">
        <v>1430</v>
      </c>
      <c r="I170" s="8">
        <v>10057</v>
      </c>
      <c r="J170" s="8">
        <v>2526</v>
      </c>
      <c r="K170" s="8" t="s">
        <v>80</v>
      </c>
      <c r="L170" s="9">
        <f t="shared" si="4"/>
        <v>301.91533333333331</v>
      </c>
      <c r="M170" s="9">
        <f t="shared" si="5"/>
        <v>301.91533333333331</v>
      </c>
      <c r="N170" s="9">
        <v>18114.919999999998</v>
      </c>
    </row>
    <row r="171" spans="1:14" x14ac:dyDescent="0.25">
      <c r="A171" s="8" t="s">
        <v>20</v>
      </c>
      <c r="B171" s="8" t="s">
        <v>89</v>
      </c>
      <c r="C171" s="8">
        <v>1651600</v>
      </c>
      <c r="D171" s="8">
        <v>90577</v>
      </c>
      <c r="E171" s="8">
        <v>1</v>
      </c>
      <c r="F171" s="8"/>
      <c r="G171" s="8">
        <v>110826</v>
      </c>
      <c r="H171" s="8">
        <v>1430</v>
      </c>
      <c r="I171" s="8">
        <v>10057</v>
      </c>
      <c r="J171" s="8">
        <v>2526</v>
      </c>
      <c r="K171" s="8" t="s">
        <v>80</v>
      </c>
      <c r="L171" s="9">
        <f t="shared" si="4"/>
        <v>39.625</v>
      </c>
      <c r="M171" s="9">
        <f t="shared" si="5"/>
        <v>39.625</v>
      </c>
      <c r="N171" s="9">
        <v>2377.5</v>
      </c>
    </row>
    <row r="172" spans="1:14" x14ac:dyDescent="0.25">
      <c r="A172" s="8" t="s">
        <v>20</v>
      </c>
      <c r="B172" s="8" t="s">
        <v>89</v>
      </c>
      <c r="C172" s="8">
        <v>1651600</v>
      </c>
      <c r="D172" s="8">
        <v>90578</v>
      </c>
      <c r="E172" s="8">
        <v>1</v>
      </c>
      <c r="F172" s="8"/>
      <c r="G172" s="8">
        <v>110826</v>
      </c>
      <c r="H172" s="8">
        <v>1430</v>
      </c>
      <c r="I172" s="8">
        <v>10130</v>
      </c>
      <c r="J172" s="8">
        <v>2526</v>
      </c>
      <c r="K172" s="8" t="s">
        <v>80</v>
      </c>
      <c r="L172" s="9">
        <f t="shared" si="4"/>
        <v>11.866666666666667</v>
      </c>
      <c r="M172" s="9">
        <f t="shared" si="5"/>
        <v>11.866666666666667</v>
      </c>
      <c r="N172" s="9">
        <v>712</v>
      </c>
    </row>
    <row r="173" spans="1:14" x14ac:dyDescent="0.25">
      <c r="A173" s="8" t="s">
        <v>20</v>
      </c>
      <c r="B173" s="8" t="s">
        <v>89</v>
      </c>
      <c r="C173" s="8">
        <v>1651600</v>
      </c>
      <c r="D173" s="8">
        <v>90581</v>
      </c>
      <c r="E173" s="8">
        <v>1</v>
      </c>
      <c r="F173" s="8"/>
      <c r="G173" s="8">
        <v>130826</v>
      </c>
      <c r="H173" s="8">
        <v>1430</v>
      </c>
      <c r="I173" s="8">
        <v>10057</v>
      </c>
      <c r="J173" s="8">
        <v>2526</v>
      </c>
      <c r="K173" s="8" t="s">
        <v>80</v>
      </c>
      <c r="L173" s="9">
        <f t="shared" si="4"/>
        <v>44.866666666666667</v>
      </c>
      <c r="M173" s="9">
        <f t="shared" si="5"/>
        <v>44.866666666666667</v>
      </c>
      <c r="N173" s="9">
        <v>2692</v>
      </c>
    </row>
    <row r="174" spans="1:14" x14ac:dyDescent="0.25">
      <c r="A174" s="8" t="s">
        <v>20</v>
      </c>
      <c r="B174" s="8" t="s">
        <v>89</v>
      </c>
      <c r="C174" s="8">
        <v>1651600</v>
      </c>
      <c r="D174" s="8">
        <v>90582</v>
      </c>
      <c r="E174" s="8">
        <v>1</v>
      </c>
      <c r="F174" s="8"/>
      <c r="G174" s="8">
        <v>130826</v>
      </c>
      <c r="H174" s="8">
        <v>1430</v>
      </c>
      <c r="I174" s="8">
        <v>10130</v>
      </c>
      <c r="J174" s="8">
        <v>2526</v>
      </c>
      <c r="K174" s="8" t="s">
        <v>80</v>
      </c>
      <c r="L174" s="9">
        <f t="shared" si="4"/>
        <v>88.15</v>
      </c>
      <c r="M174" s="9">
        <f t="shared" si="5"/>
        <v>88.15</v>
      </c>
      <c r="N174" s="9">
        <v>5289</v>
      </c>
    </row>
    <row r="175" spans="1:14" x14ac:dyDescent="0.25">
      <c r="A175" s="8" t="s">
        <v>20</v>
      </c>
      <c r="B175" s="8" t="s">
        <v>89</v>
      </c>
      <c r="C175" s="8">
        <v>1651600</v>
      </c>
      <c r="D175" s="8">
        <v>90589</v>
      </c>
      <c r="E175" s="8">
        <v>1</v>
      </c>
      <c r="F175" s="8"/>
      <c r="G175" s="8">
        <v>30926</v>
      </c>
      <c r="H175" s="8">
        <v>1430</v>
      </c>
      <c r="I175" s="8">
        <v>10027</v>
      </c>
      <c r="J175" s="8">
        <v>2526</v>
      </c>
      <c r="K175" s="8" t="s">
        <v>80</v>
      </c>
      <c r="L175" s="9">
        <f t="shared" si="4"/>
        <v>236.83333333333334</v>
      </c>
      <c r="M175" s="9">
        <f t="shared" si="5"/>
        <v>236.83333333333334</v>
      </c>
      <c r="N175" s="9">
        <v>14210</v>
      </c>
    </row>
    <row r="176" spans="1:14" x14ac:dyDescent="0.25">
      <c r="A176" s="8" t="s">
        <v>20</v>
      </c>
      <c r="B176" s="8" t="s">
        <v>89</v>
      </c>
      <c r="C176" s="8">
        <v>1651600</v>
      </c>
      <c r="D176" s="8">
        <v>90590</v>
      </c>
      <c r="E176" s="8">
        <v>1</v>
      </c>
      <c r="F176" s="8"/>
      <c r="G176" s="8">
        <v>30926</v>
      </c>
      <c r="H176" s="8">
        <v>1430</v>
      </c>
      <c r="I176" s="8">
        <v>10057</v>
      </c>
      <c r="J176" s="8">
        <v>2526</v>
      </c>
      <c r="K176" s="8" t="s">
        <v>80</v>
      </c>
      <c r="L176" s="9">
        <f t="shared" si="4"/>
        <v>241.55</v>
      </c>
      <c r="M176" s="9">
        <f t="shared" si="5"/>
        <v>241.55</v>
      </c>
      <c r="N176" s="9">
        <v>14493</v>
      </c>
    </row>
    <row r="177" spans="1:14" x14ac:dyDescent="0.25">
      <c r="A177" s="8" t="s">
        <v>20</v>
      </c>
      <c r="B177" s="8" t="s">
        <v>89</v>
      </c>
      <c r="C177" s="8">
        <v>1651600</v>
      </c>
      <c r="D177" s="8">
        <v>90591</v>
      </c>
      <c r="E177" s="8">
        <v>1</v>
      </c>
      <c r="F177" s="8"/>
      <c r="G177" s="8">
        <v>30926</v>
      </c>
      <c r="H177" s="8">
        <v>1430</v>
      </c>
      <c r="I177" s="8">
        <v>10130</v>
      </c>
      <c r="J177" s="8">
        <v>2526</v>
      </c>
      <c r="K177" s="8" t="s">
        <v>80</v>
      </c>
      <c r="L177" s="9">
        <f t="shared" si="4"/>
        <v>114.03333333333333</v>
      </c>
      <c r="M177" s="9">
        <f t="shared" si="5"/>
        <v>114.03333333333333</v>
      </c>
      <c r="N177" s="9">
        <v>6842</v>
      </c>
    </row>
  </sheetData>
  <autoFilter ref="A1:N177" xr:uid="{B00CBACD-1EC0-4959-AF04-8F2649FC3863}">
    <filterColumn colId="7">
      <filters>
        <filter val="1430"/>
      </filters>
    </filterColumn>
    <filterColumn colId="10">
      <filters>
        <filter val="Inventory"/>
        <filter val="Longs"/>
      </filters>
    </filterColumn>
  </autoFilter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7A6E4-20E9-4F54-8E11-2CC03BCFF09B}">
  <dimension ref="A1:B24"/>
  <sheetViews>
    <sheetView tabSelected="1" workbookViewId="0">
      <selection activeCell="B1" sqref="B1"/>
    </sheetView>
  </sheetViews>
  <sheetFormatPr defaultRowHeight="13.2" x14ac:dyDescent="0.25"/>
  <cols>
    <col min="1" max="1" width="13.44140625" bestFit="1" customWidth="1"/>
    <col min="2" max="2" width="15.6640625" style="3" bestFit="1" customWidth="1"/>
    <col min="3" max="3" width="13.33203125" bestFit="1" customWidth="1"/>
  </cols>
  <sheetData>
    <row r="1" spans="1:2" x14ac:dyDescent="0.25">
      <c r="A1" t="s">
        <v>0</v>
      </c>
      <c r="B1" t="s">
        <v>1</v>
      </c>
    </row>
    <row r="3" spans="1:2" x14ac:dyDescent="0.25">
      <c r="A3" t="s">
        <v>2</v>
      </c>
      <c r="B3" s="1" t="s">
        <v>3</v>
      </c>
    </row>
    <row r="4" spans="1:2" x14ac:dyDescent="0.25">
      <c r="A4" s="2">
        <v>10027</v>
      </c>
      <c r="B4" s="1">
        <v>4502.3078333333333</v>
      </c>
    </row>
    <row r="5" spans="1:2" x14ac:dyDescent="0.25">
      <c r="A5" s="2">
        <v>10030</v>
      </c>
      <c r="B5" s="1">
        <v>-100</v>
      </c>
    </row>
    <row r="6" spans="1:2" x14ac:dyDescent="0.25">
      <c r="A6" s="2">
        <v>10040</v>
      </c>
      <c r="B6" s="1">
        <v>-616</v>
      </c>
    </row>
    <row r="7" spans="1:2" x14ac:dyDescent="0.25">
      <c r="A7" s="2">
        <v>10045</v>
      </c>
      <c r="B7" s="1">
        <v>-7560</v>
      </c>
    </row>
    <row r="8" spans="1:2" x14ac:dyDescent="0.25">
      <c r="A8" s="2">
        <v>10057</v>
      </c>
      <c r="B8" s="1">
        <v>31110.415166666658</v>
      </c>
    </row>
    <row r="9" spans="1:2" x14ac:dyDescent="0.25">
      <c r="A9" s="2">
        <v>10060</v>
      </c>
      <c r="B9" s="1">
        <v>-1670</v>
      </c>
    </row>
    <row r="10" spans="1:2" x14ac:dyDescent="0.25">
      <c r="A10" s="2">
        <v>10070</v>
      </c>
      <c r="B10" s="1">
        <v>-3239.9995000000004</v>
      </c>
    </row>
    <row r="11" spans="1:2" x14ac:dyDescent="0.25">
      <c r="A11" s="2">
        <v>10080</v>
      </c>
      <c r="B11" s="1">
        <v>-24079.999499999998</v>
      </c>
    </row>
    <row r="12" spans="1:2" x14ac:dyDescent="0.25">
      <c r="A12" s="2">
        <v>10110</v>
      </c>
      <c r="B12" s="1">
        <v>-3710</v>
      </c>
    </row>
    <row r="13" spans="1:2" x14ac:dyDescent="0.25">
      <c r="A13" s="2">
        <v>10120</v>
      </c>
      <c r="B13" s="1">
        <v>-4293.3331666666672</v>
      </c>
    </row>
    <row r="14" spans="1:2" x14ac:dyDescent="0.25">
      <c r="A14" s="2">
        <v>10130</v>
      </c>
      <c r="B14" s="1">
        <v>6600.8298333333341</v>
      </c>
    </row>
    <row r="15" spans="1:2" x14ac:dyDescent="0.25">
      <c r="A15" s="2">
        <v>10140</v>
      </c>
      <c r="B15" s="1">
        <v>-1600</v>
      </c>
    </row>
    <row r="16" spans="1:2" x14ac:dyDescent="0.25">
      <c r="A16" s="2">
        <v>10260</v>
      </c>
      <c r="B16" s="1">
        <v>34.825666666666677</v>
      </c>
    </row>
    <row r="17" spans="1:2" x14ac:dyDescent="0.25">
      <c r="A17" s="2">
        <v>10310</v>
      </c>
      <c r="B17" s="1">
        <v>-320</v>
      </c>
    </row>
    <row r="18" spans="1:2" x14ac:dyDescent="0.25">
      <c r="A18" s="2" t="s">
        <v>4</v>
      </c>
      <c r="B18" s="1"/>
    </row>
    <row r="19" spans="1:2" x14ac:dyDescent="0.25">
      <c r="A19" s="2" t="s">
        <v>5</v>
      </c>
      <c r="B19" s="1">
        <v>-4940.9536666666754</v>
      </c>
    </row>
    <row r="20" spans="1:2" x14ac:dyDescent="0.25">
      <c r="B20"/>
    </row>
    <row r="21" spans="1:2" x14ac:dyDescent="0.25">
      <c r="B21"/>
    </row>
    <row r="22" spans="1:2" x14ac:dyDescent="0.25">
      <c r="B22"/>
    </row>
    <row r="23" spans="1:2" x14ac:dyDescent="0.25">
      <c r="B23"/>
    </row>
    <row r="24" spans="1:2" x14ac:dyDescent="0.25">
      <c r="B2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P526CCCC (2)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IberoKe - Trade Admin Manager - Njambi Gatheru</dc:creator>
  <cp:lastModifiedBy>IberoKe - Trade Admin Manager - Njambi Gatheru</cp:lastModifiedBy>
  <dcterms:created xsi:type="dcterms:W3CDTF">2026-10-08T06:52:43Z</dcterms:created>
  <dcterms:modified xsi:type="dcterms:W3CDTF">2026-10-08T06:56:16Z</dcterms:modified>
</cp:coreProperties>
</file>