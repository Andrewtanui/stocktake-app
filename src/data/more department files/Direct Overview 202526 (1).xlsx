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Y:\2026\1. DOCUMENTS\Purchases\KENYA\DIRECT SALES\"/>
    </mc:Choice>
  </mc:AlternateContent>
  <xr:revisionPtr revIDLastSave="0" documentId="13_ncr:1_{C91F53EA-7128-4712-9BCC-978057DCCAD1}" xr6:coauthVersionLast="47" xr6:coauthVersionMax="47" xr10:uidLastSave="{00000000-0000-0000-0000-000000000000}"/>
  <bookViews>
    <workbookView xWindow="-110" yWindow="-110" windowWidth="19420" windowHeight="11500" tabRatio="759" firstSheet="33" activeTab="43" xr2:uid="{8C95BCB2-BB1F-4F72-A593-1412F8268733}"/>
  </bookViews>
  <sheets>
    <sheet name="Overview" sheetId="1" r:id="rId1"/>
    <sheet name="Sheet1" sheetId="54" state="hidden" r:id="rId2"/>
    <sheet name="Sheet2" sheetId="47" state="hidden" r:id="rId3"/>
    <sheet name="Raymark" sheetId="2" state="hidden" r:id="rId4"/>
    <sheet name="Rungeto" sheetId="3" r:id="rId5"/>
    <sheet name="Inoi" sheetId="4" r:id="rId6"/>
    <sheet name="ENDEBESS Dispatch 1" sheetId="5" r:id="rId7"/>
    <sheet name="Endebess Dispatch 2" sheetId="6" r:id="rId8"/>
    <sheet name="Endebess Dispatch 3" sheetId="7" r:id="rId9"/>
    <sheet name="Endebess Dispatch 4" sheetId="73" r:id="rId10"/>
    <sheet name="Inoi 2" sheetId="8" r:id="rId11"/>
    <sheet name="Baragwi 1" sheetId="10" r:id="rId12"/>
    <sheet name="Rungeto 2 17.02" sheetId="11" r:id="rId13"/>
    <sheet name="Baragwi 2" sheetId="12" r:id="rId14"/>
    <sheet name="Endebess" sheetId="9" r:id="rId15"/>
    <sheet name="Ino MH" sheetId="14" r:id="rId16"/>
    <sheet name="Raymark 12.03" sheetId="16" r:id="rId17"/>
    <sheet name="Tekangu" sheetId="19" r:id="rId18"/>
    <sheet name="Kabare" sheetId="15" r:id="rId19"/>
    <sheet name="Mugaga" sheetId="18" r:id="rId20"/>
    <sheet name="Iyego" sheetId="17" r:id="rId21"/>
    <sheet name="Thirikwa" sheetId="20" r:id="rId22"/>
    <sheet name="Kabare 2" sheetId="21" r:id="rId23"/>
    <sheet name="Baragwi 3" sheetId="34" r:id="rId24"/>
    <sheet name=" Gikanda 1 Cancelled" sheetId="22" state="hidden" r:id="rId25"/>
    <sheet name="Gikanda 1 Confirmed" sheetId="27" state="hidden" r:id="rId26"/>
    <sheet name="Baragwi 4" sheetId="33" state="hidden" r:id="rId27"/>
    <sheet name="Baragwi 4 AfterBulking" sheetId="35" r:id="rId28"/>
    <sheet name="Rungeto MHML" sheetId="24" r:id="rId29"/>
    <sheet name="Baragwi 5" sheetId="26" state="hidden" r:id="rId30"/>
    <sheet name="Baragwi 5 Afterbulking" sheetId="37" r:id="rId31"/>
    <sheet name="Rungeto MHML 2" sheetId="28" r:id="rId32"/>
    <sheet name="Endebess Last Purchase" sheetId="29" r:id="rId33"/>
    <sheet name="Tharaka Nithi" sheetId="30" r:id="rId34"/>
    <sheet name="Baragwi MH 2000" sheetId="31" state="hidden" r:id="rId35"/>
    <sheet name="Baragwi MH 2000 (2)" sheetId="42" r:id="rId36"/>
    <sheet name="Baragwi ML" sheetId="32" r:id="rId37"/>
    <sheet name="Baragwi MH,ML B6" sheetId="41" r:id="rId38"/>
    <sheet name="Diamond Coffee" sheetId="39" r:id="rId39"/>
    <sheet name="Karunguru Estate" sheetId="44" r:id="rId40"/>
    <sheet name="Fairview Estate" sheetId="45" r:id="rId41"/>
    <sheet name="Muhugu" sheetId="46" r:id="rId42"/>
    <sheet name="Machure" sheetId="48" r:id="rId43"/>
    <sheet name="Kigutha" sheetId="49" r:id="rId44"/>
    <sheet name="Ndarugu" sheetId="50" r:id="rId45"/>
    <sheet name="Baragwi Fly Crop 1" sheetId="53" r:id="rId46"/>
    <sheet name="Mara Natural" sheetId="55" r:id="rId47"/>
    <sheet name="Chania" sheetId="43" r:id="rId48"/>
    <sheet name="Baragwi Fly Crop 2" sheetId="56" r:id="rId49"/>
    <sheet name="Rungeto Fly Crop 1" sheetId="57" r:id="rId50"/>
    <sheet name="90588" sheetId="68" r:id="rId51"/>
    <sheet name="90589-91" sheetId="69" r:id="rId52"/>
    <sheet name="Karunguru 2" sheetId="51" r:id="rId53"/>
    <sheet name="Machure Nat" sheetId="60" r:id="rId54"/>
    <sheet name="Rungeto Fly Crop 3" sheetId="61" r:id="rId55"/>
    <sheet name="Baragwi Fly crop 4" sheetId="62" r:id="rId56"/>
    <sheet name="Rungeto UG" sheetId="66" r:id="rId57"/>
    <sheet name="MUTIRA" sheetId="63" r:id="rId58"/>
    <sheet name="90586" sheetId="65" r:id="rId59"/>
    <sheet name="Kibirigwi" sheetId="64" r:id="rId60"/>
    <sheet name="Rungeto Fly crop 2" sheetId="59" r:id="rId61"/>
    <sheet name="90587" sheetId="67" r:id="rId62"/>
    <sheet name="90592&amp;3" sheetId="70" r:id="rId63"/>
    <sheet name="90595&amp;6" sheetId="72" r:id="rId64"/>
    <sheet name="90575" sheetId="71" r:id="rId65"/>
    <sheet name="90597" sheetId="74" r:id="rId66"/>
  </sheets>
  <externalReferences>
    <externalReference r:id="rId67"/>
    <externalReference r:id="rId68"/>
    <externalReference r:id="rId69"/>
    <externalReference r:id="rId70"/>
    <externalReference r:id="rId71"/>
  </externalReferences>
  <definedNames>
    <definedName name="_xlnm._FilterDatabase" localSheetId="64" hidden="1">'90575'!$A$2:$O$16</definedName>
    <definedName name="_xlnm._FilterDatabase" localSheetId="51" hidden="1">'90589-91'!$A$2:$K$43</definedName>
    <definedName name="_xlnm._FilterDatabase" localSheetId="62" hidden="1">'90592&amp;3'!$A$2:$P$12</definedName>
    <definedName name="_xlnm._FilterDatabase" localSheetId="63" hidden="1">'90595&amp;6'!$A$2:$T$14</definedName>
    <definedName name="_xlnm._FilterDatabase" localSheetId="65" hidden="1">'90597'!$A$2:$N$14</definedName>
    <definedName name="_xlnm._FilterDatabase" localSheetId="11" hidden="1">'Baragwi 1'!$A$2:$AA$89</definedName>
    <definedName name="_xlnm._FilterDatabase" localSheetId="13" hidden="1">'Baragwi 2'!$A$1:$X$109</definedName>
    <definedName name="_xlnm._FilterDatabase" localSheetId="23" hidden="1">'Baragwi 3'!$A$1:$AB$158</definedName>
    <definedName name="_xlnm._FilterDatabase" localSheetId="26" hidden="1">'Baragwi 4'!$A$1:$U$243</definedName>
    <definedName name="_xlnm._FilterDatabase" localSheetId="27" hidden="1">'Baragwi 4 AfterBulking'!$A$1:$W$114</definedName>
    <definedName name="_xlnm._FilterDatabase" localSheetId="29" hidden="1">'Baragwi 5'!$A$1:$X$243</definedName>
    <definedName name="_xlnm._FilterDatabase" localSheetId="30" hidden="1">'Baragwi 5 Afterbulking'!$A$1:$Z$44</definedName>
    <definedName name="_xlnm._FilterDatabase" localSheetId="45" hidden="1">'Baragwi Fly Crop 1'!$A$2:$Z$73</definedName>
    <definedName name="_xlnm._FilterDatabase" localSheetId="48" hidden="1">'Baragwi Fly Crop 2'!$A$2:$W$58</definedName>
    <definedName name="_xlnm._FilterDatabase" localSheetId="55" hidden="1">'Baragwi Fly crop 4'!$A$1:$S$25</definedName>
    <definedName name="_xlnm._FilterDatabase" localSheetId="35" hidden="1">'Baragwi MH 2000 (2)'!$A$1:$S$22</definedName>
    <definedName name="_xlnm._FilterDatabase" localSheetId="37" hidden="1">'Baragwi MH,ML B6'!$A$2:$Q$31</definedName>
    <definedName name="_xlnm._FilterDatabase" localSheetId="14" hidden="1">Endebess!$A$1:$L$17</definedName>
    <definedName name="_xlnm._FilterDatabase" localSheetId="25" hidden="1">'Gikanda 1 Confirmed'!$A$2:$P$20</definedName>
    <definedName name="_xlnm._FilterDatabase" localSheetId="15" hidden="1">'Ino MH'!$A$2:$N$2</definedName>
    <definedName name="_xlnm._FilterDatabase" localSheetId="5" hidden="1">Inoi!$A$2:$U$25</definedName>
    <definedName name="_xlnm._FilterDatabase" localSheetId="18" hidden="1">Kabare!$A$2:$T$32</definedName>
    <definedName name="_xlnm._FilterDatabase" localSheetId="22" hidden="1">'Kabare 2'!$A$2:$U$11</definedName>
    <definedName name="_xlnm._FilterDatabase" localSheetId="39" hidden="1">'Karunguru Estate'!$A$2:$O$30</definedName>
    <definedName name="_xlnm._FilterDatabase" localSheetId="59" hidden="1">Kibirigwi!$A$2:$M$24</definedName>
    <definedName name="_xlnm._FilterDatabase" localSheetId="19" hidden="1">Mugaga!$A$2:$W$2</definedName>
    <definedName name="_xlnm._FilterDatabase" localSheetId="41" hidden="1">Muhugu!$A$2:$U$16</definedName>
    <definedName name="_xlnm._FilterDatabase" localSheetId="57" hidden="1">MUTIRA!$A$2:$P$17</definedName>
    <definedName name="_xlnm._FilterDatabase" localSheetId="0" hidden="1">Overview!$A$1:$V$98</definedName>
    <definedName name="_xlnm._FilterDatabase" localSheetId="3" hidden="1">Raymark!$A$3:$O$22</definedName>
    <definedName name="_xlnm._FilterDatabase" localSheetId="16" hidden="1">'Raymark 12.03'!$A$1:$O$95</definedName>
    <definedName name="_xlnm._FilterDatabase" localSheetId="12" hidden="1">'Rungeto 2 17.02'!$A$1:$P$13</definedName>
    <definedName name="_xlnm._FilterDatabase" localSheetId="49" hidden="1">'Rungeto Fly Crop 1'!$A$2:$R$52</definedName>
    <definedName name="_xlnm._FilterDatabase" localSheetId="60" hidden="1">'Rungeto Fly crop 2'!$A$2:$R$13</definedName>
    <definedName name="_xlnm._FilterDatabase" localSheetId="54" hidden="1">'Rungeto Fly Crop 3'!$A$2:$K$21</definedName>
    <definedName name="_xlnm._FilterDatabase" localSheetId="28" hidden="1">'Rungeto MHML'!$A$1:$V$26</definedName>
    <definedName name="_xlnm._FilterDatabase" localSheetId="31" hidden="1">'Rungeto MHML 2'!$A$2:$R$15</definedName>
    <definedName name="_xlnm._FilterDatabase" localSheetId="17" hidden="1">Tekangu!$A$2:$M$21</definedName>
    <definedName name="_xlnm._FilterDatabase" localSheetId="33" hidden="1">'Tharaka Nithi'!$A$3:$P$19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9" l="1"/>
  <c r="G29" i="49"/>
  <c r="E29" i="49"/>
  <c r="G102" i="1"/>
  <c r="M4" i="74"/>
  <c r="M5" i="74"/>
  <c r="M6" i="74"/>
  <c r="M7" i="74"/>
  <c r="M8" i="74"/>
  <c r="M9" i="74"/>
  <c r="M10" i="74"/>
  <c r="M11" i="74"/>
  <c r="M12" i="74"/>
  <c r="M3" i="74"/>
  <c r="N4" i="74"/>
  <c r="N13" i="74" s="1"/>
  <c r="N5" i="74"/>
  <c r="N6" i="74"/>
  <c r="N7" i="74"/>
  <c r="N8" i="74"/>
  <c r="N9" i="74"/>
  <c r="N10" i="74"/>
  <c r="N11" i="74"/>
  <c r="N12" i="74"/>
  <c r="N3" i="74"/>
  <c r="E13" i="74"/>
  <c r="D13" i="74"/>
  <c r="F13" i="74" l="1"/>
  <c r="F14" i="74" s="1"/>
  <c r="E2" i="73" l="1"/>
  <c r="R4" i="67"/>
  <c r="R5" i="67"/>
  <c r="R3" i="67"/>
  <c r="F29" i="50"/>
  <c r="E17" i="50"/>
  <c r="G17" i="50"/>
  <c r="E26" i="48"/>
  <c r="G25" i="48"/>
  <c r="D3" i="48"/>
  <c r="T15" i="63"/>
  <c r="S28" i="62"/>
  <c r="R28" i="62"/>
  <c r="N4" i="72"/>
  <c r="N5" i="72"/>
  <c r="N6" i="72"/>
  <c r="N7" i="72"/>
  <c r="N8" i="72"/>
  <c r="N9" i="72"/>
  <c r="N10" i="72"/>
  <c r="N11" i="72"/>
  <c r="N12" i="72"/>
  <c r="N13" i="72"/>
  <c r="N3" i="72"/>
  <c r="N14" i="72" s="1"/>
  <c r="M4" i="72"/>
  <c r="M5" i="72"/>
  <c r="M6" i="72"/>
  <c r="M7" i="72"/>
  <c r="M8" i="72"/>
  <c r="M9" i="72"/>
  <c r="M10" i="72"/>
  <c r="M11" i="72"/>
  <c r="M12" i="72"/>
  <c r="M13" i="72"/>
  <c r="M3" i="72"/>
  <c r="Q72" i="49"/>
  <c r="P69" i="49"/>
  <c r="P70" i="49"/>
  <c r="P71" i="49"/>
  <c r="P68" i="49"/>
  <c r="J52" i="49"/>
  <c r="N10" i="49"/>
  <c r="N11" i="49"/>
  <c r="N12" i="49"/>
  <c r="N13" i="49"/>
  <c r="N14" i="49"/>
  <c r="N15" i="49"/>
  <c r="N16" i="49"/>
  <c r="N17" i="49"/>
  <c r="N18" i="49"/>
  <c r="N19" i="49"/>
  <c r="N20" i="49"/>
  <c r="N21" i="49"/>
  <c r="N22" i="49"/>
  <c r="N23" i="49"/>
  <c r="N24" i="49"/>
  <c r="N9" i="49"/>
  <c r="S17" i="69" l="1"/>
  <c r="Q10" i="67"/>
  <c r="R46" i="69"/>
  <c r="Q15" i="63" l="1"/>
  <c r="K3" i="71"/>
  <c r="L3" i="71"/>
  <c r="O3" i="71"/>
  <c r="K4" i="71"/>
  <c r="L4" i="71"/>
  <c r="O4" i="71"/>
  <c r="K5" i="71"/>
  <c r="L5" i="71"/>
  <c r="L15" i="71" s="1"/>
  <c r="L16" i="71" s="1"/>
  <c r="O5" i="71"/>
  <c r="K6" i="71"/>
  <c r="L6" i="71"/>
  <c r="O6" i="71"/>
  <c r="K7" i="71"/>
  <c r="L7" i="71"/>
  <c r="O7" i="71"/>
  <c r="K8" i="71"/>
  <c r="L8" i="71"/>
  <c r="O8" i="71"/>
  <c r="K9" i="71"/>
  <c r="L9" i="71"/>
  <c r="O9" i="71"/>
  <c r="K10" i="71"/>
  <c r="L10" i="71"/>
  <c r="O10" i="71"/>
  <c r="K11" i="71"/>
  <c r="O11" i="71"/>
  <c r="K12" i="71"/>
  <c r="L12" i="71"/>
  <c r="O12" i="71"/>
  <c r="K13" i="71"/>
  <c r="O13" i="71"/>
  <c r="K14" i="71"/>
  <c r="L14" i="71"/>
  <c r="O14" i="71"/>
  <c r="F15" i="71"/>
  <c r="D15" i="71" s="1"/>
  <c r="P15" i="71"/>
  <c r="P16" i="71"/>
  <c r="Q17" i="71"/>
  <c r="Q18" i="71"/>
  <c r="S25" i="62"/>
  <c r="S24" i="62"/>
  <c r="R24" i="62"/>
  <c r="R25" i="62" s="1"/>
  <c r="O43" i="69" l="1"/>
  <c r="O29" i="69"/>
  <c r="O17" i="69"/>
  <c r="F12" i="70" l="1"/>
  <c r="F14" i="70" s="1"/>
  <c r="O7" i="70"/>
  <c r="M7" i="70"/>
  <c r="O6" i="70"/>
  <c r="M6" i="70"/>
  <c r="O11" i="70"/>
  <c r="M11" i="70"/>
  <c r="O5" i="70"/>
  <c r="M5" i="70"/>
  <c r="O4" i="70"/>
  <c r="M4" i="70"/>
  <c r="O10" i="70"/>
  <c r="M10" i="70"/>
  <c r="O9" i="70"/>
  <c r="M9" i="70"/>
  <c r="O3" i="70"/>
  <c r="M3" i="70"/>
  <c r="O8" i="70"/>
  <c r="M8" i="70"/>
  <c r="O12" i="70" l="1"/>
  <c r="V7" i="62"/>
  <c r="V21" i="62"/>
  <c r="V3" i="62"/>
  <c r="Q3" i="62"/>
  <c r="Q4" i="62"/>
  <c r="V5" i="62" s="1"/>
  <c r="Q5" i="62"/>
  <c r="V6" i="62" s="1"/>
  <c r="Q22" i="62"/>
  <c r="Q6" i="62"/>
  <c r="V8" i="62" s="1"/>
  <c r="Q7" i="62"/>
  <c r="V9" i="62" s="1"/>
  <c r="Q8" i="62"/>
  <c r="V10" i="62" s="1"/>
  <c r="Q9" i="62"/>
  <c r="V11" i="62" s="1"/>
  <c r="Q10" i="62"/>
  <c r="V12" i="62" s="1"/>
  <c r="Q11" i="62"/>
  <c r="V13" i="62" s="1"/>
  <c r="Q12" i="62"/>
  <c r="V14" i="62" s="1"/>
  <c r="Q13" i="62"/>
  <c r="V15" i="62" s="1"/>
  <c r="Q14" i="62"/>
  <c r="V16" i="62" s="1"/>
  <c r="Q15" i="62"/>
  <c r="V17" i="62" s="1"/>
  <c r="Q16" i="62"/>
  <c r="V18" i="62" s="1"/>
  <c r="Q17" i="62"/>
  <c r="V19" i="62" s="1"/>
  <c r="Q18" i="62"/>
  <c r="V20" i="62" s="1"/>
  <c r="Q23" i="62"/>
  <c r="Q19" i="62"/>
  <c r="V22" i="62" s="1"/>
  <c r="Q20" i="62"/>
  <c r="V23" i="62" s="1"/>
  <c r="Q21" i="62"/>
  <c r="P4" i="60"/>
  <c r="O5" i="68"/>
  <c r="O4" i="68"/>
  <c r="P15" i="63"/>
  <c r="P16" i="63" s="1"/>
  <c r="N11" i="63"/>
  <c r="M11" i="63"/>
  <c r="M25" i="48"/>
  <c r="L4" i="69"/>
  <c r="L5" i="69"/>
  <c r="L6" i="69"/>
  <c r="L19" i="69"/>
  <c r="L20" i="69"/>
  <c r="L31" i="69"/>
  <c r="L32" i="69"/>
  <c r="L7" i="69"/>
  <c r="L33" i="69"/>
  <c r="L22" i="69"/>
  <c r="L8" i="69"/>
  <c r="L23" i="69"/>
  <c r="L34" i="69"/>
  <c r="L35" i="69"/>
  <c r="L9" i="69"/>
  <c r="L36" i="69"/>
  <c r="L24" i="69"/>
  <c r="L37" i="69"/>
  <c r="L38" i="69"/>
  <c r="L10" i="69"/>
  <c r="L39" i="69"/>
  <c r="L25" i="69"/>
  <c r="L11" i="69"/>
  <c r="L12" i="69"/>
  <c r="L13" i="69"/>
  <c r="L14" i="69"/>
  <c r="L26" i="69"/>
  <c r="L15" i="69"/>
  <c r="L27" i="69"/>
  <c r="L40" i="69"/>
  <c r="L41" i="69"/>
  <c r="L16" i="69"/>
  <c r="L42" i="69"/>
  <c r="L28" i="69"/>
  <c r="L3" i="69"/>
  <c r="F28" i="69"/>
  <c r="M28" i="69" s="1"/>
  <c r="F42" i="69"/>
  <c r="M42" i="69" s="1"/>
  <c r="F16" i="69"/>
  <c r="M16" i="69" s="1"/>
  <c r="F41" i="69"/>
  <c r="M41" i="69" s="1"/>
  <c r="F40" i="69"/>
  <c r="M40" i="69" s="1"/>
  <c r="F27" i="69"/>
  <c r="M27" i="69" s="1"/>
  <c r="F15" i="69"/>
  <c r="M15" i="69" s="1"/>
  <c r="F26" i="69"/>
  <c r="M26" i="69" s="1"/>
  <c r="F14" i="69"/>
  <c r="M14" i="69" s="1"/>
  <c r="F13" i="69"/>
  <c r="M13" i="69" s="1"/>
  <c r="F12" i="69"/>
  <c r="M12" i="69" s="1"/>
  <c r="F11" i="69"/>
  <c r="M11" i="69" s="1"/>
  <c r="F25" i="69"/>
  <c r="M25" i="69" s="1"/>
  <c r="F39" i="69"/>
  <c r="M39" i="69" s="1"/>
  <c r="F10" i="69"/>
  <c r="M10" i="69" s="1"/>
  <c r="F38" i="69"/>
  <c r="M38" i="69" s="1"/>
  <c r="F37" i="69"/>
  <c r="M37" i="69" s="1"/>
  <c r="F24" i="69"/>
  <c r="M24" i="69" s="1"/>
  <c r="F36" i="69"/>
  <c r="M36" i="69" s="1"/>
  <c r="F9" i="69"/>
  <c r="M9" i="69" s="1"/>
  <c r="F35" i="69"/>
  <c r="M35" i="69" s="1"/>
  <c r="F34" i="69"/>
  <c r="M34" i="69" s="1"/>
  <c r="F23" i="69"/>
  <c r="M23" i="69" s="1"/>
  <c r="F8" i="69"/>
  <c r="M8" i="69" s="1"/>
  <c r="F22" i="69"/>
  <c r="M22" i="69" s="1"/>
  <c r="F33" i="69"/>
  <c r="M33" i="69" s="1"/>
  <c r="F7" i="69"/>
  <c r="M7" i="69" s="1"/>
  <c r="F32" i="69"/>
  <c r="M32" i="69" s="1"/>
  <c r="F31" i="69"/>
  <c r="M31" i="69" s="1"/>
  <c r="M20" i="69"/>
  <c r="F19" i="69"/>
  <c r="M19" i="69" s="1"/>
  <c r="F6" i="69"/>
  <c r="M6" i="69" s="1"/>
  <c r="F5" i="69"/>
  <c r="M5" i="69" s="1"/>
  <c r="F4" i="69"/>
  <c r="M4" i="69" s="1"/>
  <c r="F3" i="69"/>
  <c r="M3" i="69" s="1"/>
  <c r="G4" i="68"/>
  <c r="G3" i="68"/>
  <c r="G5" i="68" s="1"/>
  <c r="L4" i="68"/>
  <c r="L3" i="68"/>
  <c r="N5" i="67"/>
  <c r="N4" i="67"/>
  <c r="N3" i="67"/>
  <c r="G6" i="67"/>
  <c r="E6" i="67" s="1"/>
  <c r="E25" i="48"/>
  <c r="E15" i="43"/>
  <c r="D4" i="43"/>
  <c r="O4" i="61"/>
  <c r="O5" i="61"/>
  <c r="O6" i="61"/>
  <c r="O7" i="61"/>
  <c r="O8" i="61"/>
  <c r="O9" i="61"/>
  <c r="O10" i="61"/>
  <c r="O11" i="61"/>
  <c r="O12" i="61"/>
  <c r="O13" i="61"/>
  <c r="O15" i="61"/>
  <c r="O16" i="61"/>
  <c r="O17" i="61"/>
  <c r="O18" i="61"/>
  <c r="O19" i="61"/>
  <c r="O20" i="61"/>
  <c r="O21" i="61"/>
  <c r="O22" i="61"/>
  <c r="O23" i="61"/>
  <c r="O24" i="61"/>
  <c r="O25" i="61"/>
  <c r="O26" i="61"/>
  <c r="O3" i="61"/>
  <c r="M4" i="65"/>
  <c r="M3" i="65"/>
  <c r="L4" i="65"/>
  <c r="L3" i="65"/>
  <c r="V14" i="59"/>
  <c r="R14" i="59"/>
  <c r="Q4" i="59"/>
  <c r="Q5" i="59"/>
  <c r="Q6" i="59"/>
  <c r="Q7" i="59"/>
  <c r="Q8" i="59"/>
  <c r="Q9" i="59"/>
  <c r="Q10" i="59"/>
  <c r="Q11" i="59"/>
  <c r="Q12" i="59"/>
  <c r="Q3" i="59"/>
  <c r="E27" i="64"/>
  <c r="E19" i="64"/>
  <c r="D27" i="61"/>
  <c r="D14" i="61"/>
  <c r="J27" i="61"/>
  <c r="J14" i="61"/>
  <c r="F27" i="61"/>
  <c r="F14" i="61"/>
  <c r="L27" i="61"/>
  <c r="L14" i="61"/>
  <c r="G27" i="64"/>
  <c r="G19" i="64"/>
  <c r="J24" i="64"/>
  <c r="I24" i="64"/>
  <c r="J23" i="64"/>
  <c r="I23" i="64"/>
  <c r="J22" i="64"/>
  <c r="I22" i="64"/>
  <c r="J21" i="64"/>
  <c r="J27" i="64" s="1"/>
  <c r="H27" i="64" s="1"/>
  <c r="I21" i="64"/>
  <c r="J18" i="64"/>
  <c r="I18" i="64"/>
  <c r="J26" i="64"/>
  <c r="I26" i="64"/>
  <c r="J25" i="64"/>
  <c r="I25" i="64"/>
  <c r="J17" i="64"/>
  <c r="I17" i="64"/>
  <c r="J16" i="64"/>
  <c r="I16" i="64"/>
  <c r="J15" i="64"/>
  <c r="I15" i="64"/>
  <c r="J14" i="64"/>
  <c r="I14" i="64"/>
  <c r="J13" i="64"/>
  <c r="I13" i="64"/>
  <c r="J12" i="64"/>
  <c r="I12" i="64"/>
  <c r="J11" i="64"/>
  <c r="I11" i="64"/>
  <c r="J10" i="64"/>
  <c r="I10" i="64"/>
  <c r="J9" i="64"/>
  <c r="I9" i="64"/>
  <c r="J8" i="64"/>
  <c r="I8" i="64"/>
  <c r="J7" i="64"/>
  <c r="I7" i="64"/>
  <c r="J6" i="64"/>
  <c r="I6" i="64"/>
  <c r="J5" i="64"/>
  <c r="I5" i="64"/>
  <c r="J4" i="64"/>
  <c r="I4" i="64"/>
  <c r="J3" i="64"/>
  <c r="J19" i="64" s="1"/>
  <c r="H19" i="64" s="1"/>
  <c r="I3" i="64"/>
  <c r="V4" i="62" l="1"/>
  <c r="V24" i="62" s="1"/>
  <c r="F43" i="69"/>
  <c r="D43" i="69" s="1"/>
  <c r="O3" i="68"/>
  <c r="E3" i="43"/>
  <c r="N14" i="63"/>
  <c r="M14" i="63"/>
  <c r="N13" i="63"/>
  <c r="M13" i="63"/>
  <c r="N12" i="63"/>
  <c r="M12" i="63"/>
  <c r="M10" i="63"/>
  <c r="H10" i="63"/>
  <c r="N10" i="63" s="1"/>
  <c r="N9" i="63"/>
  <c r="M9" i="63"/>
  <c r="N8" i="63"/>
  <c r="M8" i="63"/>
  <c r="N7" i="63"/>
  <c r="M7" i="63"/>
  <c r="N6" i="63"/>
  <c r="M6" i="63"/>
  <c r="N5" i="63"/>
  <c r="M5" i="63"/>
  <c r="N4" i="63"/>
  <c r="M4" i="63"/>
  <c r="N3" i="63"/>
  <c r="M3" i="63"/>
  <c r="N15" i="63" l="1"/>
  <c r="H15" i="63"/>
  <c r="F15" i="63" s="1"/>
  <c r="N17" i="63" l="1"/>
  <c r="M29" i="49"/>
  <c r="T29" i="49"/>
  <c r="D35" i="49"/>
  <c r="A34" i="49"/>
  <c r="A33" i="49"/>
  <c r="A32" i="49"/>
  <c r="A31" i="49"/>
  <c r="A74" i="49"/>
  <c r="A75" i="49"/>
  <c r="A76" i="49"/>
  <c r="P72" i="49"/>
  <c r="N120" i="56"/>
  <c r="N104" i="56"/>
  <c r="R4" i="56"/>
  <c r="S4" i="56" s="1"/>
  <c r="T4" i="56" s="1"/>
  <c r="R5" i="56"/>
  <c r="S5" i="56" s="1"/>
  <c r="T5" i="56" s="1"/>
  <c r="R6" i="56"/>
  <c r="S6" i="56" s="1"/>
  <c r="T6" i="56" s="1"/>
  <c r="R7" i="56"/>
  <c r="S7" i="56" s="1"/>
  <c r="T7" i="56" s="1"/>
  <c r="R8" i="56"/>
  <c r="S8" i="56" s="1"/>
  <c r="T8" i="56" s="1"/>
  <c r="R9" i="56"/>
  <c r="S9" i="56" s="1"/>
  <c r="T9" i="56" s="1"/>
  <c r="R10" i="56"/>
  <c r="S10" i="56" s="1"/>
  <c r="T10" i="56" s="1"/>
  <c r="R11" i="56"/>
  <c r="S11" i="56" s="1"/>
  <c r="T11" i="56" s="1"/>
  <c r="R12" i="56"/>
  <c r="S12" i="56" s="1"/>
  <c r="T12" i="56" s="1"/>
  <c r="R13" i="56"/>
  <c r="S13" i="56" s="1"/>
  <c r="T13" i="56" s="1"/>
  <c r="R14" i="56"/>
  <c r="S14" i="56" s="1"/>
  <c r="T14" i="56" s="1"/>
  <c r="R15" i="56"/>
  <c r="S15" i="56" s="1"/>
  <c r="T15" i="56" s="1"/>
  <c r="R16" i="56"/>
  <c r="S16" i="56" s="1"/>
  <c r="T16" i="56" s="1"/>
  <c r="R17" i="56"/>
  <c r="S17" i="56" s="1"/>
  <c r="T17" i="56" s="1"/>
  <c r="R18" i="56"/>
  <c r="S18" i="56" s="1"/>
  <c r="T18" i="56" s="1"/>
  <c r="R19" i="56"/>
  <c r="S19" i="56" s="1"/>
  <c r="T19" i="56" s="1"/>
  <c r="R20" i="56"/>
  <c r="S20" i="56" s="1"/>
  <c r="T20" i="56" s="1"/>
  <c r="R21" i="56"/>
  <c r="S21" i="56" s="1"/>
  <c r="T21" i="56" s="1"/>
  <c r="R22" i="56"/>
  <c r="S22" i="56" s="1"/>
  <c r="T22" i="56" s="1"/>
  <c r="R23" i="56"/>
  <c r="S23" i="56" s="1"/>
  <c r="T23" i="56" s="1"/>
  <c r="R24" i="56"/>
  <c r="S24" i="56" s="1"/>
  <c r="T24" i="56" s="1"/>
  <c r="R25" i="56"/>
  <c r="S25" i="56" s="1"/>
  <c r="T25" i="56" s="1"/>
  <c r="R26" i="56"/>
  <c r="S26" i="56" s="1"/>
  <c r="T26" i="56" s="1"/>
  <c r="R27" i="56"/>
  <c r="S27" i="56" s="1"/>
  <c r="T27" i="56" s="1"/>
  <c r="R28" i="56"/>
  <c r="S28" i="56" s="1"/>
  <c r="T28" i="56" s="1"/>
  <c r="R29" i="56"/>
  <c r="S29" i="56" s="1"/>
  <c r="T29" i="56" s="1"/>
  <c r="R30" i="56"/>
  <c r="S30" i="56" s="1"/>
  <c r="T30" i="56" s="1"/>
  <c r="R31" i="56"/>
  <c r="S31" i="56" s="1"/>
  <c r="T31" i="56" s="1"/>
  <c r="R32" i="56"/>
  <c r="S32" i="56" s="1"/>
  <c r="T32" i="56" s="1"/>
  <c r="R33" i="56"/>
  <c r="S33" i="56" s="1"/>
  <c r="T33" i="56" s="1"/>
  <c r="R34" i="56"/>
  <c r="S34" i="56" s="1"/>
  <c r="T34" i="56" s="1"/>
  <c r="R35" i="56"/>
  <c r="S35" i="56" s="1"/>
  <c r="T35" i="56" s="1"/>
  <c r="R36" i="56"/>
  <c r="S36" i="56" s="1"/>
  <c r="T36" i="56" s="1"/>
  <c r="R37" i="56"/>
  <c r="S37" i="56" s="1"/>
  <c r="T37" i="56" s="1"/>
  <c r="R38" i="56"/>
  <c r="S38" i="56" s="1"/>
  <c r="T38" i="56" s="1"/>
  <c r="R39" i="56"/>
  <c r="S39" i="56" s="1"/>
  <c r="T39" i="56" s="1"/>
  <c r="R40" i="56"/>
  <c r="S40" i="56" s="1"/>
  <c r="T40" i="56" s="1"/>
  <c r="R41" i="56"/>
  <c r="S41" i="56" s="1"/>
  <c r="T41" i="56" s="1"/>
  <c r="R42" i="56"/>
  <c r="S42" i="56" s="1"/>
  <c r="T42" i="56" s="1"/>
  <c r="R43" i="56"/>
  <c r="R45" i="56"/>
  <c r="S45" i="56" s="1"/>
  <c r="R46" i="56"/>
  <c r="S46" i="56" s="1"/>
  <c r="T46" i="56" s="1"/>
  <c r="R47" i="56"/>
  <c r="S47" i="56" s="1"/>
  <c r="T47" i="56" s="1"/>
  <c r="R48" i="56"/>
  <c r="S48" i="56" s="1"/>
  <c r="T48" i="56" s="1"/>
  <c r="R49" i="56"/>
  <c r="S49" i="56" s="1"/>
  <c r="T49" i="56" s="1"/>
  <c r="R50" i="56"/>
  <c r="S50" i="56" s="1"/>
  <c r="T50" i="56" s="1"/>
  <c r="R51" i="56"/>
  <c r="S51" i="56" s="1"/>
  <c r="T51" i="56" s="1"/>
  <c r="R52" i="56"/>
  <c r="S52" i="56" s="1"/>
  <c r="T52" i="56" s="1"/>
  <c r="R53" i="56"/>
  <c r="S53" i="56" s="1"/>
  <c r="T53" i="56" s="1"/>
  <c r="R54" i="56"/>
  <c r="S54" i="56" s="1"/>
  <c r="T54" i="56" s="1"/>
  <c r="R55" i="56"/>
  <c r="S55" i="56" s="1"/>
  <c r="T55" i="56" s="1"/>
  <c r="R56" i="56"/>
  <c r="S56" i="56" s="1"/>
  <c r="T56" i="56" s="1"/>
  <c r="R3" i="56"/>
  <c r="S3" i="56" s="1"/>
  <c r="G3" i="62"/>
  <c r="N3" i="62" s="1"/>
  <c r="G4" i="62"/>
  <c r="N4" i="62" s="1"/>
  <c r="G5" i="62"/>
  <c r="N5" i="62" s="1"/>
  <c r="G22" i="62"/>
  <c r="N22" i="62" s="1"/>
  <c r="G6" i="62"/>
  <c r="N6" i="62" s="1"/>
  <c r="G7" i="62"/>
  <c r="N7" i="62" s="1"/>
  <c r="G8" i="62"/>
  <c r="N8" i="62" s="1"/>
  <c r="G9" i="62"/>
  <c r="N9" i="62" s="1"/>
  <c r="G10" i="62"/>
  <c r="N10" i="62" s="1"/>
  <c r="G11" i="62"/>
  <c r="N11" i="62" s="1"/>
  <c r="G12" i="62"/>
  <c r="N12" i="62" s="1"/>
  <c r="G13" i="62"/>
  <c r="N13" i="62" s="1"/>
  <c r="G14" i="62"/>
  <c r="N14" i="62" s="1"/>
  <c r="G15" i="62"/>
  <c r="N15" i="62" s="1"/>
  <c r="G16" i="62"/>
  <c r="N16" i="62" s="1"/>
  <c r="G17" i="62"/>
  <c r="N17" i="62" s="1"/>
  <c r="G18" i="62"/>
  <c r="N18" i="62" s="1"/>
  <c r="G23" i="62"/>
  <c r="N23" i="62" s="1"/>
  <c r="G19" i="62"/>
  <c r="N19" i="62" s="1"/>
  <c r="G20" i="62"/>
  <c r="N20" i="62" s="1"/>
  <c r="G21" i="62"/>
  <c r="N21" i="62" s="1"/>
  <c r="E24" i="62"/>
  <c r="F24" i="62"/>
  <c r="K20" i="62"/>
  <c r="K19" i="62"/>
  <c r="K23" i="62"/>
  <c r="K18" i="62"/>
  <c r="K17" i="62"/>
  <c r="K16" i="62"/>
  <c r="K15" i="62"/>
  <c r="K14" i="62"/>
  <c r="K13" i="62"/>
  <c r="K12" i="62"/>
  <c r="K11" i="62"/>
  <c r="K10" i="62"/>
  <c r="K9" i="62"/>
  <c r="K8" i="62"/>
  <c r="K7" i="62"/>
  <c r="K6" i="62"/>
  <c r="K22" i="62"/>
  <c r="K5" i="62"/>
  <c r="K4" i="62"/>
  <c r="K3" i="62"/>
  <c r="K21" i="62"/>
  <c r="G23" i="49"/>
  <c r="G22" i="49"/>
  <c r="G21" i="49"/>
  <c r="L4" i="61"/>
  <c r="L5" i="61"/>
  <c r="L6" i="61"/>
  <c r="L7" i="61"/>
  <c r="L8" i="61"/>
  <c r="L9" i="61"/>
  <c r="L10" i="61"/>
  <c r="L11" i="61"/>
  <c r="L12" i="61"/>
  <c r="L13" i="61"/>
  <c r="L17" i="61"/>
  <c r="L18" i="61"/>
  <c r="L19" i="61"/>
  <c r="L20" i="61"/>
  <c r="L21" i="61"/>
  <c r="L22" i="61"/>
  <c r="L23" i="61"/>
  <c r="L24" i="61"/>
  <c r="L25" i="61"/>
  <c r="L26" i="61"/>
  <c r="L3" i="61"/>
  <c r="K8" i="61"/>
  <c r="K21" i="61"/>
  <c r="K20" i="61"/>
  <c r="K19" i="61"/>
  <c r="K18" i="61"/>
  <c r="K17" i="61"/>
  <c r="K13" i="61"/>
  <c r="K12" i="61"/>
  <c r="K11" i="61"/>
  <c r="K10" i="61"/>
  <c r="K9" i="61"/>
  <c r="K26" i="61"/>
  <c r="K25" i="61"/>
  <c r="K24" i="61"/>
  <c r="K23" i="61"/>
  <c r="K22" i="61"/>
  <c r="K7" i="61"/>
  <c r="K6" i="61"/>
  <c r="K5" i="61"/>
  <c r="K4" i="61"/>
  <c r="K3" i="61"/>
  <c r="T56" i="57"/>
  <c r="T53" i="57"/>
  <c r="T52" i="57"/>
  <c r="T51" i="57"/>
  <c r="S57" i="56" l="1"/>
  <c r="S58" i="56" s="1"/>
  <c r="T45" i="56"/>
  <c r="S43" i="56"/>
  <c r="S44" i="56" s="1"/>
  <c r="T3" i="56"/>
  <c r="G24" i="62"/>
  <c r="E25" i="62" s="1"/>
  <c r="N24" i="62"/>
  <c r="V51" i="57"/>
  <c r="V57" i="56" l="1"/>
  <c r="V43" i="56"/>
  <c r="M3" i="60"/>
  <c r="F13" i="59"/>
  <c r="F15" i="59" s="1"/>
  <c r="N4" i="59"/>
  <c r="N5" i="59"/>
  <c r="N6" i="59"/>
  <c r="N7" i="59"/>
  <c r="N8" i="59"/>
  <c r="N9" i="59"/>
  <c r="N10" i="59"/>
  <c r="N11" i="59"/>
  <c r="N12" i="59"/>
  <c r="N3" i="59"/>
  <c r="M12" i="59"/>
  <c r="M11" i="59"/>
  <c r="M10" i="59"/>
  <c r="M9" i="59"/>
  <c r="M8" i="59"/>
  <c r="M7" i="59"/>
  <c r="M6" i="59"/>
  <c r="M5" i="59"/>
  <c r="M4" i="59"/>
  <c r="M3" i="59"/>
  <c r="F51" i="57"/>
  <c r="E51" i="57"/>
  <c r="G48" i="57"/>
  <c r="G49" i="57"/>
  <c r="G50" i="57"/>
  <c r="G47" i="57"/>
  <c r="N13" i="59" l="1"/>
  <c r="N15" i="59" s="1"/>
  <c r="G51" i="57"/>
  <c r="G52" i="57" s="1"/>
  <c r="H56" i="57"/>
  <c r="I58" i="57" s="1"/>
  <c r="O51" i="57" l="1"/>
  <c r="O53" i="57" s="1"/>
  <c r="O52" i="57" l="1"/>
  <c r="D28" i="50"/>
  <c r="E28" i="50" s="1"/>
  <c r="D27" i="50"/>
  <c r="E27" i="50" s="1"/>
  <c r="D26" i="50"/>
  <c r="E26" i="50" s="1"/>
  <c r="D25" i="50"/>
  <c r="E25" i="50" s="1"/>
  <c r="D24" i="50"/>
  <c r="E24" i="50" s="1"/>
  <c r="D23" i="50"/>
  <c r="E23" i="50" s="1"/>
  <c r="D22" i="50"/>
  <c r="E22" i="50" s="1"/>
  <c r="D21" i="50"/>
  <c r="E21" i="50" s="1"/>
  <c r="M17" i="50"/>
  <c r="U57" i="53" l="1"/>
  <c r="U58" i="53"/>
  <c r="U59" i="53"/>
  <c r="U60" i="53"/>
  <c r="U61" i="53"/>
  <c r="U62" i="53"/>
  <c r="U63" i="53"/>
  <c r="U64" i="53"/>
  <c r="U65" i="53"/>
  <c r="U66" i="53"/>
  <c r="U67" i="53"/>
  <c r="U68" i="53"/>
  <c r="U69" i="53"/>
  <c r="U70" i="53"/>
  <c r="U71" i="53"/>
  <c r="U56" i="53"/>
  <c r="U4" i="53"/>
  <c r="U5" i="53"/>
  <c r="U6" i="53"/>
  <c r="U7" i="53"/>
  <c r="U8" i="53"/>
  <c r="U9" i="53"/>
  <c r="U10" i="53"/>
  <c r="U11" i="53"/>
  <c r="U12" i="53"/>
  <c r="U13" i="53"/>
  <c r="U14" i="53"/>
  <c r="U15" i="53"/>
  <c r="U16" i="53"/>
  <c r="U17" i="53"/>
  <c r="U18" i="53"/>
  <c r="U19" i="53"/>
  <c r="U20" i="53"/>
  <c r="U21" i="53"/>
  <c r="U22" i="53"/>
  <c r="U23" i="53"/>
  <c r="U24" i="53"/>
  <c r="U25" i="53"/>
  <c r="U26" i="53"/>
  <c r="U28" i="53"/>
  <c r="U29" i="53"/>
  <c r="U30" i="53"/>
  <c r="U31" i="53"/>
  <c r="U32" i="53"/>
  <c r="U33" i="53"/>
  <c r="U34" i="53"/>
  <c r="U35" i="53"/>
  <c r="U36" i="53"/>
  <c r="U37" i="53"/>
  <c r="U38" i="53"/>
  <c r="U39" i="53"/>
  <c r="U40" i="53"/>
  <c r="U41" i="53"/>
  <c r="U42" i="53"/>
  <c r="U43" i="53"/>
  <c r="U44" i="53"/>
  <c r="U45" i="53"/>
  <c r="U46" i="53"/>
  <c r="U47" i="53"/>
  <c r="U48" i="53"/>
  <c r="U49" i="53"/>
  <c r="U50" i="53"/>
  <c r="U51" i="53"/>
  <c r="U52" i="53"/>
  <c r="U53" i="53"/>
  <c r="U3" i="53"/>
  <c r="O11" i="43"/>
  <c r="O12" i="43"/>
  <c r="O13" i="43"/>
  <c r="O10" i="43"/>
  <c r="N11" i="43"/>
  <c r="N12" i="43"/>
  <c r="N13" i="43"/>
  <c r="N10" i="43"/>
  <c r="H24" i="43"/>
  <c r="H25" i="43" s="1"/>
  <c r="H61" i="49"/>
  <c r="H62" i="49" s="1"/>
  <c r="J53" i="49"/>
  <c r="J54" i="49"/>
  <c r="J55" i="49"/>
  <c r="J56" i="49"/>
  <c r="J57" i="49"/>
  <c r="J58" i="49"/>
  <c r="J59" i="49"/>
  <c r="K35" i="48"/>
  <c r="K36" i="48"/>
  <c r="K41" i="48"/>
  <c r="K42" i="48"/>
  <c r="K43" i="48"/>
  <c r="K44" i="48"/>
  <c r="K33" i="48"/>
  <c r="R10" i="48"/>
  <c r="K39" i="48" s="1"/>
  <c r="R11" i="48"/>
  <c r="K37" i="48" s="1"/>
  <c r="R12" i="48"/>
  <c r="K40" i="48" s="1"/>
  <c r="R13" i="48"/>
  <c r="R14" i="48"/>
  <c r="R15" i="48"/>
  <c r="K34" i="48" s="1"/>
  <c r="R16" i="48"/>
  <c r="R17" i="48"/>
  <c r="R18" i="48"/>
  <c r="K38" i="48" s="1"/>
  <c r="R19" i="48"/>
  <c r="R20" i="48"/>
  <c r="R9" i="48"/>
  <c r="M26" i="48"/>
  <c r="I45" i="48"/>
  <c r="I46" i="48" s="1"/>
  <c r="K45" i="48" l="1"/>
  <c r="K46" i="48" s="1"/>
  <c r="U72" i="53"/>
  <c r="T72" i="53" s="1"/>
  <c r="AB72" i="53"/>
  <c r="U54" i="53"/>
  <c r="J21" i="43"/>
  <c r="K21" i="43" s="1"/>
  <c r="J22" i="43"/>
  <c r="K22" i="43" s="1"/>
  <c r="J23" i="43"/>
  <c r="K23" i="43" s="1"/>
  <c r="J20" i="43"/>
  <c r="K20" i="43" s="1"/>
  <c r="O57" i="56"/>
  <c r="O4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3" i="56"/>
  <c r="K24" i="43" l="1"/>
  <c r="K25" i="43" s="1"/>
  <c r="AB54" i="53"/>
  <c r="T54" i="53"/>
  <c r="K61" i="49"/>
  <c r="K62" i="49" s="1"/>
  <c r="Z4" i="53"/>
  <c r="Z5" i="53"/>
  <c r="Z6" i="53"/>
  <c r="Z57" i="53"/>
  <c r="Z7" i="53"/>
  <c r="Z8" i="53"/>
  <c r="Z9" i="53"/>
  <c r="Z58" i="53"/>
  <c r="Z10" i="53"/>
  <c r="Z11" i="53"/>
  <c r="Z12" i="53"/>
  <c r="Z13" i="53"/>
  <c r="Z59" i="53"/>
  <c r="Z14" i="53"/>
  <c r="Z15" i="53"/>
  <c r="Z16" i="53"/>
  <c r="Z60" i="53"/>
  <c r="Z17" i="53"/>
  <c r="Z18" i="53"/>
  <c r="Z19" i="53"/>
  <c r="Z20" i="53"/>
  <c r="Z61" i="53"/>
  <c r="Z21" i="53"/>
  <c r="Z22" i="53"/>
  <c r="Z23" i="53"/>
  <c r="Z62" i="53"/>
  <c r="Z24" i="53"/>
  <c r="Z25" i="53"/>
  <c r="Z26" i="53"/>
  <c r="Z63" i="53"/>
  <c r="Z27" i="53"/>
  <c r="Z28" i="53"/>
  <c r="Z29" i="53"/>
  <c r="Z64" i="53"/>
  <c r="Z30" i="53"/>
  <c r="Z31" i="53"/>
  <c r="Z32" i="53"/>
  <c r="Z65" i="53"/>
  <c r="Z33" i="53"/>
  <c r="Z34" i="53"/>
  <c r="Z35" i="53"/>
  <c r="Z66" i="53"/>
  <c r="Z36" i="53"/>
  <c r="Z37" i="53"/>
  <c r="Z38" i="53"/>
  <c r="Z39" i="53"/>
  <c r="Z40" i="53"/>
  <c r="Z41" i="53"/>
  <c r="Z67" i="53"/>
  <c r="Z42" i="53"/>
  <c r="Z43" i="53"/>
  <c r="Z44" i="53"/>
  <c r="Z45" i="53"/>
  <c r="Z68" i="53"/>
  <c r="Z46" i="53"/>
  <c r="Z47" i="53"/>
  <c r="Z48" i="53"/>
  <c r="Z49" i="53"/>
  <c r="Z50" i="53"/>
  <c r="Z51" i="53"/>
  <c r="Z69" i="53"/>
  <c r="Z70" i="53"/>
  <c r="Z52" i="53"/>
  <c r="Z53" i="53"/>
  <c r="Z56" i="53"/>
  <c r="Z71" i="53"/>
  <c r="Z3" i="53"/>
  <c r="W4" i="53"/>
  <c r="W5" i="53"/>
  <c r="W6" i="53"/>
  <c r="W57" i="53"/>
  <c r="W7" i="53"/>
  <c r="W8" i="53"/>
  <c r="W9" i="53"/>
  <c r="W58" i="53"/>
  <c r="W10" i="53"/>
  <c r="W11" i="53"/>
  <c r="W12" i="53"/>
  <c r="W13" i="53"/>
  <c r="W59" i="53"/>
  <c r="W14" i="53"/>
  <c r="W15" i="53"/>
  <c r="W16" i="53"/>
  <c r="W60" i="53"/>
  <c r="W17" i="53"/>
  <c r="W18" i="53"/>
  <c r="W19" i="53"/>
  <c r="W20" i="53"/>
  <c r="W61" i="53"/>
  <c r="W21" i="53"/>
  <c r="W22" i="53"/>
  <c r="W23" i="53"/>
  <c r="W62" i="53"/>
  <c r="W24" i="53"/>
  <c r="W25" i="53"/>
  <c r="W26" i="53"/>
  <c r="W63" i="53"/>
  <c r="W27" i="53"/>
  <c r="W28" i="53"/>
  <c r="W29" i="53"/>
  <c r="W64" i="53"/>
  <c r="W30" i="53"/>
  <c r="W31" i="53"/>
  <c r="W32" i="53"/>
  <c r="W65" i="53"/>
  <c r="W33" i="53"/>
  <c r="W34" i="53"/>
  <c r="W35" i="53"/>
  <c r="W66" i="53"/>
  <c r="W36" i="53"/>
  <c r="W37" i="53"/>
  <c r="W38" i="53"/>
  <c r="W39" i="53"/>
  <c r="W40" i="53"/>
  <c r="W41" i="53"/>
  <c r="W67" i="53"/>
  <c r="W42" i="53"/>
  <c r="W43" i="53"/>
  <c r="W44" i="53"/>
  <c r="W45" i="53"/>
  <c r="W68" i="53"/>
  <c r="W46" i="53"/>
  <c r="W47" i="53"/>
  <c r="W48" i="53"/>
  <c r="W49" i="53"/>
  <c r="W50" i="53"/>
  <c r="W51" i="53"/>
  <c r="W69" i="53"/>
  <c r="W70" i="53"/>
  <c r="W52" i="53"/>
  <c r="W53" i="53"/>
  <c r="W56" i="53"/>
  <c r="W71" i="53"/>
  <c r="W3" i="53"/>
  <c r="V4" i="53"/>
  <c r="V5" i="53"/>
  <c r="X5" i="53" s="1"/>
  <c r="Y5" i="53" s="1"/>
  <c r="V6" i="53"/>
  <c r="V57" i="53"/>
  <c r="X57" i="53" s="1"/>
  <c r="Y57" i="53" s="1"/>
  <c r="V7" i="53"/>
  <c r="X7" i="53" s="1"/>
  <c r="Y7" i="53" s="1"/>
  <c r="V8" i="53"/>
  <c r="X8" i="53" s="1"/>
  <c r="Y8" i="53" s="1"/>
  <c r="V9" i="53"/>
  <c r="X9" i="53" s="1"/>
  <c r="Y9" i="53" s="1"/>
  <c r="V58" i="53"/>
  <c r="X58" i="53" s="1"/>
  <c r="Y58" i="53" s="1"/>
  <c r="V10" i="53"/>
  <c r="X10" i="53" s="1"/>
  <c r="Y10" i="53" s="1"/>
  <c r="V11" i="53"/>
  <c r="X11" i="53" s="1"/>
  <c r="Y11" i="53" s="1"/>
  <c r="V12" i="53"/>
  <c r="X12" i="53" s="1"/>
  <c r="Y12" i="53" s="1"/>
  <c r="V13" i="53"/>
  <c r="X13" i="53" s="1"/>
  <c r="Y13" i="53" s="1"/>
  <c r="V59" i="53"/>
  <c r="X59" i="53" s="1"/>
  <c r="Y59" i="53" s="1"/>
  <c r="V14" i="53"/>
  <c r="X14" i="53" s="1"/>
  <c r="Y14" i="53" s="1"/>
  <c r="V15" i="53"/>
  <c r="X15" i="53" s="1"/>
  <c r="Y15" i="53" s="1"/>
  <c r="V16" i="53"/>
  <c r="X16" i="53" s="1"/>
  <c r="Y16" i="53" s="1"/>
  <c r="V60" i="53"/>
  <c r="X60" i="53" s="1"/>
  <c r="Y60" i="53" s="1"/>
  <c r="V17" i="53"/>
  <c r="X17" i="53" s="1"/>
  <c r="Y17" i="53" s="1"/>
  <c r="V18" i="53"/>
  <c r="X18" i="53" s="1"/>
  <c r="Y18" i="53" s="1"/>
  <c r="V19" i="53"/>
  <c r="X19" i="53" s="1"/>
  <c r="Y19" i="53" s="1"/>
  <c r="V20" i="53"/>
  <c r="X20" i="53" s="1"/>
  <c r="Y20" i="53" s="1"/>
  <c r="V61" i="53"/>
  <c r="X61" i="53" s="1"/>
  <c r="Y61" i="53" s="1"/>
  <c r="V21" i="53"/>
  <c r="X21" i="53" s="1"/>
  <c r="Y21" i="53" s="1"/>
  <c r="V22" i="53"/>
  <c r="X22" i="53" s="1"/>
  <c r="Y22" i="53" s="1"/>
  <c r="V23" i="53"/>
  <c r="X23" i="53" s="1"/>
  <c r="Y23" i="53" s="1"/>
  <c r="V62" i="53"/>
  <c r="X62" i="53" s="1"/>
  <c r="Y62" i="53" s="1"/>
  <c r="V24" i="53"/>
  <c r="X24" i="53" s="1"/>
  <c r="Y24" i="53" s="1"/>
  <c r="V25" i="53"/>
  <c r="X25" i="53" s="1"/>
  <c r="Y25" i="53" s="1"/>
  <c r="V26" i="53"/>
  <c r="X26" i="53" s="1"/>
  <c r="Y26" i="53" s="1"/>
  <c r="V63" i="53"/>
  <c r="X63" i="53" s="1"/>
  <c r="Y63" i="53" s="1"/>
  <c r="V27" i="53"/>
  <c r="X27" i="53" s="1"/>
  <c r="Y27" i="53" s="1"/>
  <c r="V28" i="53"/>
  <c r="X28" i="53" s="1"/>
  <c r="Y28" i="53" s="1"/>
  <c r="V29" i="53"/>
  <c r="X29" i="53" s="1"/>
  <c r="Y29" i="53" s="1"/>
  <c r="V64" i="53"/>
  <c r="X64" i="53" s="1"/>
  <c r="Y64" i="53" s="1"/>
  <c r="V30" i="53"/>
  <c r="X30" i="53" s="1"/>
  <c r="Y30" i="53" s="1"/>
  <c r="V31" i="53"/>
  <c r="X31" i="53" s="1"/>
  <c r="Y31" i="53" s="1"/>
  <c r="V32" i="53"/>
  <c r="X32" i="53" s="1"/>
  <c r="Y32" i="53" s="1"/>
  <c r="V65" i="53"/>
  <c r="X65" i="53" s="1"/>
  <c r="Y65" i="53" s="1"/>
  <c r="V33" i="53"/>
  <c r="X33" i="53" s="1"/>
  <c r="Y33" i="53" s="1"/>
  <c r="V34" i="53"/>
  <c r="X34" i="53" s="1"/>
  <c r="Y34" i="53" s="1"/>
  <c r="V35" i="53"/>
  <c r="X35" i="53" s="1"/>
  <c r="Y35" i="53" s="1"/>
  <c r="V66" i="53"/>
  <c r="X66" i="53" s="1"/>
  <c r="Y66" i="53" s="1"/>
  <c r="V36" i="53"/>
  <c r="X36" i="53" s="1"/>
  <c r="Y36" i="53" s="1"/>
  <c r="V37" i="53"/>
  <c r="X37" i="53" s="1"/>
  <c r="Y37" i="53" s="1"/>
  <c r="V38" i="53"/>
  <c r="X38" i="53" s="1"/>
  <c r="Y38" i="53" s="1"/>
  <c r="V39" i="53"/>
  <c r="X39" i="53" s="1"/>
  <c r="Y39" i="53" s="1"/>
  <c r="V40" i="53"/>
  <c r="X40" i="53" s="1"/>
  <c r="Y40" i="53" s="1"/>
  <c r="V41" i="53"/>
  <c r="X41" i="53" s="1"/>
  <c r="Y41" i="53" s="1"/>
  <c r="V67" i="53"/>
  <c r="X67" i="53" s="1"/>
  <c r="Y67" i="53" s="1"/>
  <c r="V42" i="53"/>
  <c r="X42" i="53" s="1"/>
  <c r="Y42" i="53" s="1"/>
  <c r="V43" i="53"/>
  <c r="X43" i="53" s="1"/>
  <c r="Y43" i="53" s="1"/>
  <c r="V44" i="53"/>
  <c r="X44" i="53" s="1"/>
  <c r="Y44" i="53" s="1"/>
  <c r="V45" i="53"/>
  <c r="X45" i="53" s="1"/>
  <c r="Y45" i="53" s="1"/>
  <c r="V68" i="53"/>
  <c r="X68" i="53" s="1"/>
  <c r="Y68" i="53" s="1"/>
  <c r="V46" i="53"/>
  <c r="X46" i="53" s="1"/>
  <c r="Y46" i="53" s="1"/>
  <c r="V47" i="53"/>
  <c r="X47" i="53" s="1"/>
  <c r="Y47" i="53" s="1"/>
  <c r="V48" i="53"/>
  <c r="X48" i="53" s="1"/>
  <c r="Y48" i="53" s="1"/>
  <c r="V49" i="53"/>
  <c r="X49" i="53" s="1"/>
  <c r="Y49" i="53" s="1"/>
  <c r="V50" i="53"/>
  <c r="X50" i="53" s="1"/>
  <c r="Y50" i="53" s="1"/>
  <c r="V51" i="53"/>
  <c r="X51" i="53" s="1"/>
  <c r="Y51" i="53" s="1"/>
  <c r="V69" i="53"/>
  <c r="X69" i="53" s="1"/>
  <c r="Y69" i="53" s="1"/>
  <c r="V70" i="53"/>
  <c r="X70" i="53" s="1"/>
  <c r="Y70" i="53" s="1"/>
  <c r="V52" i="53"/>
  <c r="X52" i="53" s="1"/>
  <c r="Y52" i="53" s="1"/>
  <c r="V53" i="53"/>
  <c r="Y53" i="53" s="1"/>
  <c r="V56" i="53"/>
  <c r="Y56" i="53" s="1"/>
  <c r="V71" i="53"/>
  <c r="X71" i="53" s="1"/>
  <c r="Y71" i="53" s="1"/>
  <c r="V72" i="53"/>
  <c r="X72" i="53" s="1"/>
  <c r="Y72" i="53" s="1"/>
  <c r="V73" i="53"/>
  <c r="X73" i="53" s="1"/>
  <c r="Y73" i="53" s="1"/>
  <c r="V3" i="53"/>
  <c r="X3" i="53" l="1"/>
  <c r="Y3" i="53" s="1"/>
  <c r="X6" i="53"/>
  <c r="Y6" i="53" s="1"/>
  <c r="X4" i="53"/>
  <c r="Y4" i="53" s="1"/>
  <c r="H57" i="56" l="1"/>
  <c r="F57" i="56" s="1"/>
  <c r="Q72" i="53"/>
  <c r="Q73" i="53" s="1"/>
  <c r="M18" i="50"/>
  <c r="M44" i="49"/>
  <c r="L46" i="49" s="1"/>
  <c r="M15" i="43"/>
  <c r="M16" i="43" s="1"/>
  <c r="N2" i="1"/>
  <c r="M2" i="1"/>
  <c r="I56" i="56" l="1"/>
  <c r="I55" i="56"/>
  <c r="I54" i="56"/>
  <c r="I42" i="56"/>
  <c r="I41" i="56"/>
  <c r="I40" i="56"/>
  <c r="I39" i="56"/>
  <c r="I53" i="56"/>
  <c r="I38" i="56"/>
  <c r="I37" i="56"/>
  <c r="I36" i="56"/>
  <c r="I35" i="56"/>
  <c r="I52" i="56"/>
  <c r="I34" i="56"/>
  <c r="I33" i="56"/>
  <c r="I32" i="56"/>
  <c r="I31" i="56"/>
  <c r="I51" i="56"/>
  <c r="I30" i="56"/>
  <c r="I29" i="56"/>
  <c r="I28" i="56"/>
  <c r="I27" i="56"/>
  <c r="I50" i="56"/>
  <c r="I26" i="56"/>
  <c r="I25" i="56"/>
  <c r="I24" i="56"/>
  <c r="I23" i="56"/>
  <c r="I49" i="56"/>
  <c r="I22" i="56"/>
  <c r="I21" i="56"/>
  <c r="I20" i="56"/>
  <c r="I19" i="56"/>
  <c r="I48" i="56"/>
  <c r="I18" i="56"/>
  <c r="I17" i="56"/>
  <c r="I16" i="56"/>
  <c r="I15" i="56"/>
  <c r="I47" i="56"/>
  <c r="I14" i="56"/>
  <c r="I13" i="56"/>
  <c r="I12" i="56"/>
  <c r="I11" i="56"/>
  <c r="I46" i="56"/>
  <c r="I10" i="56"/>
  <c r="I9" i="56"/>
  <c r="I8" i="56"/>
  <c r="I7" i="56"/>
  <c r="I45" i="56"/>
  <c r="I6" i="56"/>
  <c r="I5" i="56"/>
  <c r="I4" i="56"/>
  <c r="I3" i="56"/>
  <c r="G51" i="53" l="1"/>
  <c r="G69" i="53"/>
  <c r="G70" i="53"/>
  <c r="G52" i="53"/>
  <c r="G53" i="53"/>
  <c r="G56" i="53"/>
  <c r="G71" i="53"/>
  <c r="G50" i="53"/>
  <c r="D6" i="50"/>
  <c r="D6" i="49"/>
  <c r="D7" i="43"/>
  <c r="G4" i="55"/>
  <c r="G3" i="55"/>
  <c r="D5" i="48"/>
  <c r="E5" i="48" s="1"/>
  <c r="D4" i="48"/>
  <c r="E4" i="48" s="1"/>
  <c r="E4" i="50"/>
  <c r="E2" i="50"/>
  <c r="D5" i="50"/>
  <c r="E5" i="50" s="1"/>
  <c r="D3" i="50"/>
  <c r="E3" i="50" s="1"/>
  <c r="E2" i="48"/>
  <c r="H49" i="53"/>
  <c r="H48" i="53"/>
  <c r="H47" i="53"/>
  <c r="H46" i="53"/>
  <c r="H68" i="53"/>
  <c r="H45" i="53"/>
  <c r="H44" i="53"/>
  <c r="H43" i="53"/>
  <c r="H42" i="53"/>
  <c r="H67" i="53"/>
  <c r="H41" i="53"/>
  <c r="H40" i="53"/>
  <c r="H39" i="53"/>
  <c r="H38" i="53"/>
  <c r="H37" i="53"/>
  <c r="H36" i="53"/>
  <c r="H66" i="53"/>
  <c r="H35" i="53"/>
  <c r="H34" i="53"/>
  <c r="H33" i="53"/>
  <c r="H65" i="53"/>
  <c r="H32" i="53"/>
  <c r="H31" i="53"/>
  <c r="H30" i="53"/>
  <c r="H64" i="53"/>
  <c r="H29" i="53"/>
  <c r="H28" i="53"/>
  <c r="H27" i="53"/>
  <c r="H63" i="53"/>
  <c r="H26" i="53"/>
  <c r="H25" i="53"/>
  <c r="H24" i="53"/>
  <c r="H62" i="53"/>
  <c r="H23" i="53"/>
  <c r="H22" i="53"/>
  <c r="H21" i="53"/>
  <c r="H61" i="53"/>
  <c r="H20" i="53"/>
  <c r="H19" i="53"/>
  <c r="H18" i="53"/>
  <c r="H17" i="53"/>
  <c r="H60" i="53"/>
  <c r="H16" i="53"/>
  <c r="H15" i="53"/>
  <c r="H14" i="53"/>
  <c r="H59" i="53"/>
  <c r="H13" i="53"/>
  <c r="H12" i="53"/>
  <c r="H11" i="53"/>
  <c r="H10" i="53"/>
  <c r="H58" i="53"/>
  <c r="H9" i="53"/>
  <c r="H8" i="53"/>
  <c r="H7" i="53"/>
  <c r="H57" i="53"/>
  <c r="H6" i="53"/>
  <c r="H5" i="53"/>
  <c r="H4" i="53"/>
  <c r="H3" i="53"/>
  <c r="H25" i="28"/>
  <c r="H25" i="2"/>
  <c r="H25" i="10"/>
  <c r="W3" i="41"/>
  <c r="W3" i="10"/>
  <c r="W4" i="41"/>
  <c r="W5" i="41"/>
  <c r="W6" i="41"/>
  <c r="W7" i="41"/>
  <c r="W8" i="41"/>
  <c r="W9" i="41"/>
  <c r="W10" i="41"/>
  <c r="W11" i="41"/>
  <c r="W13" i="41"/>
  <c r="W14" i="41"/>
  <c r="W15" i="41"/>
  <c r="U16" i="1"/>
  <c r="U16" i="47"/>
  <c r="U16" i="2"/>
  <c r="U16" i="3"/>
  <c r="U16" i="4"/>
  <c r="U16" i="5"/>
  <c r="U16" i="6"/>
  <c r="U16" i="7"/>
  <c r="U16" i="8"/>
  <c r="U16" i="10"/>
  <c r="U16" i="12"/>
  <c r="U16" i="9"/>
  <c r="U16" i="14"/>
  <c r="U16" i="16"/>
  <c r="U16" i="19"/>
  <c r="U16" i="15"/>
  <c r="U16" i="18"/>
  <c r="U16" i="17"/>
  <c r="U16" i="20"/>
  <c r="U16" i="21"/>
  <c r="U16" i="35"/>
  <c r="U16" i="24"/>
  <c r="U16" i="37"/>
  <c r="U16" i="28"/>
  <c r="U16" i="29"/>
  <c r="U16" i="30"/>
  <c r="U16" i="42"/>
  <c r="U16" i="32"/>
  <c r="U16" i="41"/>
  <c r="U16" i="39"/>
  <c r="U16" i="44"/>
  <c r="U16" i="45"/>
  <c r="S8" i="43"/>
  <c r="U16" i="49"/>
  <c r="U16" i="51"/>
  <c r="U16" i="46"/>
  <c r="U13" i="1"/>
  <c r="U13" i="47"/>
  <c r="U13" i="2"/>
  <c r="U13" i="3"/>
  <c r="U13" i="4"/>
  <c r="U13" i="5"/>
  <c r="U13" i="6"/>
  <c r="U13" i="7"/>
  <c r="U13" i="8"/>
  <c r="U13" i="10"/>
  <c r="U13" i="11"/>
  <c r="U13" i="12"/>
  <c r="U13" i="9"/>
  <c r="U13" i="14"/>
  <c r="U13" i="16"/>
  <c r="U13" i="19"/>
  <c r="U13" i="15"/>
  <c r="U13" i="18"/>
  <c r="U13" i="17"/>
  <c r="U13" i="35"/>
  <c r="U13" i="24"/>
  <c r="U13" i="37"/>
  <c r="U13" i="28"/>
  <c r="U13" i="29"/>
  <c r="U13" i="30"/>
  <c r="U13" i="32"/>
  <c r="U13" i="41"/>
  <c r="U13" i="39"/>
  <c r="U13" i="44"/>
  <c r="U13" i="45"/>
  <c r="S5" i="43"/>
  <c r="U13" i="49"/>
  <c r="U13" i="51"/>
  <c r="U13" i="46"/>
  <c r="V56" i="1"/>
  <c r="V56" i="47"/>
  <c r="V56" i="2"/>
  <c r="V56" i="3"/>
  <c r="V56" i="4"/>
  <c r="V56" i="5"/>
  <c r="V56" i="6"/>
  <c r="V56" i="7"/>
  <c r="V56" i="8"/>
  <c r="V56" i="10"/>
  <c r="V56" i="11"/>
  <c r="V56" i="12"/>
  <c r="V56" i="9"/>
  <c r="V56" i="14"/>
  <c r="V56" i="16"/>
  <c r="V56" i="19"/>
  <c r="V56" i="15"/>
  <c r="V56" i="18"/>
  <c r="V56" i="17"/>
  <c r="V56" i="20"/>
  <c r="V56" i="21"/>
  <c r="V56" i="34"/>
  <c r="V56" i="35"/>
  <c r="V56" i="24"/>
  <c r="V56" i="37"/>
  <c r="V56" i="28"/>
  <c r="V56" i="29"/>
  <c r="V56" i="30"/>
  <c r="V56" i="42"/>
  <c r="V56" i="32"/>
  <c r="V56" i="41"/>
  <c r="V56" i="39"/>
  <c r="V56" i="44"/>
  <c r="V56" i="45"/>
  <c r="U60" i="48"/>
  <c r="T42" i="43"/>
  <c r="V80" i="49"/>
  <c r="V56" i="50"/>
  <c r="V56" i="51"/>
  <c r="V56" i="46"/>
  <c r="V52" i="1"/>
  <c r="V52" i="47"/>
  <c r="V52" i="2"/>
  <c r="V52" i="3"/>
  <c r="V52" i="4"/>
  <c r="V52" i="5"/>
  <c r="V52" i="6"/>
  <c r="V52" i="7"/>
  <c r="V52" i="8"/>
  <c r="V52" i="10"/>
  <c r="V52" i="11"/>
  <c r="V52" i="12"/>
  <c r="V52" i="9"/>
  <c r="V52" i="14"/>
  <c r="V52" i="16"/>
  <c r="V52" i="19"/>
  <c r="V52" i="15"/>
  <c r="V52" i="18"/>
  <c r="V52" i="17"/>
  <c r="V52" i="20"/>
  <c r="V52" i="21"/>
  <c r="V52" i="34"/>
  <c r="V52" i="35"/>
  <c r="V52" i="24"/>
  <c r="V52" i="37"/>
  <c r="V52" i="28"/>
  <c r="V52" i="29"/>
  <c r="V52" i="30"/>
  <c r="V52" i="42"/>
  <c r="V52" i="32"/>
  <c r="V52" i="39"/>
  <c r="V52" i="45"/>
  <c r="U56" i="48"/>
  <c r="T38" i="43"/>
  <c r="V76" i="49"/>
  <c r="V52" i="50"/>
  <c r="V52" i="51"/>
  <c r="V52" i="46"/>
  <c r="I57" i="6"/>
  <c r="I57" i="7"/>
  <c r="I57" i="8"/>
  <c r="I57" i="10"/>
  <c r="I57" i="9"/>
  <c r="I56" i="1"/>
  <c r="I57" i="1" s="1"/>
  <c r="I56" i="47"/>
  <c r="I57" i="47" s="1"/>
  <c r="I56" i="2"/>
  <c r="I57" i="2" s="1"/>
  <c r="I56" i="3"/>
  <c r="I57" i="3" s="1"/>
  <c r="I56" i="4"/>
  <c r="I57" i="4" s="1"/>
  <c r="I56" i="5"/>
  <c r="I57" i="5" s="1"/>
  <c r="I56" i="6"/>
  <c r="I56" i="7"/>
  <c r="I56" i="8"/>
  <c r="I56" i="10"/>
  <c r="I56" i="11"/>
  <c r="I57" i="11" s="1"/>
  <c r="I56" i="12"/>
  <c r="I57" i="12" s="1"/>
  <c r="I56" i="9"/>
  <c r="I56" i="14"/>
  <c r="I57" i="14" s="1"/>
  <c r="I56" i="19"/>
  <c r="I57" i="19" s="1"/>
  <c r="I56" i="15"/>
  <c r="I57" i="15" s="1"/>
  <c r="I56" i="18"/>
  <c r="I57" i="18" s="1"/>
  <c r="I56" i="17"/>
  <c r="I57" i="17" s="1"/>
  <c r="I56" i="20"/>
  <c r="I57" i="20" s="1"/>
  <c r="I56" i="21"/>
  <c r="I57" i="21" s="1"/>
  <c r="I56" i="35"/>
  <c r="I57" i="35" s="1"/>
  <c r="I56" i="24"/>
  <c r="I57" i="24" s="1"/>
  <c r="I56" i="37"/>
  <c r="I57" i="37" s="1"/>
  <c r="I56" i="28"/>
  <c r="I57" i="28" s="1"/>
  <c r="I56" i="29"/>
  <c r="I57" i="29" s="1"/>
  <c r="I56" i="30"/>
  <c r="I57" i="30" s="1"/>
  <c r="I56" i="42"/>
  <c r="I57" i="42" s="1"/>
  <c r="I56" i="32"/>
  <c r="I57" i="32" s="1"/>
  <c r="I56" i="41"/>
  <c r="I57" i="41" s="1"/>
  <c r="I56" i="39"/>
  <c r="I57" i="39" s="1"/>
  <c r="I56" i="45"/>
  <c r="I57" i="45" s="1"/>
  <c r="I60" i="48"/>
  <c r="I61" i="48" s="1"/>
  <c r="G42" i="43"/>
  <c r="G43" i="43" s="1"/>
  <c r="I80" i="49"/>
  <c r="I81" i="49" s="1"/>
  <c r="I56" i="50"/>
  <c r="I57" i="50" s="1"/>
  <c r="I56" i="51"/>
  <c r="I57" i="51" s="1"/>
  <c r="I56" i="46"/>
  <c r="I57" i="46" s="1"/>
  <c r="I53" i="21"/>
  <c r="I53" i="35"/>
  <c r="I53" i="24"/>
  <c r="I53" i="29"/>
  <c r="I52" i="1"/>
  <c r="I53" i="1" s="1"/>
  <c r="I52" i="47"/>
  <c r="I53" i="47" s="1"/>
  <c r="I52" i="2"/>
  <c r="I53" i="2" s="1"/>
  <c r="I52" i="3"/>
  <c r="I53" i="3" s="1"/>
  <c r="I52" i="4"/>
  <c r="I53" i="4" s="1"/>
  <c r="I52" i="5"/>
  <c r="I53" i="5" s="1"/>
  <c r="I52" i="6"/>
  <c r="I53" i="6" s="1"/>
  <c r="I52" i="7"/>
  <c r="I53" i="7" s="1"/>
  <c r="I52" i="8"/>
  <c r="I53" i="8" s="1"/>
  <c r="I52" i="10"/>
  <c r="I53" i="10" s="1"/>
  <c r="I52" i="11"/>
  <c r="I53" i="11" s="1"/>
  <c r="I52" i="12"/>
  <c r="I53" i="12" s="1"/>
  <c r="I52" i="9"/>
  <c r="I53" i="9" s="1"/>
  <c r="I52" i="14"/>
  <c r="I53" i="14" s="1"/>
  <c r="I52" i="19"/>
  <c r="I53" i="19" s="1"/>
  <c r="I52" i="15"/>
  <c r="I53" i="15" s="1"/>
  <c r="I52" i="18"/>
  <c r="I53" i="18" s="1"/>
  <c r="I52" i="17"/>
  <c r="I53" i="17" s="1"/>
  <c r="I52" i="20"/>
  <c r="I53" i="20" s="1"/>
  <c r="I52" i="21"/>
  <c r="I52" i="35"/>
  <c r="I52" i="24"/>
  <c r="I52" i="28"/>
  <c r="I53" i="28" s="1"/>
  <c r="I52" i="29"/>
  <c r="I52" i="30"/>
  <c r="I53" i="30" s="1"/>
  <c r="I52" i="42"/>
  <c r="I53" i="42" s="1"/>
  <c r="I52" i="32"/>
  <c r="I53" i="32" s="1"/>
  <c r="I52" i="41"/>
  <c r="I53" i="41" s="1"/>
  <c r="I52" i="39"/>
  <c r="I53" i="39" s="1"/>
  <c r="I52" i="45"/>
  <c r="I53" i="45" s="1"/>
  <c r="I56" i="48"/>
  <c r="I57" i="48" s="1"/>
  <c r="G38" i="43"/>
  <c r="G39" i="43" s="1"/>
  <c r="I76" i="49"/>
  <c r="I77" i="49" s="1"/>
  <c r="I52" i="50"/>
  <c r="I53" i="50" s="1"/>
  <c r="I52" i="51"/>
  <c r="I53" i="51" s="1"/>
  <c r="I52" i="46"/>
  <c r="I53" i="46" s="1"/>
  <c r="X40" i="30"/>
  <c r="Q40" i="30"/>
  <c r="W46" i="41"/>
  <c r="O46" i="41"/>
  <c r="W45" i="41"/>
  <c r="O45" i="41"/>
  <c r="W55" i="41"/>
  <c r="O55" i="41"/>
  <c r="W54" i="41"/>
  <c r="O54" i="41"/>
  <c r="W44" i="41"/>
  <c r="O44" i="41"/>
  <c r="W43" i="41"/>
  <c r="O43" i="41"/>
  <c r="W42" i="41"/>
  <c r="O42" i="41"/>
  <c r="W41" i="41"/>
  <c r="O41" i="41"/>
  <c r="W40" i="41"/>
  <c r="O40" i="41"/>
  <c r="O45" i="44"/>
  <c r="I45" i="44"/>
  <c r="O55" i="44"/>
  <c r="I55" i="44"/>
  <c r="O54" i="44"/>
  <c r="I54" i="44"/>
  <c r="O44" i="44"/>
  <c r="I44" i="44"/>
  <c r="O43" i="44"/>
  <c r="I43" i="44"/>
  <c r="O42" i="44"/>
  <c r="I42" i="44"/>
  <c r="O41" i="44"/>
  <c r="I41" i="44"/>
  <c r="O40" i="44"/>
  <c r="I40" i="44"/>
  <c r="V36" i="46"/>
  <c r="T36" i="46"/>
  <c r="E5" i="43"/>
  <c r="E6" i="43"/>
  <c r="E4" i="43"/>
  <c r="E3" i="48"/>
  <c r="E2" i="49"/>
  <c r="E4" i="49"/>
  <c r="E5" i="49"/>
  <c r="E3" i="49"/>
  <c r="C6" i="49"/>
  <c r="C6" i="50"/>
  <c r="C7" i="43"/>
  <c r="C6" i="48"/>
  <c r="E6" i="48" l="1"/>
  <c r="D6" i="48"/>
  <c r="G72" i="53"/>
  <c r="I56" i="44"/>
  <c r="I57" i="44" s="1"/>
  <c r="F9" i="51"/>
  <c r="D9" i="51" s="1"/>
  <c r="J8" i="51"/>
  <c r="G8" i="51"/>
  <c r="G9" i="51"/>
  <c r="I9" i="51" s="1"/>
  <c r="F7" i="51"/>
  <c r="D7" i="51" s="1"/>
  <c r="D11" i="51" s="1"/>
  <c r="J6" i="51"/>
  <c r="G6" i="51"/>
  <c r="J5" i="51"/>
  <c r="G5" i="51"/>
  <c r="J4" i="51"/>
  <c r="G4" i="51"/>
  <c r="J3" i="51"/>
  <c r="G3" i="51"/>
  <c r="N15" i="46"/>
  <c r="F15" i="46"/>
  <c r="G15" i="46" s="1"/>
  <c r="N14" i="46"/>
  <c r="F14" i="46"/>
  <c r="N12" i="46"/>
  <c r="F12" i="46"/>
  <c r="G12" i="46" s="1"/>
  <c r="N11" i="46"/>
  <c r="F11" i="46"/>
  <c r="G11" i="46" s="1"/>
  <c r="N10" i="46"/>
  <c r="F10" i="46"/>
  <c r="G10" i="46" s="1"/>
  <c r="N9" i="46"/>
  <c r="F9" i="46"/>
  <c r="G9" i="46" s="1"/>
  <c r="N8" i="46"/>
  <c r="F8" i="46"/>
  <c r="G8" i="46" s="1"/>
  <c r="N7" i="46"/>
  <c r="F7" i="46"/>
  <c r="G7" i="46" s="1"/>
  <c r="N6" i="46"/>
  <c r="F6" i="46"/>
  <c r="G6" i="46" s="1"/>
  <c r="N5" i="46"/>
  <c r="F5" i="46"/>
  <c r="G5" i="46" s="1"/>
  <c r="N4" i="46"/>
  <c r="F4" i="46"/>
  <c r="G4" i="46" s="1"/>
  <c r="N3" i="46"/>
  <c r="F3" i="46"/>
  <c r="G3" i="46" s="1"/>
  <c r="F16" i="46" l="1"/>
  <c r="G7" i="51"/>
  <c r="I7" i="51" s="1"/>
  <c r="F13" i="46"/>
  <c r="G13" i="46"/>
  <c r="G14" i="46"/>
  <c r="G16" i="46" s="1"/>
  <c r="D13" i="46" l="1"/>
  <c r="F18" i="46"/>
  <c r="V30" i="44"/>
  <c r="V46" i="44" s="1"/>
  <c r="T30" i="44"/>
  <c r="F10" i="45"/>
  <c r="D10" i="45" s="1"/>
  <c r="N9" i="45"/>
  <c r="G9" i="45"/>
  <c r="N8" i="45"/>
  <c r="G8" i="45"/>
  <c r="N7" i="45"/>
  <c r="G7" i="45"/>
  <c r="N6" i="45"/>
  <c r="G6" i="45"/>
  <c r="N5" i="45"/>
  <c r="G5" i="45"/>
  <c r="N4" i="45"/>
  <c r="G4" i="45"/>
  <c r="N3" i="45"/>
  <c r="G3" i="45"/>
  <c r="S30" i="44"/>
  <c r="S46" i="44" s="1"/>
  <c r="Q46" i="44" s="1"/>
  <c r="F30" i="44"/>
  <c r="O29" i="44"/>
  <c r="I29" i="44"/>
  <c r="O28" i="44"/>
  <c r="I28" i="44"/>
  <c r="O27" i="44"/>
  <c r="I27" i="44"/>
  <c r="O26" i="44"/>
  <c r="I26" i="44"/>
  <c r="O25" i="44"/>
  <c r="I25" i="44"/>
  <c r="O24" i="44"/>
  <c r="I24" i="44"/>
  <c r="O23" i="44"/>
  <c r="I23" i="44"/>
  <c r="O22" i="44"/>
  <c r="I22" i="44"/>
  <c r="O21" i="44"/>
  <c r="I21" i="44"/>
  <c r="O20" i="44"/>
  <c r="O19" i="44"/>
  <c r="O18" i="44"/>
  <c r="I18" i="44"/>
  <c r="O17" i="44"/>
  <c r="I17" i="44"/>
  <c r="O16" i="44"/>
  <c r="I16" i="44"/>
  <c r="O15" i="44"/>
  <c r="I15" i="44"/>
  <c r="O14" i="44"/>
  <c r="I14" i="44"/>
  <c r="O13" i="44"/>
  <c r="I13" i="44"/>
  <c r="O12" i="44"/>
  <c r="I12" i="44"/>
  <c r="O11" i="44"/>
  <c r="I11" i="44"/>
  <c r="O10" i="44"/>
  <c r="I10" i="44"/>
  <c r="O9" i="44"/>
  <c r="I9" i="44"/>
  <c r="O8" i="44"/>
  <c r="I8" i="44"/>
  <c r="O7" i="44"/>
  <c r="I7" i="44"/>
  <c r="O6" i="44"/>
  <c r="I6" i="44"/>
  <c r="O5" i="44"/>
  <c r="I5" i="44"/>
  <c r="O4" i="44"/>
  <c r="I4" i="44"/>
  <c r="O3" i="44"/>
  <c r="I3" i="44"/>
  <c r="AC3" i="34"/>
  <c r="AC4" i="34"/>
  <c r="AC5" i="34"/>
  <c r="AC6" i="34"/>
  <c r="AC7" i="34"/>
  <c r="AC8" i="34"/>
  <c r="AC9" i="34"/>
  <c r="AC10" i="34"/>
  <c r="AC11" i="34"/>
  <c r="AC12" i="34"/>
  <c r="AC13" i="34"/>
  <c r="AC14" i="34"/>
  <c r="AC15" i="34"/>
  <c r="AC16" i="34"/>
  <c r="AC17" i="34"/>
  <c r="AC18" i="34"/>
  <c r="AC19" i="34"/>
  <c r="AC20" i="34"/>
  <c r="AC21" i="34"/>
  <c r="AC22" i="34"/>
  <c r="AC23" i="34"/>
  <c r="AC24" i="34"/>
  <c r="AC25" i="34"/>
  <c r="AC26" i="34"/>
  <c r="AC27" i="34"/>
  <c r="AC28" i="34"/>
  <c r="AC29" i="34"/>
  <c r="AC30" i="34"/>
  <c r="AC31" i="34"/>
  <c r="AC32" i="34"/>
  <c r="AC33" i="34"/>
  <c r="AC34" i="34"/>
  <c r="AC35" i="34"/>
  <c r="AC36" i="34"/>
  <c r="AC37" i="34"/>
  <c r="AC38" i="34"/>
  <c r="AC39" i="34"/>
  <c r="AC40" i="34"/>
  <c r="AC41" i="34"/>
  <c r="AC42" i="34"/>
  <c r="AC43" i="34"/>
  <c r="AC44" i="34"/>
  <c r="AC54" i="34"/>
  <c r="AC55" i="34"/>
  <c r="AC45" i="34"/>
  <c r="AC46" i="34"/>
  <c r="AC47" i="34"/>
  <c r="AC48" i="34"/>
  <c r="AC49" i="34"/>
  <c r="AC50" i="34"/>
  <c r="AC51" i="34"/>
  <c r="AC56" i="34"/>
  <c r="AC57" i="34"/>
  <c r="AC58" i="34"/>
  <c r="AC59" i="34"/>
  <c r="AC60" i="34"/>
  <c r="AC61" i="34"/>
  <c r="AC62" i="34"/>
  <c r="AC63" i="34"/>
  <c r="AC64" i="34"/>
  <c r="AC65" i="34"/>
  <c r="AC66" i="34"/>
  <c r="AC67" i="34"/>
  <c r="AC68" i="34"/>
  <c r="AC69" i="34"/>
  <c r="AC70" i="34"/>
  <c r="AC71" i="34"/>
  <c r="AC72" i="34"/>
  <c r="AC73" i="34"/>
  <c r="AC74" i="34"/>
  <c r="AC75" i="34"/>
  <c r="AC76" i="34"/>
  <c r="AC77" i="34"/>
  <c r="AC78" i="34"/>
  <c r="AC79" i="34"/>
  <c r="AC80" i="34"/>
  <c r="AC81" i="34"/>
  <c r="AC82" i="34"/>
  <c r="AC83" i="34"/>
  <c r="AC84" i="34"/>
  <c r="AC85" i="34"/>
  <c r="AC86" i="34"/>
  <c r="AC87" i="34"/>
  <c r="AC88" i="34"/>
  <c r="AC89" i="34"/>
  <c r="AC90" i="34"/>
  <c r="AC91" i="34"/>
  <c r="AC92" i="34"/>
  <c r="AC93" i="34"/>
  <c r="AC94" i="34"/>
  <c r="AC95" i="34"/>
  <c r="AC96" i="34"/>
  <c r="AC97" i="34"/>
  <c r="AC98" i="34"/>
  <c r="AC99" i="34"/>
  <c r="AC100" i="34"/>
  <c r="AC101" i="34"/>
  <c r="AC102" i="34"/>
  <c r="AC103" i="34"/>
  <c r="AC104" i="34"/>
  <c r="AC105" i="34"/>
  <c r="AC106" i="34"/>
  <c r="AC107" i="34"/>
  <c r="AC108" i="34"/>
  <c r="AC109" i="34"/>
  <c r="AC110" i="34"/>
  <c r="AC111" i="34"/>
  <c r="AC112" i="34"/>
  <c r="AC113" i="34"/>
  <c r="AC114" i="34"/>
  <c r="AC115" i="34"/>
  <c r="AC116" i="34"/>
  <c r="AC117" i="34"/>
  <c r="AC118" i="34"/>
  <c r="AC119" i="34"/>
  <c r="AC120" i="34"/>
  <c r="AC121" i="34"/>
  <c r="AC122" i="34"/>
  <c r="AC123" i="34"/>
  <c r="AC124" i="34"/>
  <c r="AC125" i="34"/>
  <c r="AC126" i="34"/>
  <c r="AC127" i="34"/>
  <c r="AC128" i="34"/>
  <c r="AC129" i="34"/>
  <c r="AC130" i="34"/>
  <c r="AC131" i="34"/>
  <c r="AC132" i="34"/>
  <c r="AC133" i="34"/>
  <c r="AC134" i="34"/>
  <c r="AC135" i="34"/>
  <c r="AC136" i="34"/>
  <c r="AC137" i="34"/>
  <c r="AC138" i="34"/>
  <c r="AC139" i="34"/>
  <c r="AC140" i="34"/>
  <c r="AC141" i="34"/>
  <c r="AC142" i="34"/>
  <c r="AC143" i="34"/>
  <c r="AC144" i="34"/>
  <c r="AC145" i="34"/>
  <c r="AC146" i="34"/>
  <c r="AC147" i="34"/>
  <c r="AC148" i="34"/>
  <c r="AC149" i="34"/>
  <c r="AC150" i="34"/>
  <c r="AC151" i="34"/>
  <c r="AC152" i="34"/>
  <c r="AC153" i="34"/>
  <c r="AC154" i="34"/>
  <c r="AC155" i="34"/>
  <c r="AC2" i="34"/>
  <c r="V4" i="21"/>
  <c r="V5" i="21"/>
  <c r="V6" i="21"/>
  <c r="V7" i="21"/>
  <c r="V8" i="21"/>
  <c r="V9" i="21"/>
  <c r="V10" i="21"/>
  <c r="V3" i="21"/>
  <c r="V4" i="14"/>
  <c r="V5" i="14"/>
  <c r="V6" i="14"/>
  <c r="V7" i="14"/>
  <c r="V8" i="14"/>
  <c r="V9" i="14"/>
  <c r="V10" i="14"/>
  <c r="V11" i="14"/>
  <c r="V12" i="14"/>
  <c r="V3" i="14"/>
  <c r="V3" i="11"/>
  <c r="V4" i="11"/>
  <c r="V5" i="11"/>
  <c r="V6" i="11"/>
  <c r="V7" i="11"/>
  <c r="V8" i="11"/>
  <c r="V9" i="11"/>
  <c r="V10" i="11"/>
  <c r="V11" i="11"/>
  <c r="V12" i="11"/>
  <c r="V2" i="11"/>
  <c r="AB3" i="35"/>
  <c r="AB4" i="35"/>
  <c r="AB5" i="35"/>
  <c r="AB6" i="35"/>
  <c r="AB7" i="35"/>
  <c r="AB8" i="35"/>
  <c r="AB9" i="35"/>
  <c r="AB10" i="35"/>
  <c r="AB11" i="35"/>
  <c r="AB12" i="35"/>
  <c r="AB13" i="35"/>
  <c r="AB14" i="35"/>
  <c r="AB15" i="35"/>
  <c r="AB16" i="35"/>
  <c r="AB17" i="35"/>
  <c r="AB18" i="35"/>
  <c r="AB19" i="35"/>
  <c r="AB20" i="35"/>
  <c r="AB21" i="35"/>
  <c r="AB22" i="35"/>
  <c r="AB23" i="35"/>
  <c r="AB24" i="35"/>
  <c r="AB25" i="35"/>
  <c r="AB26" i="35"/>
  <c r="AB27" i="35"/>
  <c r="AB28" i="35"/>
  <c r="AB29" i="35"/>
  <c r="AB30" i="35"/>
  <c r="AB31" i="35"/>
  <c r="AB32" i="35"/>
  <c r="AB33" i="35"/>
  <c r="AB34" i="35"/>
  <c r="AB35" i="35"/>
  <c r="AB36" i="35"/>
  <c r="AB37" i="35"/>
  <c r="AB38" i="35"/>
  <c r="AB39" i="35"/>
  <c r="AB40" i="35"/>
  <c r="AB41" i="35"/>
  <c r="AB42" i="35"/>
  <c r="AB43" i="35"/>
  <c r="AB44" i="35"/>
  <c r="AB54" i="35"/>
  <c r="AB55" i="35"/>
  <c r="AB45" i="35"/>
  <c r="AB46" i="35"/>
  <c r="AB47" i="35"/>
  <c r="AB48" i="35"/>
  <c r="AB49" i="35"/>
  <c r="AB50" i="35"/>
  <c r="AB51" i="35"/>
  <c r="AB56" i="35"/>
  <c r="AB57" i="35"/>
  <c r="AB58" i="35"/>
  <c r="AB59" i="35"/>
  <c r="AB60" i="35"/>
  <c r="AB61" i="35"/>
  <c r="AB62" i="35"/>
  <c r="AB63" i="35"/>
  <c r="AB64" i="35"/>
  <c r="AB65" i="35"/>
  <c r="AB66" i="35"/>
  <c r="AB67" i="35"/>
  <c r="AB68" i="35"/>
  <c r="AB69" i="35"/>
  <c r="AB70" i="35"/>
  <c r="AB71" i="35"/>
  <c r="AB72" i="35"/>
  <c r="AB73" i="35"/>
  <c r="AB74" i="35"/>
  <c r="AB75" i="35"/>
  <c r="AB76" i="35"/>
  <c r="AB77" i="35"/>
  <c r="AB78" i="35"/>
  <c r="AB79" i="35"/>
  <c r="AB80" i="35"/>
  <c r="AB81" i="35"/>
  <c r="AB82" i="35"/>
  <c r="AB83" i="35"/>
  <c r="AB84" i="35"/>
  <c r="AB85" i="35"/>
  <c r="AB86" i="35"/>
  <c r="AB87" i="35"/>
  <c r="AB88" i="35"/>
  <c r="AB89" i="35"/>
  <c r="AB90" i="35"/>
  <c r="AB91" i="35"/>
  <c r="AB92" i="35"/>
  <c r="AB93" i="35"/>
  <c r="AB94" i="35"/>
  <c r="AB95" i="35"/>
  <c r="AB96" i="35"/>
  <c r="AB97" i="35"/>
  <c r="AB98" i="35"/>
  <c r="AB99" i="35"/>
  <c r="AB100" i="35"/>
  <c r="AB101" i="35"/>
  <c r="AB102" i="35"/>
  <c r="AB103" i="35"/>
  <c r="AB104" i="35"/>
  <c r="AB105" i="35"/>
  <c r="AB106" i="35"/>
  <c r="AB107" i="35"/>
  <c r="AB108" i="35"/>
  <c r="AB109" i="35"/>
  <c r="AB110" i="35"/>
  <c r="AB111" i="35"/>
  <c r="AB112" i="35"/>
  <c r="AB2" i="35"/>
  <c r="Y5" i="30"/>
  <c r="Y6" i="30"/>
  <c r="Y7" i="30"/>
  <c r="Y8" i="30"/>
  <c r="Y9" i="30"/>
  <c r="Y10" i="30"/>
  <c r="Y11" i="30"/>
  <c r="Y12" i="30"/>
  <c r="Y13" i="30"/>
  <c r="Y14" i="30"/>
  <c r="Y15" i="30"/>
  <c r="Y16" i="30"/>
  <c r="Y17" i="30"/>
  <c r="Y4" i="30"/>
  <c r="Y3" i="42"/>
  <c r="Y4" i="42"/>
  <c r="Y5" i="42"/>
  <c r="Y6" i="42"/>
  <c r="Y7" i="42"/>
  <c r="Y8" i="42"/>
  <c r="Y9" i="42"/>
  <c r="Y10" i="42"/>
  <c r="Y11" i="42"/>
  <c r="Y12" i="42"/>
  <c r="Y13" i="42"/>
  <c r="Y14" i="42"/>
  <c r="Y15" i="42"/>
  <c r="Y16" i="42"/>
  <c r="Y17" i="42"/>
  <c r="Y18" i="42"/>
  <c r="Y19" i="42"/>
  <c r="Y20" i="42"/>
  <c r="Y21" i="42"/>
  <c r="Y2" i="42"/>
  <c r="W17" i="41"/>
  <c r="W18" i="41"/>
  <c r="W19" i="41"/>
  <c r="W20" i="41"/>
  <c r="W21" i="41"/>
  <c r="W22" i="41"/>
  <c r="W23" i="41"/>
  <c r="W24" i="41"/>
  <c r="W25" i="41"/>
  <c r="W26" i="41"/>
  <c r="W27" i="41"/>
  <c r="W28" i="41"/>
  <c r="W29" i="41"/>
  <c r="W30" i="41"/>
  <c r="V31" i="41"/>
  <c r="V47" i="41" s="1"/>
  <c r="V52" i="41" s="1"/>
  <c r="P22" i="42"/>
  <c r="P40" i="42" s="1"/>
  <c r="Q21" i="42"/>
  <c r="Q20" i="42"/>
  <c r="G19" i="42"/>
  <c r="Q19" i="42" s="1"/>
  <c r="Q18" i="42"/>
  <c r="Q17" i="42"/>
  <c r="Q16" i="42"/>
  <c r="Q15" i="42"/>
  <c r="Q14" i="42"/>
  <c r="Q13" i="42"/>
  <c r="Q12" i="42"/>
  <c r="Q11" i="42"/>
  <c r="G10" i="42"/>
  <c r="Q10" i="42" s="1"/>
  <c r="Q9" i="42"/>
  <c r="G8" i="42"/>
  <c r="Q8" i="42" s="1"/>
  <c r="E8" i="42"/>
  <c r="Q7" i="42"/>
  <c r="Q6" i="42"/>
  <c r="Q5" i="42"/>
  <c r="G4" i="42"/>
  <c r="Q4" i="42" s="1"/>
  <c r="E4" i="42"/>
  <c r="Q3" i="42"/>
  <c r="G2" i="42"/>
  <c r="E2" i="42"/>
  <c r="T48" i="44" l="1"/>
  <c r="V52" i="44"/>
  <c r="V11" i="21"/>
  <c r="V13" i="11"/>
  <c r="V13" i="14"/>
  <c r="Y18" i="30"/>
  <c r="T32" i="44"/>
  <c r="T46" i="44" s="1"/>
  <c r="AC156" i="34"/>
  <c r="Q30" i="44"/>
  <c r="Y22" i="42"/>
  <c r="Y40" i="42" s="1"/>
  <c r="W31" i="41"/>
  <c r="W47" i="41" s="1"/>
  <c r="D30" i="44"/>
  <c r="F46" i="44"/>
  <c r="D46" i="44" s="1"/>
  <c r="G10" i="45"/>
  <c r="I30" i="44"/>
  <c r="I46" i="44" s="1"/>
  <c r="I52" i="44" s="1"/>
  <c r="I53" i="44" s="1"/>
  <c r="G22" i="42"/>
  <c r="AB113" i="35"/>
  <c r="Q2" i="42"/>
  <c r="Q22" i="42" s="1"/>
  <c r="Q40" i="42" s="1"/>
  <c r="E22" i="42" l="1"/>
  <c r="G40" i="42"/>
  <c r="E40" i="42" s="1"/>
  <c r="R15" i="28"/>
  <c r="R16" i="28" s="1"/>
  <c r="AB156" i="34"/>
  <c r="AB158" i="34" s="1"/>
  <c r="U5" i="20"/>
  <c r="X14" i="17"/>
  <c r="X15" i="17" s="1"/>
  <c r="U44" i="37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3" i="19"/>
  <c r="Q21" i="19"/>
  <c r="W21" i="19"/>
  <c r="U11" i="21"/>
  <c r="X18" i="30"/>
  <c r="S93" i="16"/>
  <c r="V26" i="24"/>
  <c r="V27" i="24" s="1"/>
  <c r="O13" i="41"/>
  <c r="X3" i="32"/>
  <c r="X4" i="32"/>
  <c r="X5" i="32"/>
  <c r="X6" i="32"/>
  <c r="X7" i="32"/>
  <c r="X2" i="32"/>
  <c r="T4" i="28"/>
  <c r="T5" i="28"/>
  <c r="T6" i="28"/>
  <c r="T7" i="28"/>
  <c r="T8" i="28"/>
  <c r="T9" i="28"/>
  <c r="T10" i="28"/>
  <c r="T11" i="28"/>
  <c r="T12" i="28"/>
  <c r="T13" i="28"/>
  <c r="T14" i="28"/>
  <c r="T3" i="28"/>
  <c r="AA42" i="37"/>
  <c r="AA41" i="37"/>
  <c r="AA3" i="37"/>
  <c r="AA4" i="37"/>
  <c r="AA5" i="37"/>
  <c r="AA6" i="37"/>
  <c r="AA7" i="37"/>
  <c r="AA8" i="37"/>
  <c r="AA9" i="37"/>
  <c r="AA10" i="37"/>
  <c r="AA11" i="37"/>
  <c r="AA12" i="37"/>
  <c r="AA13" i="37"/>
  <c r="AA14" i="37"/>
  <c r="AA15" i="37"/>
  <c r="AA16" i="37"/>
  <c r="AA17" i="37"/>
  <c r="AA18" i="37"/>
  <c r="AA19" i="37"/>
  <c r="AA20" i="37"/>
  <c r="AA21" i="37"/>
  <c r="AA22" i="37"/>
  <c r="AA23" i="37"/>
  <c r="AA24" i="37"/>
  <c r="AA25" i="37"/>
  <c r="AA26" i="37"/>
  <c r="AA27" i="37"/>
  <c r="AA28" i="37"/>
  <c r="AA29" i="37"/>
  <c r="AA30" i="37"/>
  <c r="AA31" i="37"/>
  <c r="AA32" i="37"/>
  <c r="AA33" i="37"/>
  <c r="AA34" i="37"/>
  <c r="AA35" i="37"/>
  <c r="AA36" i="37"/>
  <c r="AA37" i="37"/>
  <c r="AA38" i="37"/>
  <c r="AA39" i="37"/>
  <c r="AA2" i="37"/>
  <c r="O12" i="41"/>
  <c r="Q31" i="41"/>
  <c r="V4" i="20"/>
  <c r="V3" i="20"/>
  <c r="Y4" i="17"/>
  <c r="Y5" i="17"/>
  <c r="Y6" i="17"/>
  <c r="Y7" i="17"/>
  <c r="Y8" i="17"/>
  <c r="Y9" i="17"/>
  <c r="Y10" i="17"/>
  <c r="Y11" i="17"/>
  <c r="Y12" i="17"/>
  <c r="Y13" i="17"/>
  <c r="Y3" i="17"/>
  <c r="R18" i="30"/>
  <c r="Q22" i="30" s="1"/>
  <c r="S13" i="30"/>
  <c r="S12" i="30"/>
  <c r="S10" i="30"/>
  <c r="S9" i="30"/>
  <c r="S7" i="30"/>
  <c r="S6" i="30"/>
  <c r="S5" i="30"/>
  <c r="S4" i="30"/>
  <c r="S17" i="30"/>
  <c r="S16" i="30"/>
  <c r="S15" i="30"/>
  <c r="S14" i="30"/>
  <c r="S11" i="30"/>
  <c r="S8" i="30"/>
  <c r="U7" i="20" l="1"/>
  <c r="U13" i="20"/>
  <c r="U12" i="21"/>
  <c r="U13" i="21"/>
  <c r="N36" i="41"/>
  <c r="Q47" i="41"/>
  <c r="Y14" i="17"/>
  <c r="X8" i="32"/>
  <c r="T15" i="28"/>
  <c r="X21" i="19"/>
  <c r="X19" i="30"/>
  <c r="X22" i="30"/>
  <c r="S18" i="30"/>
  <c r="S21" i="30" s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" i="31"/>
  <c r="Q22" i="31"/>
  <c r="Q25" i="31" s="1"/>
  <c r="R8" i="32"/>
  <c r="G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1" i="41"/>
  <c r="O10" i="41"/>
  <c r="O9" i="41"/>
  <c r="O8" i="41"/>
  <c r="O7" i="41"/>
  <c r="O6" i="41"/>
  <c r="O5" i="41"/>
  <c r="O4" i="41"/>
  <c r="O3" i="41"/>
  <c r="P4" i="39"/>
  <c r="P5" i="39"/>
  <c r="P6" i="39"/>
  <c r="P7" i="39"/>
  <c r="P3" i="39"/>
  <c r="G3" i="39"/>
  <c r="C8" i="39"/>
  <c r="G7" i="39"/>
  <c r="E7" i="39"/>
  <c r="G6" i="39"/>
  <c r="E6" i="39"/>
  <c r="G5" i="39"/>
  <c r="E5" i="39"/>
  <c r="G4" i="39"/>
  <c r="E4" i="39"/>
  <c r="E3" i="39"/>
  <c r="E21" i="2" a="1"/>
  <c r="E21" i="2" s="1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4" i="15"/>
  <c r="Z25" i="15"/>
  <c r="Z26" i="15"/>
  <c r="Z27" i="15"/>
  <c r="Z28" i="15"/>
  <c r="Z29" i="15"/>
  <c r="Z30" i="15"/>
  <c r="Z3" i="15"/>
  <c r="T31" i="15"/>
  <c r="Y31" i="15"/>
  <c r="E35" i="41" l="1"/>
  <c r="G47" i="41"/>
  <c r="E51" i="41" s="1"/>
  <c r="Y32" i="15"/>
  <c r="P8" i="39"/>
  <c r="N8" i="39" s="1"/>
  <c r="O31" i="41"/>
  <c r="O34" i="41" s="1"/>
  <c r="R22" i="31"/>
  <c r="R25" i="31" s="1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54" i="10"/>
  <c r="AB55" i="10"/>
  <c r="AB45" i="10"/>
  <c r="AB46" i="10"/>
  <c r="AB47" i="10"/>
  <c r="AB48" i="10"/>
  <c r="AB49" i="10"/>
  <c r="AB50" i="10"/>
  <c r="AB51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3" i="10"/>
  <c r="AA89" i="10"/>
  <c r="Y89" i="10" s="1"/>
  <c r="O6" i="32"/>
  <c r="O7" i="32"/>
  <c r="O3" i="31"/>
  <c r="O5" i="31"/>
  <c r="O6" i="31"/>
  <c r="O8" i="31"/>
  <c r="O10" i="31"/>
  <c r="O11" i="31"/>
  <c r="O12" i="31"/>
  <c r="O13" i="31"/>
  <c r="O14" i="31"/>
  <c r="O15" i="31"/>
  <c r="O16" i="31"/>
  <c r="O18" i="31"/>
  <c r="O19" i="31"/>
  <c r="O20" i="31"/>
  <c r="O21" i="31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3" i="18"/>
  <c r="Q19" i="18"/>
  <c r="P20" i="18" s="1"/>
  <c r="O47" i="41" l="1"/>
  <c r="O50" i="41" s="1"/>
  <c r="R19" i="18"/>
  <c r="R21" i="18" s="1"/>
  <c r="P2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3" i="19"/>
  <c r="P4" i="14"/>
  <c r="P5" i="14"/>
  <c r="P6" i="14"/>
  <c r="P7" i="14"/>
  <c r="P8" i="14"/>
  <c r="P9" i="14"/>
  <c r="P10" i="14"/>
  <c r="P11" i="14"/>
  <c r="P12" i="14"/>
  <c r="P3" i="14"/>
  <c r="P13" i="14" l="1"/>
  <c r="R21" i="19"/>
  <c r="N13" i="14"/>
  <c r="Q11" i="21"/>
  <c r="F15" i="28"/>
  <c r="P24" i="24"/>
  <c r="P25" i="24"/>
  <c r="O25" i="24"/>
  <c r="O24" i="24"/>
  <c r="Y3" i="37" l="1"/>
  <c r="Y4" i="37"/>
  <c r="Y5" i="37"/>
  <c r="Y6" i="37"/>
  <c r="Y7" i="37"/>
  <c r="Y8" i="37"/>
  <c r="Y9" i="37"/>
  <c r="Y10" i="37"/>
  <c r="Y11" i="37"/>
  <c r="Y12" i="37"/>
  <c r="Y13" i="37"/>
  <c r="Y14" i="37"/>
  <c r="Y15" i="37"/>
  <c r="Y16" i="37"/>
  <c r="Y17" i="37"/>
  <c r="Y18" i="37"/>
  <c r="Y19" i="37"/>
  <c r="Y20" i="37"/>
  <c r="Y21" i="37"/>
  <c r="Y22" i="37"/>
  <c r="Y23" i="37"/>
  <c r="Y24" i="37"/>
  <c r="Y25" i="37"/>
  <c r="Y26" i="37"/>
  <c r="Y27" i="37"/>
  <c r="Y28" i="37"/>
  <c r="Y29" i="37"/>
  <c r="Y30" i="37"/>
  <c r="Y31" i="37"/>
  <c r="Y32" i="37"/>
  <c r="Y33" i="37"/>
  <c r="Y34" i="37"/>
  <c r="Y35" i="37"/>
  <c r="Y36" i="37"/>
  <c r="Y37" i="37"/>
  <c r="Y38" i="37"/>
  <c r="Y39" i="37"/>
  <c r="Y40" i="37"/>
  <c r="Y41" i="37"/>
  <c r="Y42" i="37"/>
  <c r="Y43" i="37"/>
  <c r="Y2" i="37"/>
  <c r="Y44" i="37" l="1"/>
  <c r="X42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X27" i="37"/>
  <c r="X26" i="37"/>
  <c r="X25" i="37"/>
  <c r="X24" i="37"/>
  <c r="X23" i="37"/>
  <c r="X22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X6" i="37"/>
  <c r="X5" i="37"/>
  <c r="X4" i="37"/>
  <c r="X3" i="37"/>
  <c r="I3" i="37"/>
  <c r="X2" i="37"/>
  <c r="I2" i="37"/>
  <c r="I23" i="24"/>
  <c r="I26" i="24" s="1"/>
  <c r="I28" i="24" s="1"/>
  <c r="W5" i="33"/>
  <c r="W6" i="33"/>
  <c r="W7" i="33"/>
  <c r="W8" i="33"/>
  <c r="W9" i="33"/>
  <c r="W10" i="33"/>
  <c r="W11" i="33"/>
  <c r="W12" i="33"/>
  <c r="W13" i="33"/>
  <c r="W14" i="33"/>
  <c r="W15" i="33"/>
  <c r="W16" i="33"/>
  <c r="W17" i="33"/>
  <c r="W18" i="33"/>
  <c r="W19" i="33"/>
  <c r="W20" i="33"/>
  <c r="W21" i="33"/>
  <c r="W22" i="33"/>
  <c r="W23" i="33"/>
  <c r="W24" i="33"/>
  <c r="W25" i="33"/>
  <c r="W26" i="33"/>
  <c r="W27" i="33"/>
  <c r="W28" i="33"/>
  <c r="W29" i="33"/>
  <c r="W30" i="33"/>
  <c r="W31" i="33"/>
  <c r="W32" i="33"/>
  <c r="W33" i="33"/>
  <c r="W34" i="33"/>
  <c r="W35" i="33"/>
  <c r="W36" i="33"/>
  <c r="W37" i="33"/>
  <c r="W38" i="33"/>
  <c r="W39" i="33"/>
  <c r="W40" i="33"/>
  <c r="W41" i="33"/>
  <c r="W42" i="33"/>
  <c r="W43" i="33"/>
  <c r="W44" i="33"/>
  <c r="W45" i="33"/>
  <c r="W46" i="33"/>
  <c r="W47" i="33"/>
  <c r="W48" i="33"/>
  <c r="W49" i="33"/>
  <c r="W50" i="33"/>
  <c r="W51" i="33"/>
  <c r="W52" i="33"/>
  <c r="W53" i="33"/>
  <c r="W54" i="33"/>
  <c r="W55" i="33"/>
  <c r="W56" i="33"/>
  <c r="W57" i="33"/>
  <c r="W58" i="33"/>
  <c r="W59" i="33"/>
  <c r="W60" i="33"/>
  <c r="W61" i="33"/>
  <c r="W62" i="33"/>
  <c r="W63" i="33"/>
  <c r="W64" i="33"/>
  <c r="W65" i="33"/>
  <c r="W66" i="33"/>
  <c r="W67" i="33"/>
  <c r="W68" i="33"/>
  <c r="W69" i="33"/>
  <c r="W70" i="33"/>
  <c r="W71" i="33"/>
  <c r="W72" i="33"/>
  <c r="W73" i="33"/>
  <c r="W74" i="33"/>
  <c r="W75" i="33"/>
  <c r="W76" i="33"/>
  <c r="W77" i="33"/>
  <c r="W78" i="33"/>
  <c r="W79" i="33"/>
  <c r="W80" i="33"/>
  <c r="W81" i="33"/>
  <c r="W82" i="33"/>
  <c r="W83" i="33"/>
  <c r="W84" i="33"/>
  <c r="W85" i="33"/>
  <c r="W86" i="33"/>
  <c r="W87" i="33"/>
  <c r="W88" i="33"/>
  <c r="W89" i="33"/>
  <c r="W90" i="33"/>
  <c r="W91" i="33"/>
  <c r="W92" i="33"/>
  <c r="W93" i="33"/>
  <c r="W94" i="33"/>
  <c r="W95" i="33"/>
  <c r="W96" i="33"/>
  <c r="W97" i="33"/>
  <c r="W98" i="33"/>
  <c r="W99" i="33"/>
  <c r="W100" i="33"/>
  <c r="W101" i="33"/>
  <c r="W102" i="33"/>
  <c r="W103" i="33"/>
  <c r="W104" i="33"/>
  <c r="W105" i="33"/>
  <c r="W106" i="33"/>
  <c r="W107" i="33"/>
  <c r="W108" i="33"/>
  <c r="W109" i="33"/>
  <c r="W110" i="33"/>
  <c r="W111" i="33"/>
  <c r="W112" i="33"/>
  <c r="W113" i="33"/>
  <c r="W114" i="33"/>
  <c r="W115" i="33"/>
  <c r="W116" i="33"/>
  <c r="W117" i="33"/>
  <c r="W118" i="33"/>
  <c r="W119" i="33"/>
  <c r="W120" i="33"/>
  <c r="W121" i="33"/>
  <c r="W122" i="33"/>
  <c r="W123" i="33"/>
  <c r="W124" i="33"/>
  <c r="W125" i="33"/>
  <c r="W126" i="33"/>
  <c r="W127" i="33"/>
  <c r="W128" i="33"/>
  <c r="W129" i="33"/>
  <c r="W130" i="33"/>
  <c r="W131" i="33"/>
  <c r="W132" i="33"/>
  <c r="W133" i="33"/>
  <c r="W134" i="33"/>
  <c r="W135" i="33"/>
  <c r="W136" i="33"/>
  <c r="W137" i="33"/>
  <c r="W138" i="33"/>
  <c r="W139" i="33"/>
  <c r="W140" i="33"/>
  <c r="W141" i="33"/>
  <c r="W142" i="33"/>
  <c r="W143" i="33"/>
  <c r="W144" i="33"/>
  <c r="W145" i="33"/>
  <c r="W146" i="33"/>
  <c r="W147" i="33"/>
  <c r="W148" i="33"/>
  <c r="W149" i="33"/>
  <c r="W150" i="33"/>
  <c r="W151" i="33"/>
  <c r="W152" i="33"/>
  <c r="W153" i="33"/>
  <c r="W154" i="33"/>
  <c r="W155" i="33"/>
  <c r="W156" i="33"/>
  <c r="W157" i="33"/>
  <c r="W158" i="33"/>
  <c r="W159" i="33"/>
  <c r="W160" i="33"/>
  <c r="W161" i="33"/>
  <c r="W162" i="33"/>
  <c r="W163" i="33"/>
  <c r="W164" i="33"/>
  <c r="W165" i="33"/>
  <c r="W166" i="33"/>
  <c r="W167" i="33"/>
  <c r="W168" i="33"/>
  <c r="W169" i="33"/>
  <c r="W170" i="33"/>
  <c r="W171" i="33"/>
  <c r="W172" i="33"/>
  <c r="W173" i="33"/>
  <c r="W174" i="33"/>
  <c r="W175" i="33"/>
  <c r="W176" i="33"/>
  <c r="W177" i="33"/>
  <c r="W178" i="33"/>
  <c r="W179" i="33"/>
  <c r="W180" i="33"/>
  <c r="W181" i="33"/>
  <c r="W182" i="33"/>
  <c r="W183" i="33"/>
  <c r="W184" i="33"/>
  <c r="W185" i="33"/>
  <c r="W186" i="33"/>
  <c r="W187" i="33"/>
  <c r="W188" i="33"/>
  <c r="W189" i="33"/>
  <c r="W190" i="33"/>
  <c r="W191" i="33"/>
  <c r="W192" i="33"/>
  <c r="W193" i="33"/>
  <c r="W194" i="33"/>
  <c r="W195" i="33"/>
  <c r="W196" i="33"/>
  <c r="W197" i="33"/>
  <c r="W198" i="33"/>
  <c r="W199" i="33"/>
  <c r="W200" i="33"/>
  <c r="W201" i="33"/>
  <c r="W202" i="33"/>
  <c r="W203" i="33"/>
  <c r="W204" i="33"/>
  <c r="W205" i="33"/>
  <c r="W206" i="33"/>
  <c r="W207" i="33"/>
  <c r="W208" i="33"/>
  <c r="W209" i="33"/>
  <c r="W210" i="33"/>
  <c r="W211" i="33"/>
  <c r="W212" i="33"/>
  <c r="W213" i="33"/>
  <c r="W214" i="33"/>
  <c r="W215" i="33"/>
  <c r="W216" i="33"/>
  <c r="W217" i="33"/>
  <c r="W218" i="33"/>
  <c r="W219" i="33"/>
  <c r="W220" i="33"/>
  <c r="W221" i="33"/>
  <c r="W222" i="33"/>
  <c r="W223" i="33"/>
  <c r="W224" i="33"/>
  <c r="W225" i="33"/>
  <c r="W226" i="33"/>
  <c r="W227" i="33"/>
  <c r="W228" i="33"/>
  <c r="W229" i="33"/>
  <c r="W230" i="33"/>
  <c r="W231" i="33"/>
  <c r="W232" i="33"/>
  <c r="W233" i="33"/>
  <c r="W234" i="33"/>
  <c r="W235" i="33"/>
  <c r="W236" i="33"/>
  <c r="W237" i="33"/>
  <c r="W238" i="33"/>
  <c r="W239" i="33"/>
  <c r="W240" i="33"/>
  <c r="W241" i="33"/>
  <c r="W4" i="33"/>
  <c r="Y3" i="35"/>
  <c r="Y4" i="35"/>
  <c r="Y5" i="35"/>
  <c r="Y6" i="35"/>
  <c r="Y7" i="35"/>
  <c r="Y8" i="35"/>
  <c r="Y9" i="35"/>
  <c r="Y10" i="35"/>
  <c r="Y11" i="35"/>
  <c r="Y12" i="35"/>
  <c r="Y13" i="35"/>
  <c r="Y14" i="35"/>
  <c r="Y15" i="35"/>
  <c r="Y16" i="35"/>
  <c r="Y17" i="35"/>
  <c r="Y18" i="35"/>
  <c r="Y19" i="35"/>
  <c r="Y20" i="35"/>
  <c r="Y21" i="35"/>
  <c r="Y22" i="35"/>
  <c r="Y23" i="35"/>
  <c r="Y24" i="35"/>
  <c r="Y25" i="35"/>
  <c r="Y26" i="35"/>
  <c r="Y27" i="35"/>
  <c r="Y28" i="35"/>
  <c r="Y29" i="35"/>
  <c r="Y30" i="35"/>
  <c r="Y31" i="35"/>
  <c r="Y32" i="35"/>
  <c r="Y33" i="35"/>
  <c r="Y34" i="35"/>
  <c r="Y35" i="35"/>
  <c r="Y36" i="35"/>
  <c r="Y37" i="35"/>
  <c r="Y38" i="35"/>
  <c r="Y39" i="35"/>
  <c r="Y40" i="35"/>
  <c r="Y41" i="35"/>
  <c r="Y42" i="35"/>
  <c r="Y43" i="35"/>
  <c r="Y44" i="35"/>
  <c r="Y54" i="35"/>
  <c r="Y55" i="35"/>
  <c r="Y45" i="35"/>
  <c r="Y46" i="35"/>
  <c r="Y47" i="35"/>
  <c r="Y48" i="35"/>
  <c r="Y49" i="35"/>
  <c r="Y50" i="35"/>
  <c r="Y51" i="35"/>
  <c r="Y56" i="35"/>
  <c r="Y57" i="35"/>
  <c r="Y58" i="35"/>
  <c r="Y59" i="35"/>
  <c r="Y60" i="35"/>
  <c r="Y61" i="35"/>
  <c r="Y62" i="35"/>
  <c r="Y63" i="35"/>
  <c r="Y64" i="35"/>
  <c r="Y65" i="35"/>
  <c r="Y66" i="35"/>
  <c r="Y67" i="35"/>
  <c r="Y68" i="35"/>
  <c r="Y69" i="35"/>
  <c r="Y70" i="35"/>
  <c r="Y71" i="35"/>
  <c r="Y72" i="35"/>
  <c r="Y73" i="35"/>
  <c r="Y74" i="35"/>
  <c r="Y75" i="35"/>
  <c r="Y76" i="35"/>
  <c r="Y77" i="35"/>
  <c r="Y78" i="35"/>
  <c r="Y79" i="35"/>
  <c r="Y80" i="35"/>
  <c r="Y81" i="35"/>
  <c r="Y82" i="35"/>
  <c r="Y83" i="35"/>
  <c r="Y84" i="35"/>
  <c r="Y85" i="35"/>
  <c r="Y86" i="35"/>
  <c r="Y87" i="35"/>
  <c r="Y88" i="35"/>
  <c r="Y89" i="35"/>
  <c r="Y90" i="35"/>
  <c r="Y91" i="35"/>
  <c r="Y92" i="35"/>
  <c r="Y93" i="35"/>
  <c r="Y94" i="35"/>
  <c r="Y95" i="35"/>
  <c r="Y96" i="35"/>
  <c r="Y98" i="35"/>
  <c r="Y99" i="35"/>
  <c r="Y100" i="35"/>
  <c r="Y101" i="35"/>
  <c r="Y102" i="35"/>
  <c r="Y103" i="35"/>
  <c r="Y104" i="35"/>
  <c r="Y105" i="35"/>
  <c r="Y106" i="35"/>
  <c r="Y107" i="35"/>
  <c r="Y108" i="35"/>
  <c r="Y109" i="35"/>
  <c r="Y110" i="35"/>
  <c r="Y111" i="35"/>
  <c r="Y112" i="35"/>
  <c r="Y2" i="35"/>
  <c r="G113" i="35"/>
  <c r="I113" i="35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54" i="35"/>
  <c r="J55" i="35"/>
  <c r="J45" i="35"/>
  <c r="J46" i="35"/>
  <c r="J47" i="35"/>
  <c r="J48" i="35"/>
  <c r="J49" i="35"/>
  <c r="J50" i="35"/>
  <c r="J51" i="35"/>
  <c r="J56" i="35"/>
  <c r="J57" i="35"/>
  <c r="J58" i="35"/>
  <c r="J59" i="35"/>
  <c r="J60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2" i="35"/>
  <c r="X112" i="35"/>
  <c r="X111" i="35"/>
  <c r="X110" i="35"/>
  <c r="X109" i="35"/>
  <c r="X108" i="35"/>
  <c r="X107" i="35"/>
  <c r="X106" i="35"/>
  <c r="X105" i="35"/>
  <c r="X104" i="35"/>
  <c r="X103" i="35"/>
  <c r="X102" i="35"/>
  <c r="X101" i="35"/>
  <c r="X100" i="35"/>
  <c r="X99" i="35"/>
  <c r="X98" i="35"/>
  <c r="X96" i="35"/>
  <c r="X95" i="35"/>
  <c r="X94" i="35"/>
  <c r="X93" i="35"/>
  <c r="X92" i="35"/>
  <c r="X91" i="35"/>
  <c r="X90" i="35"/>
  <c r="X89" i="35"/>
  <c r="X88" i="35"/>
  <c r="X87" i="35"/>
  <c r="X86" i="35"/>
  <c r="X85" i="35"/>
  <c r="X84" i="35"/>
  <c r="X83" i="35"/>
  <c r="X82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X67" i="35"/>
  <c r="X66" i="35"/>
  <c r="X65" i="35"/>
  <c r="X64" i="35"/>
  <c r="X63" i="35"/>
  <c r="X62" i="35"/>
  <c r="X61" i="35"/>
  <c r="X60" i="35"/>
  <c r="X59" i="35"/>
  <c r="X58" i="35"/>
  <c r="X57" i="35"/>
  <c r="X56" i="35"/>
  <c r="X51" i="35"/>
  <c r="X50" i="35"/>
  <c r="X49" i="35"/>
  <c r="X48" i="35"/>
  <c r="X47" i="35"/>
  <c r="X46" i="35"/>
  <c r="X45" i="35"/>
  <c r="X55" i="35"/>
  <c r="X54" i="35"/>
  <c r="X44" i="35"/>
  <c r="X43" i="35"/>
  <c r="X42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X27" i="35"/>
  <c r="X26" i="35"/>
  <c r="X25" i="35"/>
  <c r="X24" i="35"/>
  <c r="X23" i="35"/>
  <c r="X22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X6" i="35"/>
  <c r="X5" i="35"/>
  <c r="X4" i="35"/>
  <c r="X3" i="35"/>
  <c r="X2" i="35"/>
  <c r="E93" i="16"/>
  <c r="F93" i="16"/>
  <c r="G93" i="16"/>
  <c r="E95" i="16" s="1"/>
  <c r="S156" i="34"/>
  <c r="T155" i="34"/>
  <c r="O155" i="34"/>
  <c r="I155" i="34"/>
  <c r="J155" i="34" s="1"/>
  <c r="T154" i="34"/>
  <c r="O154" i="34"/>
  <c r="I154" i="34"/>
  <c r="J154" i="34" s="1"/>
  <c r="T153" i="34"/>
  <c r="O153" i="34"/>
  <c r="I153" i="34"/>
  <c r="J153" i="34" s="1"/>
  <c r="T152" i="34"/>
  <c r="O152" i="34"/>
  <c r="I152" i="34"/>
  <c r="J152" i="34" s="1"/>
  <c r="T151" i="34"/>
  <c r="O151" i="34"/>
  <c r="I151" i="34"/>
  <c r="J151" i="34" s="1"/>
  <c r="T150" i="34"/>
  <c r="O150" i="34"/>
  <c r="I150" i="34"/>
  <c r="J150" i="34" s="1"/>
  <c r="T149" i="34"/>
  <c r="O149" i="34"/>
  <c r="I149" i="34"/>
  <c r="J149" i="34" s="1"/>
  <c r="T148" i="34"/>
  <c r="O148" i="34"/>
  <c r="I148" i="34"/>
  <c r="J148" i="34" s="1"/>
  <c r="T147" i="34"/>
  <c r="O147" i="34"/>
  <c r="I147" i="34"/>
  <c r="J147" i="34" s="1"/>
  <c r="T146" i="34"/>
  <c r="O146" i="34"/>
  <c r="I146" i="34"/>
  <c r="J146" i="34" s="1"/>
  <c r="T145" i="34"/>
  <c r="O145" i="34"/>
  <c r="I145" i="34"/>
  <c r="J145" i="34" s="1"/>
  <c r="T144" i="34"/>
  <c r="O144" i="34"/>
  <c r="I144" i="34"/>
  <c r="J144" i="34" s="1"/>
  <c r="T143" i="34"/>
  <c r="O143" i="34"/>
  <c r="I143" i="34"/>
  <c r="J143" i="34" s="1"/>
  <c r="T142" i="34"/>
  <c r="O142" i="34"/>
  <c r="I142" i="34"/>
  <c r="J142" i="34" s="1"/>
  <c r="T141" i="34"/>
  <c r="O141" i="34"/>
  <c r="I141" i="34"/>
  <c r="J141" i="34" s="1"/>
  <c r="T140" i="34"/>
  <c r="O140" i="34"/>
  <c r="I140" i="34"/>
  <c r="J140" i="34" s="1"/>
  <c r="T139" i="34"/>
  <c r="O139" i="34"/>
  <c r="I139" i="34"/>
  <c r="J139" i="34" s="1"/>
  <c r="T138" i="34"/>
  <c r="O138" i="34"/>
  <c r="I138" i="34"/>
  <c r="J138" i="34" s="1"/>
  <c r="T137" i="34"/>
  <c r="O137" i="34"/>
  <c r="I137" i="34"/>
  <c r="J137" i="34" s="1"/>
  <c r="T136" i="34"/>
  <c r="O136" i="34"/>
  <c r="I136" i="34"/>
  <c r="J136" i="34" s="1"/>
  <c r="T135" i="34"/>
  <c r="O135" i="34"/>
  <c r="I135" i="34"/>
  <c r="J135" i="34" s="1"/>
  <c r="T134" i="34"/>
  <c r="O134" i="34"/>
  <c r="I134" i="34"/>
  <c r="J134" i="34" s="1"/>
  <c r="T133" i="34"/>
  <c r="O133" i="34"/>
  <c r="I133" i="34"/>
  <c r="J133" i="34" s="1"/>
  <c r="T132" i="34"/>
  <c r="O132" i="34"/>
  <c r="I132" i="34"/>
  <c r="J132" i="34" s="1"/>
  <c r="T131" i="34"/>
  <c r="O131" i="34"/>
  <c r="I131" i="34"/>
  <c r="J131" i="34" s="1"/>
  <c r="T130" i="34"/>
  <c r="O130" i="34"/>
  <c r="I130" i="34"/>
  <c r="J130" i="34" s="1"/>
  <c r="T129" i="34"/>
  <c r="O129" i="34"/>
  <c r="I129" i="34"/>
  <c r="J129" i="34" s="1"/>
  <c r="T128" i="34"/>
  <c r="O128" i="34"/>
  <c r="I128" i="34"/>
  <c r="J128" i="34" s="1"/>
  <c r="T127" i="34"/>
  <c r="O127" i="34"/>
  <c r="I127" i="34"/>
  <c r="J127" i="34" s="1"/>
  <c r="T126" i="34"/>
  <c r="O126" i="34"/>
  <c r="I126" i="34"/>
  <c r="J126" i="34" s="1"/>
  <c r="T125" i="34"/>
  <c r="O125" i="34"/>
  <c r="I125" i="34"/>
  <c r="J125" i="34" s="1"/>
  <c r="T124" i="34"/>
  <c r="O124" i="34"/>
  <c r="I124" i="34"/>
  <c r="U124" i="34" s="1"/>
  <c r="T123" i="34"/>
  <c r="O123" i="34"/>
  <c r="I123" i="34"/>
  <c r="J123" i="34" s="1"/>
  <c r="T122" i="34"/>
  <c r="O122" i="34"/>
  <c r="I122" i="34"/>
  <c r="J122" i="34" s="1"/>
  <c r="T121" i="34"/>
  <c r="O121" i="34"/>
  <c r="I121" i="34"/>
  <c r="J121" i="34" s="1"/>
  <c r="T120" i="34"/>
  <c r="O120" i="34"/>
  <c r="I120" i="34"/>
  <c r="J120" i="34" s="1"/>
  <c r="T119" i="34"/>
  <c r="O119" i="34"/>
  <c r="I119" i="34"/>
  <c r="J119" i="34" s="1"/>
  <c r="T118" i="34"/>
  <c r="O118" i="34"/>
  <c r="I118" i="34"/>
  <c r="J118" i="34" s="1"/>
  <c r="T117" i="34"/>
  <c r="O117" i="34"/>
  <c r="I117" i="34"/>
  <c r="J117" i="34" s="1"/>
  <c r="T116" i="34"/>
  <c r="O116" i="34"/>
  <c r="I116" i="34"/>
  <c r="J116" i="34" s="1"/>
  <c r="T115" i="34"/>
  <c r="O115" i="34"/>
  <c r="I115" i="34"/>
  <c r="J115" i="34" s="1"/>
  <c r="T114" i="34"/>
  <c r="O114" i="34"/>
  <c r="I114" i="34"/>
  <c r="J114" i="34" s="1"/>
  <c r="T113" i="34"/>
  <c r="O113" i="34"/>
  <c r="I113" i="34"/>
  <c r="J113" i="34" s="1"/>
  <c r="T112" i="34"/>
  <c r="O112" i="34"/>
  <c r="I112" i="34"/>
  <c r="J112" i="34" s="1"/>
  <c r="T111" i="34"/>
  <c r="O111" i="34"/>
  <c r="I111" i="34"/>
  <c r="J111" i="34" s="1"/>
  <c r="T110" i="34"/>
  <c r="O110" i="34"/>
  <c r="I110" i="34"/>
  <c r="J110" i="34" s="1"/>
  <c r="T109" i="34"/>
  <c r="O109" i="34"/>
  <c r="I109" i="34"/>
  <c r="J109" i="34" s="1"/>
  <c r="T108" i="34"/>
  <c r="O108" i="34"/>
  <c r="I108" i="34"/>
  <c r="J108" i="34" s="1"/>
  <c r="T107" i="34"/>
  <c r="O107" i="34"/>
  <c r="I107" i="34"/>
  <c r="J107" i="34" s="1"/>
  <c r="T106" i="34"/>
  <c r="O106" i="34"/>
  <c r="I106" i="34"/>
  <c r="J106" i="34" s="1"/>
  <c r="T105" i="34"/>
  <c r="O105" i="34"/>
  <c r="I105" i="34"/>
  <c r="J105" i="34" s="1"/>
  <c r="T104" i="34"/>
  <c r="O104" i="34"/>
  <c r="I104" i="34"/>
  <c r="J104" i="34" s="1"/>
  <c r="T103" i="34"/>
  <c r="O103" i="34"/>
  <c r="I103" i="34"/>
  <c r="J103" i="34" s="1"/>
  <c r="T102" i="34"/>
  <c r="O102" i="34"/>
  <c r="I102" i="34"/>
  <c r="J102" i="34" s="1"/>
  <c r="T101" i="34"/>
  <c r="O101" i="34"/>
  <c r="I101" i="34"/>
  <c r="J101" i="34" s="1"/>
  <c r="T100" i="34"/>
  <c r="O100" i="34"/>
  <c r="I100" i="34"/>
  <c r="J100" i="34" s="1"/>
  <c r="T99" i="34"/>
  <c r="O99" i="34"/>
  <c r="I99" i="34"/>
  <c r="J99" i="34" s="1"/>
  <c r="T98" i="34"/>
  <c r="O98" i="34"/>
  <c r="I98" i="34"/>
  <c r="J98" i="34" s="1"/>
  <c r="T97" i="34"/>
  <c r="O97" i="34"/>
  <c r="I97" i="34"/>
  <c r="J97" i="34" s="1"/>
  <c r="T96" i="34"/>
  <c r="O96" i="34"/>
  <c r="I96" i="34"/>
  <c r="J96" i="34" s="1"/>
  <c r="T95" i="34"/>
  <c r="O95" i="34"/>
  <c r="I95" i="34"/>
  <c r="J95" i="34" s="1"/>
  <c r="T94" i="34"/>
  <c r="O94" i="34"/>
  <c r="I94" i="34"/>
  <c r="J94" i="34" s="1"/>
  <c r="T93" i="34"/>
  <c r="O93" i="34"/>
  <c r="I93" i="34"/>
  <c r="J93" i="34" s="1"/>
  <c r="T92" i="34"/>
  <c r="O92" i="34"/>
  <c r="I92" i="34"/>
  <c r="J92" i="34" s="1"/>
  <c r="T91" i="34"/>
  <c r="O91" i="34"/>
  <c r="I91" i="34"/>
  <c r="J91" i="34" s="1"/>
  <c r="T90" i="34"/>
  <c r="O90" i="34"/>
  <c r="I90" i="34"/>
  <c r="J90" i="34" s="1"/>
  <c r="T89" i="34"/>
  <c r="O89" i="34"/>
  <c r="I89" i="34"/>
  <c r="J89" i="34" s="1"/>
  <c r="T88" i="34"/>
  <c r="O88" i="34"/>
  <c r="I88" i="34"/>
  <c r="J88" i="34" s="1"/>
  <c r="T87" i="34"/>
  <c r="O87" i="34"/>
  <c r="I87" i="34"/>
  <c r="J87" i="34" s="1"/>
  <c r="T86" i="34"/>
  <c r="O86" i="34"/>
  <c r="I86" i="34"/>
  <c r="J86" i="34" s="1"/>
  <c r="T85" i="34"/>
  <c r="O85" i="34"/>
  <c r="I85" i="34"/>
  <c r="J85" i="34" s="1"/>
  <c r="T84" i="34"/>
  <c r="O84" i="34"/>
  <c r="I84" i="34"/>
  <c r="J84" i="34" s="1"/>
  <c r="T83" i="34"/>
  <c r="O83" i="34"/>
  <c r="I83" i="34"/>
  <c r="J83" i="34" s="1"/>
  <c r="T82" i="34"/>
  <c r="O82" i="34"/>
  <c r="I82" i="34"/>
  <c r="J82" i="34" s="1"/>
  <c r="T81" i="34"/>
  <c r="O81" i="34"/>
  <c r="I81" i="34"/>
  <c r="J81" i="34" s="1"/>
  <c r="T80" i="34"/>
  <c r="O80" i="34"/>
  <c r="I80" i="34"/>
  <c r="J80" i="34" s="1"/>
  <c r="T79" i="34"/>
  <c r="O79" i="34"/>
  <c r="I79" i="34"/>
  <c r="J79" i="34" s="1"/>
  <c r="T78" i="34"/>
  <c r="O78" i="34"/>
  <c r="I78" i="34"/>
  <c r="J78" i="34" s="1"/>
  <c r="T77" i="34"/>
  <c r="O77" i="34"/>
  <c r="I77" i="34"/>
  <c r="J77" i="34" s="1"/>
  <c r="T76" i="34"/>
  <c r="O76" i="34"/>
  <c r="I76" i="34"/>
  <c r="J76" i="34" s="1"/>
  <c r="T75" i="34"/>
  <c r="O75" i="34"/>
  <c r="I75" i="34"/>
  <c r="J75" i="34" s="1"/>
  <c r="T74" i="34"/>
  <c r="O74" i="34"/>
  <c r="I74" i="34"/>
  <c r="J74" i="34" s="1"/>
  <c r="T73" i="34"/>
  <c r="O73" i="34"/>
  <c r="I73" i="34"/>
  <c r="J73" i="34" s="1"/>
  <c r="T72" i="34"/>
  <c r="O72" i="34"/>
  <c r="I72" i="34"/>
  <c r="J72" i="34" s="1"/>
  <c r="T71" i="34"/>
  <c r="O71" i="34"/>
  <c r="I71" i="34"/>
  <c r="J71" i="34" s="1"/>
  <c r="T70" i="34"/>
  <c r="O70" i="34"/>
  <c r="I70" i="34"/>
  <c r="J70" i="34" s="1"/>
  <c r="T69" i="34"/>
  <c r="O69" i="34"/>
  <c r="I69" i="34"/>
  <c r="J69" i="34" s="1"/>
  <c r="T68" i="34"/>
  <c r="O68" i="34"/>
  <c r="I68" i="34"/>
  <c r="J68" i="34" s="1"/>
  <c r="T67" i="34"/>
  <c r="O67" i="34"/>
  <c r="I67" i="34"/>
  <c r="J67" i="34" s="1"/>
  <c r="T66" i="34"/>
  <c r="O66" i="34"/>
  <c r="I66" i="34"/>
  <c r="J66" i="34" s="1"/>
  <c r="T65" i="34"/>
  <c r="O65" i="34"/>
  <c r="I65" i="34"/>
  <c r="J65" i="34" s="1"/>
  <c r="T64" i="34"/>
  <c r="O64" i="34"/>
  <c r="I64" i="34"/>
  <c r="J64" i="34" s="1"/>
  <c r="T63" i="34"/>
  <c r="O63" i="34"/>
  <c r="T62" i="34"/>
  <c r="O62" i="34"/>
  <c r="T61" i="34"/>
  <c r="O61" i="34"/>
  <c r="T60" i="34"/>
  <c r="O60" i="34"/>
  <c r="I60" i="34"/>
  <c r="J60" i="34" s="1"/>
  <c r="T59" i="34"/>
  <c r="O59" i="34"/>
  <c r="I59" i="34"/>
  <c r="J59" i="34" s="1"/>
  <c r="T58" i="34"/>
  <c r="O58" i="34"/>
  <c r="I58" i="34"/>
  <c r="J58" i="34" s="1"/>
  <c r="T57" i="34"/>
  <c r="O57" i="34"/>
  <c r="T56" i="34"/>
  <c r="O56" i="34"/>
  <c r="T51" i="34"/>
  <c r="O51" i="34"/>
  <c r="I51" i="34"/>
  <c r="J51" i="34" s="1"/>
  <c r="T50" i="34"/>
  <c r="O50" i="34"/>
  <c r="I50" i="34"/>
  <c r="J50" i="34" s="1"/>
  <c r="T49" i="34"/>
  <c r="O49" i="34"/>
  <c r="I49" i="34"/>
  <c r="J49" i="34" s="1"/>
  <c r="T48" i="34"/>
  <c r="O48" i="34"/>
  <c r="I48" i="34"/>
  <c r="J48" i="34" s="1"/>
  <c r="T47" i="34"/>
  <c r="O47" i="34"/>
  <c r="I47" i="34"/>
  <c r="J47" i="34" s="1"/>
  <c r="T46" i="34"/>
  <c r="O46" i="34"/>
  <c r="I46" i="34"/>
  <c r="J46" i="34" s="1"/>
  <c r="T45" i="34"/>
  <c r="O45" i="34"/>
  <c r="I45" i="34"/>
  <c r="J45" i="34" s="1"/>
  <c r="T55" i="34"/>
  <c r="O55" i="34"/>
  <c r="I55" i="34"/>
  <c r="T54" i="34"/>
  <c r="O54" i="34"/>
  <c r="I54" i="34"/>
  <c r="J54" i="34" s="1"/>
  <c r="T44" i="34"/>
  <c r="O44" i="34"/>
  <c r="I44" i="34"/>
  <c r="J44" i="34" s="1"/>
  <c r="T43" i="34"/>
  <c r="O43" i="34"/>
  <c r="I43" i="34"/>
  <c r="T42" i="34"/>
  <c r="O42" i="34"/>
  <c r="I42" i="34"/>
  <c r="J42" i="34" s="1"/>
  <c r="T41" i="34"/>
  <c r="O41" i="34"/>
  <c r="I41" i="34"/>
  <c r="J41" i="34" s="1"/>
  <c r="T40" i="34"/>
  <c r="O40" i="34"/>
  <c r="I40" i="34"/>
  <c r="J40" i="34" s="1"/>
  <c r="T39" i="34"/>
  <c r="O39" i="34"/>
  <c r="I39" i="34"/>
  <c r="J39" i="34" s="1"/>
  <c r="T38" i="34"/>
  <c r="O38" i="34"/>
  <c r="J38" i="34"/>
  <c r="T37" i="34"/>
  <c r="O37" i="34"/>
  <c r="I37" i="34"/>
  <c r="J37" i="34" s="1"/>
  <c r="T36" i="34"/>
  <c r="O36" i="34"/>
  <c r="I36" i="34"/>
  <c r="J36" i="34" s="1"/>
  <c r="T35" i="34"/>
  <c r="O35" i="34"/>
  <c r="I35" i="34"/>
  <c r="J35" i="34" s="1"/>
  <c r="T34" i="34"/>
  <c r="O34" i="34"/>
  <c r="I34" i="34"/>
  <c r="J34" i="34" s="1"/>
  <c r="T33" i="34"/>
  <c r="O33" i="34"/>
  <c r="I33" i="34"/>
  <c r="J33" i="34" s="1"/>
  <c r="T32" i="34"/>
  <c r="O32" i="34"/>
  <c r="I32" i="34"/>
  <c r="J32" i="34" s="1"/>
  <c r="T31" i="34"/>
  <c r="O31" i="34"/>
  <c r="I31" i="34"/>
  <c r="J31" i="34" s="1"/>
  <c r="T30" i="34"/>
  <c r="O30" i="34"/>
  <c r="I30" i="34"/>
  <c r="J30" i="34" s="1"/>
  <c r="T29" i="34"/>
  <c r="O29" i="34"/>
  <c r="I29" i="34"/>
  <c r="J29" i="34" s="1"/>
  <c r="T28" i="34"/>
  <c r="O28" i="34"/>
  <c r="I28" i="34"/>
  <c r="J28" i="34" s="1"/>
  <c r="T27" i="34"/>
  <c r="O27" i="34"/>
  <c r="I27" i="34"/>
  <c r="J27" i="34" s="1"/>
  <c r="T26" i="34"/>
  <c r="O26" i="34"/>
  <c r="I26" i="34"/>
  <c r="J26" i="34" s="1"/>
  <c r="T25" i="34"/>
  <c r="O25" i="34"/>
  <c r="I25" i="34"/>
  <c r="J25" i="34" s="1"/>
  <c r="T24" i="34"/>
  <c r="O24" i="34"/>
  <c r="I24" i="34"/>
  <c r="J24" i="34" s="1"/>
  <c r="T23" i="34"/>
  <c r="O23" i="34"/>
  <c r="I23" i="34"/>
  <c r="J23" i="34" s="1"/>
  <c r="T22" i="34"/>
  <c r="O22" i="34"/>
  <c r="I22" i="34"/>
  <c r="J22" i="34" s="1"/>
  <c r="T21" i="34"/>
  <c r="O21" i="34"/>
  <c r="I21" i="34"/>
  <c r="J21" i="34" s="1"/>
  <c r="T20" i="34"/>
  <c r="O20" i="34"/>
  <c r="J20" i="34"/>
  <c r="T19" i="34"/>
  <c r="O19" i="34"/>
  <c r="J19" i="34"/>
  <c r="T18" i="34"/>
  <c r="O18" i="34"/>
  <c r="I18" i="34"/>
  <c r="J18" i="34" s="1"/>
  <c r="T17" i="34"/>
  <c r="O17" i="34"/>
  <c r="I17" i="34"/>
  <c r="J17" i="34" s="1"/>
  <c r="T16" i="34"/>
  <c r="O16" i="34"/>
  <c r="I16" i="34"/>
  <c r="J16" i="34" s="1"/>
  <c r="T15" i="34"/>
  <c r="O15" i="34"/>
  <c r="I15" i="34"/>
  <c r="J15" i="34" s="1"/>
  <c r="T14" i="34"/>
  <c r="O14" i="34"/>
  <c r="I14" i="34"/>
  <c r="J14" i="34" s="1"/>
  <c r="T13" i="34"/>
  <c r="O13" i="34"/>
  <c r="I13" i="34"/>
  <c r="J13" i="34" s="1"/>
  <c r="T12" i="34"/>
  <c r="O12" i="34"/>
  <c r="I12" i="34"/>
  <c r="J12" i="34" s="1"/>
  <c r="T11" i="34"/>
  <c r="O11" i="34"/>
  <c r="I11" i="34"/>
  <c r="J11" i="34" s="1"/>
  <c r="T10" i="34"/>
  <c r="O10" i="34"/>
  <c r="I10" i="34"/>
  <c r="J10" i="34" s="1"/>
  <c r="T9" i="34"/>
  <c r="O9" i="34"/>
  <c r="I9" i="34"/>
  <c r="J9" i="34" s="1"/>
  <c r="T8" i="34"/>
  <c r="O8" i="34"/>
  <c r="I8" i="34"/>
  <c r="J8" i="34" s="1"/>
  <c r="T7" i="34"/>
  <c r="O7" i="34"/>
  <c r="I7" i="34"/>
  <c r="J7" i="34" s="1"/>
  <c r="T6" i="34"/>
  <c r="O6" i="34"/>
  <c r="I6" i="34"/>
  <c r="J6" i="34" s="1"/>
  <c r="T5" i="34"/>
  <c r="O5" i="34"/>
  <c r="I5" i="34"/>
  <c r="J5" i="34" s="1"/>
  <c r="T4" i="34"/>
  <c r="O4" i="34"/>
  <c r="I4" i="34"/>
  <c r="J4" i="34" s="1"/>
  <c r="T3" i="34"/>
  <c r="O3" i="34"/>
  <c r="I3" i="34"/>
  <c r="J3" i="34" s="1"/>
  <c r="T2" i="34"/>
  <c r="O2" i="34"/>
  <c r="I2" i="34"/>
  <c r="J2" i="34" s="1"/>
  <c r="J243" i="33"/>
  <c r="H243" i="33" s="1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V229" i="33"/>
  <c r="V228" i="33"/>
  <c r="V227" i="33"/>
  <c r="V226" i="33"/>
  <c r="V225" i="33"/>
  <c r="V224" i="33"/>
  <c r="V223" i="33"/>
  <c r="V222" i="33"/>
  <c r="V221" i="33"/>
  <c r="V220" i="33"/>
  <c r="V219" i="33"/>
  <c r="V218" i="33"/>
  <c r="V217" i="33"/>
  <c r="V216" i="33"/>
  <c r="V215" i="33"/>
  <c r="V214" i="33"/>
  <c r="V213" i="33"/>
  <c r="V212" i="33"/>
  <c r="V211" i="33"/>
  <c r="V210" i="33"/>
  <c r="V209" i="33"/>
  <c r="V208" i="33"/>
  <c r="V207" i="33"/>
  <c r="V206" i="33"/>
  <c r="V205" i="33"/>
  <c r="V204" i="33"/>
  <c r="V203" i="33"/>
  <c r="V202" i="33"/>
  <c r="V201" i="33"/>
  <c r="V200" i="33"/>
  <c r="V199" i="33"/>
  <c r="V198" i="33"/>
  <c r="V197" i="33"/>
  <c r="V196" i="33"/>
  <c r="V195" i="33"/>
  <c r="V194" i="33"/>
  <c r="V193" i="33"/>
  <c r="V192" i="33"/>
  <c r="V191" i="33"/>
  <c r="V190" i="33"/>
  <c r="V189" i="33"/>
  <c r="V188" i="33"/>
  <c r="V187" i="33"/>
  <c r="V186" i="33"/>
  <c r="V185" i="33"/>
  <c r="V184" i="33"/>
  <c r="V183" i="33"/>
  <c r="V182" i="33"/>
  <c r="V181" i="33"/>
  <c r="V180" i="33"/>
  <c r="V179" i="33"/>
  <c r="V178" i="33"/>
  <c r="V177" i="33"/>
  <c r="V176" i="33"/>
  <c r="V175" i="33"/>
  <c r="V174" i="33"/>
  <c r="V173" i="33"/>
  <c r="V172" i="33"/>
  <c r="V171" i="33"/>
  <c r="V170" i="33"/>
  <c r="V169" i="33"/>
  <c r="V168" i="33"/>
  <c r="V167" i="33"/>
  <c r="V166" i="33"/>
  <c r="V165" i="33"/>
  <c r="V164" i="33"/>
  <c r="V163" i="33"/>
  <c r="V162" i="33"/>
  <c r="V161" i="33"/>
  <c r="V160" i="33"/>
  <c r="V159" i="33"/>
  <c r="V158" i="33"/>
  <c r="V157" i="33"/>
  <c r="V156" i="33"/>
  <c r="V155" i="33"/>
  <c r="V154" i="33"/>
  <c r="V153" i="33"/>
  <c r="V152" i="33"/>
  <c r="V151" i="33"/>
  <c r="V150" i="33"/>
  <c r="V149" i="33"/>
  <c r="V148" i="33"/>
  <c r="V147" i="33"/>
  <c r="V146" i="33"/>
  <c r="V145" i="33"/>
  <c r="V144" i="33"/>
  <c r="V143" i="33"/>
  <c r="V142" i="33"/>
  <c r="V141" i="33"/>
  <c r="V140" i="33"/>
  <c r="V139" i="33"/>
  <c r="V138" i="33"/>
  <c r="V137" i="33"/>
  <c r="V136" i="33"/>
  <c r="V135" i="33"/>
  <c r="V134" i="33"/>
  <c r="V133" i="33"/>
  <c r="V132" i="33"/>
  <c r="V131" i="33"/>
  <c r="V130" i="33"/>
  <c r="V129" i="33"/>
  <c r="V128" i="33"/>
  <c r="V127" i="33"/>
  <c r="V126" i="33"/>
  <c r="V125" i="33"/>
  <c r="V124" i="33"/>
  <c r="V123" i="33"/>
  <c r="V122" i="33"/>
  <c r="V121" i="33"/>
  <c r="V120" i="33"/>
  <c r="V119" i="33"/>
  <c r="V118" i="33"/>
  <c r="V117" i="33"/>
  <c r="V116" i="33"/>
  <c r="V115" i="33"/>
  <c r="V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V93" i="33"/>
  <c r="K93" i="33"/>
  <c r="V92" i="33"/>
  <c r="K92" i="33"/>
  <c r="V91" i="33"/>
  <c r="K91" i="33"/>
  <c r="V90" i="33"/>
  <c r="K90" i="33"/>
  <c r="V89" i="33"/>
  <c r="K89" i="33"/>
  <c r="V88" i="33"/>
  <c r="K88" i="33"/>
  <c r="V87" i="33"/>
  <c r="K87" i="33"/>
  <c r="V86" i="33"/>
  <c r="K86" i="33"/>
  <c r="V85" i="33"/>
  <c r="K85" i="33"/>
  <c r="V84" i="33"/>
  <c r="K84" i="33"/>
  <c r="V83" i="33"/>
  <c r="K83" i="33"/>
  <c r="V82" i="33"/>
  <c r="K82" i="33"/>
  <c r="V81" i="33"/>
  <c r="K81" i="33"/>
  <c r="V80" i="33"/>
  <c r="K80" i="33"/>
  <c r="V79" i="33"/>
  <c r="K79" i="33"/>
  <c r="V78" i="33"/>
  <c r="K78" i="33"/>
  <c r="V77" i="33"/>
  <c r="K77" i="33"/>
  <c r="V76" i="33"/>
  <c r="K76" i="33"/>
  <c r="V75" i="33"/>
  <c r="K75" i="33"/>
  <c r="V74" i="33"/>
  <c r="K74" i="33"/>
  <c r="V73" i="33"/>
  <c r="K73" i="33"/>
  <c r="V72" i="33"/>
  <c r="K72" i="33"/>
  <c r="V71" i="33"/>
  <c r="K71" i="33"/>
  <c r="V70" i="33"/>
  <c r="K70" i="33"/>
  <c r="V69" i="33"/>
  <c r="K69" i="33"/>
  <c r="V68" i="33"/>
  <c r="K68" i="33"/>
  <c r="V67" i="33"/>
  <c r="K67" i="33"/>
  <c r="V66" i="33"/>
  <c r="K66" i="33"/>
  <c r="V65" i="33"/>
  <c r="K65" i="33"/>
  <c r="V64" i="33"/>
  <c r="K64" i="33"/>
  <c r="V63" i="33"/>
  <c r="K63" i="33"/>
  <c r="V62" i="33"/>
  <c r="K62" i="33"/>
  <c r="V61" i="33"/>
  <c r="K61" i="33"/>
  <c r="V60" i="33"/>
  <c r="K60" i="33"/>
  <c r="V59" i="33"/>
  <c r="K59" i="33"/>
  <c r="V58" i="33"/>
  <c r="K58" i="33"/>
  <c r="V57" i="33"/>
  <c r="K57" i="33"/>
  <c r="V56" i="33"/>
  <c r="K56" i="33"/>
  <c r="V55" i="33"/>
  <c r="K55" i="33"/>
  <c r="V54" i="33"/>
  <c r="K54" i="33"/>
  <c r="V53" i="33"/>
  <c r="K53" i="33"/>
  <c r="V52" i="33"/>
  <c r="K52" i="33"/>
  <c r="V51" i="33"/>
  <c r="K51" i="33"/>
  <c r="V50" i="33"/>
  <c r="K50" i="33"/>
  <c r="V49" i="33"/>
  <c r="K49" i="33"/>
  <c r="V48" i="33"/>
  <c r="K48" i="33"/>
  <c r="V47" i="33"/>
  <c r="K47" i="33"/>
  <c r="V46" i="33"/>
  <c r="K46" i="33"/>
  <c r="V45" i="33"/>
  <c r="K45" i="33"/>
  <c r="V44" i="33"/>
  <c r="K44" i="33"/>
  <c r="V43" i="33"/>
  <c r="K43" i="33"/>
  <c r="V42" i="33"/>
  <c r="K42" i="33"/>
  <c r="V41" i="33"/>
  <c r="K41" i="33"/>
  <c r="V40" i="33"/>
  <c r="K40" i="33"/>
  <c r="V39" i="33"/>
  <c r="K39" i="33"/>
  <c r="V38" i="33"/>
  <c r="K38" i="33"/>
  <c r="V37" i="33"/>
  <c r="K37" i="33"/>
  <c r="V36" i="33"/>
  <c r="K36" i="33"/>
  <c r="V35" i="33"/>
  <c r="K35" i="33"/>
  <c r="V34" i="33"/>
  <c r="K34" i="33"/>
  <c r="V33" i="33"/>
  <c r="K33" i="33"/>
  <c r="V32" i="33"/>
  <c r="K32" i="33"/>
  <c r="V31" i="33"/>
  <c r="K31" i="33"/>
  <c r="V30" i="33"/>
  <c r="K30" i="33"/>
  <c r="V29" i="33"/>
  <c r="K29" i="33"/>
  <c r="V28" i="33"/>
  <c r="V27" i="33"/>
  <c r="K27" i="33"/>
  <c r="V26" i="33"/>
  <c r="K26" i="33"/>
  <c r="V25" i="33"/>
  <c r="K25" i="33"/>
  <c r="V24" i="33"/>
  <c r="K24" i="33"/>
  <c r="V23" i="33"/>
  <c r="K23" i="33"/>
  <c r="V22" i="33"/>
  <c r="K22" i="33"/>
  <c r="V21" i="33"/>
  <c r="K21" i="33"/>
  <c r="V20" i="33"/>
  <c r="K20" i="33"/>
  <c r="V19" i="33"/>
  <c r="K19" i="33"/>
  <c r="V18" i="33"/>
  <c r="K18" i="33"/>
  <c r="V17" i="33"/>
  <c r="K17" i="33"/>
  <c r="V16" i="33"/>
  <c r="K16" i="33"/>
  <c r="V15" i="33"/>
  <c r="K15" i="33"/>
  <c r="V14" i="33"/>
  <c r="K14" i="33"/>
  <c r="V13" i="33"/>
  <c r="K13" i="33"/>
  <c r="V12" i="33"/>
  <c r="K12" i="33"/>
  <c r="V11" i="33"/>
  <c r="K11" i="33"/>
  <c r="V10" i="33"/>
  <c r="K10" i="33"/>
  <c r="V9" i="33"/>
  <c r="K9" i="33"/>
  <c r="V8" i="33"/>
  <c r="K8" i="33"/>
  <c r="V7" i="33"/>
  <c r="K7" i="33"/>
  <c r="V6" i="33"/>
  <c r="K6" i="33"/>
  <c r="V5" i="33"/>
  <c r="K5" i="33"/>
  <c r="V4" i="33"/>
  <c r="K4" i="33"/>
  <c r="V3" i="33"/>
  <c r="K3" i="33"/>
  <c r="V2" i="33"/>
  <c r="K2" i="33"/>
  <c r="O3" i="1"/>
  <c r="O4" i="1"/>
  <c r="O2" i="1"/>
  <c r="N8" i="32"/>
  <c r="G5" i="32"/>
  <c r="O5" i="32" s="1"/>
  <c r="G4" i="32"/>
  <c r="O4" i="32" s="1"/>
  <c r="G3" i="32"/>
  <c r="O3" i="32" s="1"/>
  <c r="E3" i="32"/>
  <c r="G2" i="32"/>
  <c r="N22" i="31"/>
  <c r="G17" i="31"/>
  <c r="O17" i="31" s="1"/>
  <c r="G9" i="31"/>
  <c r="O9" i="31" s="1"/>
  <c r="G7" i="31"/>
  <c r="O7" i="31" s="1"/>
  <c r="E7" i="31"/>
  <c r="G4" i="31"/>
  <c r="O4" i="31" s="1"/>
  <c r="E4" i="31"/>
  <c r="G2" i="31"/>
  <c r="O2" i="31" s="1"/>
  <c r="E2" i="31"/>
  <c r="P17" i="30"/>
  <c r="N17" i="30"/>
  <c r="F17" i="30"/>
  <c r="P16" i="30"/>
  <c r="N16" i="30"/>
  <c r="F16" i="30"/>
  <c r="P15" i="30"/>
  <c r="N15" i="30"/>
  <c r="F15" i="30"/>
  <c r="P14" i="30"/>
  <c r="N14" i="30"/>
  <c r="F14" i="30"/>
  <c r="P13" i="30"/>
  <c r="N13" i="30"/>
  <c r="F13" i="30"/>
  <c r="P12" i="30"/>
  <c r="N12" i="30"/>
  <c r="F12" i="30"/>
  <c r="P11" i="30"/>
  <c r="N11" i="30"/>
  <c r="F11" i="30"/>
  <c r="P10" i="30"/>
  <c r="N10" i="30"/>
  <c r="F10" i="30"/>
  <c r="P9" i="30"/>
  <c r="N9" i="30"/>
  <c r="F9" i="30"/>
  <c r="P8" i="30"/>
  <c r="N8" i="30"/>
  <c r="F8" i="30"/>
  <c r="P7" i="30"/>
  <c r="N7" i="30"/>
  <c r="F7" i="30"/>
  <c r="P6" i="30"/>
  <c r="N6" i="30"/>
  <c r="F6" i="30"/>
  <c r="P5" i="30"/>
  <c r="N5" i="30"/>
  <c r="F5" i="30"/>
  <c r="P4" i="30"/>
  <c r="N4" i="30"/>
  <c r="F4" i="30"/>
  <c r="P18" i="9"/>
  <c r="J43" i="34" l="1"/>
  <c r="I52" i="34"/>
  <c r="I53" i="34" s="1"/>
  <c r="J55" i="34"/>
  <c r="I56" i="34"/>
  <c r="U56" i="34" s="1"/>
  <c r="N18" i="9"/>
  <c r="F20" i="9"/>
  <c r="O22" i="31"/>
  <c r="F18" i="30"/>
  <c r="F21" i="30" s="1"/>
  <c r="G8" i="32"/>
  <c r="E8" i="32" s="1"/>
  <c r="O2" i="32"/>
  <c r="O8" i="32" s="1"/>
  <c r="U84" i="34"/>
  <c r="U91" i="34"/>
  <c r="U50" i="34"/>
  <c r="U143" i="34"/>
  <c r="U94" i="34"/>
  <c r="U148" i="34"/>
  <c r="U96" i="34"/>
  <c r="U155" i="34"/>
  <c r="U144" i="34"/>
  <c r="U139" i="34"/>
  <c r="U128" i="34"/>
  <c r="U123" i="34"/>
  <c r="U112" i="34"/>
  <c r="U145" i="34"/>
  <c r="U126" i="34"/>
  <c r="U117" i="34"/>
  <c r="U116" i="34"/>
  <c r="U113" i="34"/>
  <c r="U131" i="34"/>
  <c r="U101" i="34"/>
  <c r="U67" i="34"/>
  <c r="U15" i="34"/>
  <c r="U129" i="34"/>
  <c r="U100" i="34"/>
  <c r="U63" i="34"/>
  <c r="U14" i="34"/>
  <c r="U99" i="34"/>
  <c r="U62" i="34"/>
  <c r="U10" i="34"/>
  <c r="U147" i="34"/>
  <c r="U83" i="34"/>
  <c r="U127" i="34"/>
  <c r="U97" i="34"/>
  <c r="U58" i="34"/>
  <c r="U4" i="34"/>
  <c r="U3" i="34"/>
  <c r="U149" i="34"/>
  <c r="U125" i="34"/>
  <c r="U95" i="34"/>
  <c r="U49" i="34"/>
  <c r="U45" i="34"/>
  <c r="U55" i="34"/>
  <c r="U42" i="34"/>
  <c r="U115" i="34"/>
  <c r="U90" i="34"/>
  <c r="U36" i="34"/>
  <c r="U35" i="34"/>
  <c r="U31" i="34"/>
  <c r="U30" i="34"/>
  <c r="U26" i="34"/>
  <c r="U93" i="34"/>
  <c r="U142" i="34"/>
  <c r="U141" i="34"/>
  <c r="U111" i="34"/>
  <c r="U79" i="34"/>
  <c r="U110" i="34"/>
  <c r="U78" i="34"/>
  <c r="U133" i="34"/>
  <c r="U109" i="34"/>
  <c r="U74" i="34"/>
  <c r="U20" i="34"/>
  <c r="U132" i="34"/>
  <c r="U107" i="34"/>
  <c r="U68" i="34"/>
  <c r="U19" i="34"/>
  <c r="U146" i="34"/>
  <c r="U130" i="34"/>
  <c r="U114" i="34"/>
  <c r="U98" i="34"/>
  <c r="U82" i="34"/>
  <c r="U66" i="34"/>
  <c r="U48" i="34"/>
  <c r="U34" i="34"/>
  <c r="U18" i="34"/>
  <c r="U85" i="34"/>
  <c r="U51" i="34"/>
  <c r="U37" i="34"/>
  <c r="U81" i="34"/>
  <c r="U65" i="34"/>
  <c r="U47" i="34"/>
  <c r="U33" i="34"/>
  <c r="U17" i="34"/>
  <c r="U2" i="34"/>
  <c r="U108" i="34"/>
  <c r="U60" i="34"/>
  <c r="U28" i="34"/>
  <c r="U12" i="34"/>
  <c r="U154" i="34"/>
  <c r="U138" i="34"/>
  <c r="U122" i="34"/>
  <c r="U106" i="34"/>
  <c r="U153" i="34"/>
  <c r="U137" i="34"/>
  <c r="U121" i="34"/>
  <c r="U105" i="34"/>
  <c r="U89" i="34"/>
  <c r="U73" i="34"/>
  <c r="U41" i="34"/>
  <c r="U25" i="34"/>
  <c r="U9" i="34"/>
  <c r="U69" i="34"/>
  <c r="U21" i="34"/>
  <c r="U80" i="34"/>
  <c r="U64" i="34"/>
  <c r="U46" i="34"/>
  <c r="U32" i="34"/>
  <c r="T156" i="34"/>
  <c r="S158" i="34" s="1"/>
  <c r="U77" i="34"/>
  <c r="U54" i="34"/>
  <c r="U29" i="34"/>
  <c r="U140" i="34"/>
  <c r="U92" i="34"/>
  <c r="U44" i="34"/>
  <c r="U75" i="34"/>
  <c r="U120" i="34"/>
  <c r="U151" i="34"/>
  <c r="U135" i="34"/>
  <c r="U119" i="34"/>
  <c r="U103" i="34"/>
  <c r="U87" i="34"/>
  <c r="U71" i="34"/>
  <c r="U39" i="34"/>
  <c r="U23" i="34"/>
  <c r="U7" i="34"/>
  <c r="U5" i="34"/>
  <c r="U61" i="34"/>
  <c r="U76" i="34"/>
  <c r="U59" i="34"/>
  <c r="U43" i="34"/>
  <c r="U27" i="34"/>
  <c r="U11" i="34"/>
  <c r="U152" i="34"/>
  <c r="U136" i="34"/>
  <c r="U104" i="34"/>
  <c r="U88" i="34"/>
  <c r="U72" i="34"/>
  <c r="U40" i="34"/>
  <c r="U24" i="34"/>
  <c r="U8" i="34"/>
  <c r="U150" i="34"/>
  <c r="U134" i="34"/>
  <c r="U118" i="34"/>
  <c r="U102" i="34"/>
  <c r="U86" i="34"/>
  <c r="U70" i="34"/>
  <c r="U38" i="34"/>
  <c r="U22" i="34"/>
  <c r="U6" i="34"/>
  <c r="I44" i="37"/>
  <c r="G22" i="31"/>
  <c r="E22" i="31" s="1"/>
  <c r="J113" i="35"/>
  <c r="K43" i="35"/>
  <c r="K44" i="35"/>
  <c r="K54" i="35"/>
  <c r="K4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55" i="35"/>
  <c r="K45" i="35"/>
  <c r="K46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47" i="35"/>
  <c r="K48" i="35"/>
  <c r="K49" i="35"/>
  <c r="K50" i="35"/>
  <c r="K51" i="35"/>
  <c r="K56" i="35"/>
  <c r="K57" i="35"/>
  <c r="K58" i="35"/>
  <c r="K59" i="35"/>
  <c r="K60" i="35"/>
  <c r="K64" i="35"/>
  <c r="K65" i="35"/>
  <c r="K66" i="35"/>
  <c r="K67" i="35"/>
  <c r="K68" i="35"/>
  <c r="K69" i="35"/>
  <c r="K86" i="35"/>
  <c r="K87" i="35"/>
  <c r="K88" i="35"/>
  <c r="K2" i="35"/>
  <c r="W242" i="33"/>
  <c r="W245" i="33" s="1"/>
  <c r="Q157" i="34"/>
  <c r="J124" i="34"/>
  <c r="O7" i="29"/>
  <c r="N7" i="29"/>
  <c r="N6" i="29"/>
  <c r="F6" i="29"/>
  <c r="O6" i="29" s="1"/>
  <c r="O5" i="29"/>
  <c r="N5" i="29"/>
  <c r="N4" i="29"/>
  <c r="F4" i="29"/>
  <c r="O4" i="29" s="1"/>
  <c r="N3" i="29"/>
  <c r="O3" i="29"/>
  <c r="N2" i="29"/>
  <c r="F2" i="29"/>
  <c r="M4" i="28"/>
  <c r="M5" i="28"/>
  <c r="M6" i="28"/>
  <c r="M7" i="28"/>
  <c r="M8" i="28"/>
  <c r="M9" i="28"/>
  <c r="M10" i="28"/>
  <c r="M11" i="28"/>
  <c r="M12" i="28"/>
  <c r="M13" i="28"/>
  <c r="M14" i="28"/>
  <c r="M3" i="28"/>
  <c r="D15" i="28"/>
  <c r="L14" i="28"/>
  <c r="L13" i="28"/>
  <c r="L12" i="28"/>
  <c r="L11" i="28"/>
  <c r="L10" i="28"/>
  <c r="L9" i="28"/>
  <c r="L8" i="28"/>
  <c r="L7" i="28"/>
  <c r="L6" i="28"/>
  <c r="L5" i="28"/>
  <c r="L4" i="28"/>
  <c r="L3" i="28"/>
  <c r="I7" i="27"/>
  <c r="N7" i="27"/>
  <c r="N19" i="27"/>
  <c r="I19" i="27"/>
  <c r="N18" i="27"/>
  <c r="I18" i="27"/>
  <c r="N17" i="27"/>
  <c r="I17" i="27"/>
  <c r="N16" i="27"/>
  <c r="I16" i="27"/>
  <c r="N15" i="27"/>
  <c r="I15" i="27"/>
  <c r="N14" i="27"/>
  <c r="I14" i="27"/>
  <c r="N13" i="27"/>
  <c r="I13" i="27"/>
  <c r="N12" i="27"/>
  <c r="I12" i="27"/>
  <c r="N11" i="27"/>
  <c r="I11" i="27"/>
  <c r="N10" i="27"/>
  <c r="I10" i="27"/>
  <c r="N9" i="27"/>
  <c r="I9" i="27"/>
  <c r="N8" i="27"/>
  <c r="I8" i="27"/>
  <c r="N6" i="27"/>
  <c r="I6" i="27"/>
  <c r="N5" i="27"/>
  <c r="I5" i="27"/>
  <c r="N4" i="27"/>
  <c r="I4" i="27"/>
  <c r="N3" i="27"/>
  <c r="I3" i="27"/>
  <c r="W242" i="26"/>
  <c r="V242" i="26"/>
  <c r="W241" i="26"/>
  <c r="V241" i="26"/>
  <c r="W240" i="26"/>
  <c r="V240" i="26"/>
  <c r="W239" i="26"/>
  <c r="V239" i="26"/>
  <c r="W238" i="26"/>
  <c r="V238" i="26"/>
  <c r="W237" i="26"/>
  <c r="V237" i="26"/>
  <c r="W236" i="26"/>
  <c r="V236" i="26"/>
  <c r="W235" i="26"/>
  <c r="V235" i="26"/>
  <c r="W234" i="26"/>
  <c r="V234" i="26"/>
  <c r="W233" i="26"/>
  <c r="V233" i="26"/>
  <c r="W232" i="26"/>
  <c r="V232" i="26"/>
  <c r="W231" i="26"/>
  <c r="V231" i="26"/>
  <c r="W230" i="26"/>
  <c r="V230" i="26"/>
  <c r="W229" i="26"/>
  <c r="V229" i="26"/>
  <c r="W228" i="26"/>
  <c r="V228" i="26"/>
  <c r="W227" i="26"/>
  <c r="V227" i="26"/>
  <c r="W226" i="26"/>
  <c r="V226" i="26"/>
  <c r="W225" i="26"/>
  <c r="V225" i="26"/>
  <c r="W224" i="26"/>
  <c r="V224" i="26"/>
  <c r="W223" i="26"/>
  <c r="V223" i="26"/>
  <c r="W222" i="26"/>
  <c r="V222" i="26"/>
  <c r="W221" i="26"/>
  <c r="V221" i="26"/>
  <c r="W220" i="26"/>
  <c r="V220" i="26"/>
  <c r="W219" i="26"/>
  <c r="V219" i="26"/>
  <c r="W218" i="26"/>
  <c r="V218" i="26"/>
  <c r="W217" i="26"/>
  <c r="V217" i="26"/>
  <c r="W216" i="26"/>
  <c r="V216" i="26"/>
  <c r="W215" i="26"/>
  <c r="V215" i="26"/>
  <c r="W214" i="26"/>
  <c r="V214" i="26"/>
  <c r="W213" i="26"/>
  <c r="V213" i="26"/>
  <c r="W212" i="26"/>
  <c r="V212" i="26"/>
  <c r="W211" i="26"/>
  <c r="V211" i="26"/>
  <c r="W210" i="26"/>
  <c r="V210" i="26"/>
  <c r="W209" i="26"/>
  <c r="V209" i="26"/>
  <c r="W208" i="26"/>
  <c r="V208" i="26"/>
  <c r="W207" i="26"/>
  <c r="V207" i="26"/>
  <c r="W206" i="26"/>
  <c r="V206" i="26"/>
  <c r="W205" i="26"/>
  <c r="V205" i="26"/>
  <c r="W204" i="26"/>
  <c r="V204" i="26"/>
  <c r="W203" i="26"/>
  <c r="V203" i="26"/>
  <c r="W202" i="26"/>
  <c r="V202" i="26"/>
  <c r="W201" i="26"/>
  <c r="V201" i="26"/>
  <c r="W200" i="26"/>
  <c r="V200" i="26"/>
  <c r="W199" i="26"/>
  <c r="V199" i="26"/>
  <c r="W198" i="26"/>
  <c r="V198" i="26"/>
  <c r="W197" i="26"/>
  <c r="V197" i="26"/>
  <c r="W196" i="26"/>
  <c r="V196" i="26"/>
  <c r="W195" i="26"/>
  <c r="V195" i="26"/>
  <c r="W194" i="26"/>
  <c r="V194" i="26"/>
  <c r="W193" i="26"/>
  <c r="V193" i="26"/>
  <c r="W192" i="26"/>
  <c r="V192" i="26"/>
  <c r="W191" i="26"/>
  <c r="V191" i="26"/>
  <c r="W190" i="26"/>
  <c r="V190" i="26"/>
  <c r="W189" i="26"/>
  <c r="V189" i="26"/>
  <c r="W188" i="26"/>
  <c r="V188" i="26"/>
  <c r="W187" i="26"/>
  <c r="V187" i="26"/>
  <c r="W186" i="26"/>
  <c r="V186" i="26"/>
  <c r="W185" i="26"/>
  <c r="V185" i="26"/>
  <c r="W184" i="26"/>
  <c r="V184" i="26"/>
  <c r="W183" i="26"/>
  <c r="V183" i="26"/>
  <c r="W182" i="26"/>
  <c r="V182" i="26"/>
  <c r="W181" i="26"/>
  <c r="V181" i="26"/>
  <c r="W180" i="26"/>
  <c r="V180" i="26"/>
  <c r="W179" i="26"/>
  <c r="V179" i="26"/>
  <c r="W178" i="26"/>
  <c r="V178" i="26"/>
  <c r="W177" i="26"/>
  <c r="V177" i="26"/>
  <c r="W176" i="26"/>
  <c r="V176" i="26"/>
  <c r="W175" i="26"/>
  <c r="V175" i="26"/>
  <c r="W174" i="26"/>
  <c r="V174" i="26"/>
  <c r="W173" i="26"/>
  <c r="V173" i="26"/>
  <c r="W172" i="26"/>
  <c r="V172" i="26"/>
  <c r="W171" i="26"/>
  <c r="V171" i="26"/>
  <c r="W170" i="26"/>
  <c r="V170" i="26"/>
  <c r="W169" i="26"/>
  <c r="V169" i="26"/>
  <c r="W168" i="26"/>
  <c r="V168" i="26"/>
  <c r="W167" i="26"/>
  <c r="V167" i="26"/>
  <c r="W166" i="26"/>
  <c r="V166" i="26"/>
  <c r="W165" i="26"/>
  <c r="V165" i="26"/>
  <c r="W164" i="26"/>
  <c r="V164" i="26"/>
  <c r="W163" i="26"/>
  <c r="V163" i="26"/>
  <c r="W162" i="26"/>
  <c r="V162" i="26"/>
  <c r="W161" i="26"/>
  <c r="V161" i="26"/>
  <c r="W160" i="26"/>
  <c r="V160" i="26"/>
  <c r="W159" i="26"/>
  <c r="V159" i="26"/>
  <c r="W158" i="26"/>
  <c r="V158" i="26"/>
  <c r="W157" i="26"/>
  <c r="V157" i="26"/>
  <c r="W156" i="26"/>
  <c r="V156" i="26"/>
  <c r="W155" i="26"/>
  <c r="V155" i="26"/>
  <c r="W154" i="26"/>
  <c r="V154" i="26"/>
  <c r="W153" i="26"/>
  <c r="V153" i="26"/>
  <c r="W152" i="26"/>
  <c r="V152" i="26"/>
  <c r="W151" i="26"/>
  <c r="V151" i="26"/>
  <c r="W150" i="26"/>
  <c r="V150" i="26"/>
  <c r="W149" i="26"/>
  <c r="V149" i="26"/>
  <c r="W148" i="26"/>
  <c r="V148" i="26"/>
  <c r="W147" i="26"/>
  <c r="V147" i="26"/>
  <c r="W146" i="26"/>
  <c r="V146" i="26"/>
  <c r="W145" i="26"/>
  <c r="V145" i="26"/>
  <c r="W144" i="26"/>
  <c r="V144" i="26"/>
  <c r="W143" i="26"/>
  <c r="V143" i="26"/>
  <c r="W142" i="26"/>
  <c r="V142" i="26"/>
  <c r="W141" i="26"/>
  <c r="V141" i="26"/>
  <c r="W140" i="26"/>
  <c r="V140" i="26"/>
  <c r="W139" i="26"/>
  <c r="V139" i="26"/>
  <c r="W138" i="26"/>
  <c r="V138" i="26"/>
  <c r="W137" i="26"/>
  <c r="V137" i="26"/>
  <c r="W136" i="26"/>
  <c r="V136" i="26"/>
  <c r="W135" i="26"/>
  <c r="V135" i="26"/>
  <c r="W134" i="26"/>
  <c r="V134" i="26"/>
  <c r="W133" i="26"/>
  <c r="V133" i="26"/>
  <c r="W132" i="26"/>
  <c r="V132" i="26"/>
  <c r="W131" i="26"/>
  <c r="V131" i="26"/>
  <c r="W130" i="26"/>
  <c r="V130" i="26"/>
  <c r="W129" i="26"/>
  <c r="V129" i="26"/>
  <c r="W128" i="26"/>
  <c r="V128" i="26"/>
  <c r="W127" i="26"/>
  <c r="V127" i="26"/>
  <c r="W126" i="26"/>
  <c r="V126" i="26"/>
  <c r="W125" i="26"/>
  <c r="V125" i="26"/>
  <c r="W124" i="26"/>
  <c r="V124" i="26"/>
  <c r="W123" i="26"/>
  <c r="V123" i="26"/>
  <c r="W122" i="26"/>
  <c r="V122" i="26"/>
  <c r="W121" i="26"/>
  <c r="V121" i="26"/>
  <c r="W120" i="26"/>
  <c r="V120" i="26"/>
  <c r="W119" i="26"/>
  <c r="V119" i="26"/>
  <c r="W118" i="26"/>
  <c r="V118" i="26"/>
  <c r="W117" i="26"/>
  <c r="V117" i="26"/>
  <c r="W116" i="26"/>
  <c r="V116" i="26"/>
  <c r="W115" i="26"/>
  <c r="V115" i="26"/>
  <c r="W114" i="26"/>
  <c r="V114" i="26"/>
  <c r="W113" i="26"/>
  <c r="V113" i="26"/>
  <c r="W112" i="26"/>
  <c r="V112" i="26"/>
  <c r="W111" i="26"/>
  <c r="V111" i="26"/>
  <c r="W110" i="26"/>
  <c r="V110" i="26"/>
  <c r="W109" i="26"/>
  <c r="V109" i="26"/>
  <c r="W108" i="26"/>
  <c r="V108" i="26"/>
  <c r="W107" i="26"/>
  <c r="V107" i="26"/>
  <c r="W106" i="26"/>
  <c r="V106" i="26"/>
  <c r="W105" i="26"/>
  <c r="V105" i="26"/>
  <c r="W104" i="26"/>
  <c r="V104" i="26"/>
  <c r="W103" i="26"/>
  <c r="V103" i="26"/>
  <c r="W102" i="26"/>
  <c r="V102" i="26"/>
  <c r="W101" i="26"/>
  <c r="V101" i="26"/>
  <c r="W100" i="26"/>
  <c r="V100" i="26"/>
  <c r="W99" i="26"/>
  <c r="V99" i="26"/>
  <c r="W98" i="26"/>
  <c r="V98" i="26"/>
  <c r="W97" i="26"/>
  <c r="V97" i="26"/>
  <c r="W96" i="26"/>
  <c r="V96" i="26"/>
  <c r="W95" i="26"/>
  <c r="V95" i="26"/>
  <c r="W94" i="26"/>
  <c r="V94" i="26"/>
  <c r="W93" i="26"/>
  <c r="V93" i="26"/>
  <c r="W92" i="26"/>
  <c r="V92" i="26"/>
  <c r="W91" i="26"/>
  <c r="V91" i="26"/>
  <c r="W90" i="26"/>
  <c r="V90" i="26"/>
  <c r="W89" i="26"/>
  <c r="V89" i="26"/>
  <c r="W88" i="26"/>
  <c r="V88" i="26"/>
  <c r="W87" i="26"/>
  <c r="V87" i="26"/>
  <c r="W86" i="26"/>
  <c r="V86" i="26"/>
  <c r="W85" i="26"/>
  <c r="V85" i="26"/>
  <c r="W84" i="26"/>
  <c r="V84" i="26"/>
  <c r="W83" i="26"/>
  <c r="V83" i="26"/>
  <c r="W82" i="26"/>
  <c r="V82" i="26"/>
  <c r="W81" i="26"/>
  <c r="V81" i="26"/>
  <c r="W80" i="26"/>
  <c r="V80" i="26"/>
  <c r="W79" i="26"/>
  <c r="V79" i="26"/>
  <c r="W78" i="26"/>
  <c r="V78" i="26"/>
  <c r="W77" i="26"/>
  <c r="V77" i="26"/>
  <c r="W76" i="26"/>
  <c r="V76" i="26"/>
  <c r="W75" i="26"/>
  <c r="V75" i="26"/>
  <c r="W74" i="26"/>
  <c r="V74" i="26"/>
  <c r="W73" i="26"/>
  <c r="V73" i="26"/>
  <c r="W72" i="26"/>
  <c r="V72" i="26"/>
  <c r="W71" i="26"/>
  <c r="V71" i="26"/>
  <c r="W70" i="26"/>
  <c r="V70" i="26"/>
  <c r="W69" i="26"/>
  <c r="V69" i="26"/>
  <c r="W68" i="26"/>
  <c r="V68" i="26"/>
  <c r="W67" i="26"/>
  <c r="V67" i="26"/>
  <c r="W66" i="26"/>
  <c r="V66" i="26"/>
  <c r="W65" i="26"/>
  <c r="V65" i="26"/>
  <c r="W64" i="26"/>
  <c r="V64" i="26"/>
  <c r="W63" i="26"/>
  <c r="V63" i="26"/>
  <c r="W62" i="26"/>
  <c r="V62" i="26"/>
  <c r="W61" i="26"/>
  <c r="V61" i="26"/>
  <c r="W60" i="26"/>
  <c r="V60" i="26"/>
  <c r="W59" i="26"/>
  <c r="V59" i="26"/>
  <c r="W58" i="26"/>
  <c r="V58" i="26"/>
  <c r="W57" i="26"/>
  <c r="V57" i="26"/>
  <c r="W56" i="26"/>
  <c r="V56" i="26"/>
  <c r="W55" i="26"/>
  <c r="V55" i="26"/>
  <c r="W54" i="26"/>
  <c r="V54" i="26"/>
  <c r="W53" i="26"/>
  <c r="V53" i="26"/>
  <c r="W52" i="26"/>
  <c r="V52" i="26"/>
  <c r="W51" i="26"/>
  <c r="V51" i="26"/>
  <c r="W50" i="26"/>
  <c r="V50" i="26"/>
  <c r="W49" i="26"/>
  <c r="V49" i="26"/>
  <c r="W48" i="26"/>
  <c r="V48" i="26"/>
  <c r="W47" i="26"/>
  <c r="V47" i="26"/>
  <c r="W46" i="26"/>
  <c r="V46" i="26"/>
  <c r="W45" i="26"/>
  <c r="V45" i="26"/>
  <c r="W44" i="26"/>
  <c r="V44" i="26"/>
  <c r="W43" i="26"/>
  <c r="V43" i="26"/>
  <c r="W42" i="26"/>
  <c r="V42" i="26"/>
  <c r="W41" i="26"/>
  <c r="V41" i="26"/>
  <c r="W40" i="26"/>
  <c r="V40" i="26"/>
  <c r="W39" i="26"/>
  <c r="V39" i="26"/>
  <c r="W38" i="26"/>
  <c r="V38" i="26"/>
  <c r="W37" i="26"/>
  <c r="V37" i="26"/>
  <c r="W36" i="26"/>
  <c r="V36" i="26"/>
  <c r="W35" i="26"/>
  <c r="V35" i="26"/>
  <c r="W34" i="26"/>
  <c r="V34" i="26"/>
  <c r="W33" i="26"/>
  <c r="V33" i="26"/>
  <c r="W32" i="26"/>
  <c r="V32" i="26"/>
  <c r="W31" i="26"/>
  <c r="V31" i="26"/>
  <c r="W30" i="26"/>
  <c r="V30" i="26"/>
  <c r="W29" i="26"/>
  <c r="V29" i="26"/>
  <c r="W28" i="26"/>
  <c r="V28" i="26"/>
  <c r="W27" i="26"/>
  <c r="V27" i="26"/>
  <c r="W26" i="26"/>
  <c r="V26" i="26"/>
  <c r="W25" i="26"/>
  <c r="V25" i="26"/>
  <c r="W24" i="26"/>
  <c r="V24" i="26"/>
  <c r="W23" i="26"/>
  <c r="V23" i="26"/>
  <c r="W22" i="26"/>
  <c r="V22" i="26"/>
  <c r="W21" i="26"/>
  <c r="V21" i="26"/>
  <c r="W20" i="26"/>
  <c r="V20" i="26"/>
  <c r="W19" i="26"/>
  <c r="V19" i="26"/>
  <c r="W18" i="26"/>
  <c r="V18" i="26"/>
  <c r="W17" i="26"/>
  <c r="V17" i="26"/>
  <c r="W16" i="26"/>
  <c r="V16" i="26"/>
  <c r="W15" i="26"/>
  <c r="V15" i="26"/>
  <c r="W14" i="26"/>
  <c r="V14" i="26"/>
  <c r="W13" i="26"/>
  <c r="V13" i="26"/>
  <c r="W12" i="26"/>
  <c r="V12" i="26"/>
  <c r="W11" i="26"/>
  <c r="V11" i="26"/>
  <c r="W10" i="26"/>
  <c r="V10" i="26"/>
  <c r="W9" i="26"/>
  <c r="V9" i="26"/>
  <c r="W8" i="26"/>
  <c r="V8" i="26"/>
  <c r="W7" i="26"/>
  <c r="V7" i="26"/>
  <c r="W6" i="26"/>
  <c r="V6" i="26"/>
  <c r="W5" i="26"/>
  <c r="V5" i="26"/>
  <c r="W4" i="26"/>
  <c r="V4" i="26"/>
  <c r="V3" i="26"/>
  <c r="H3" i="26"/>
  <c r="W3" i="26" s="1"/>
  <c r="V2" i="26"/>
  <c r="H2" i="26"/>
  <c r="W2" i="26" s="1"/>
  <c r="X108" i="12"/>
  <c r="U108" i="12" s="1"/>
  <c r="Y28" i="12"/>
  <c r="Y29" i="12"/>
  <c r="Y35" i="12"/>
  <c r="Y36" i="12"/>
  <c r="Y47" i="12"/>
  <c r="Y48" i="12"/>
  <c r="Y67" i="12"/>
  <c r="Y68" i="12"/>
  <c r="Y69" i="12"/>
  <c r="Y70" i="12"/>
  <c r="Y91" i="12"/>
  <c r="Y92" i="12"/>
  <c r="Y96" i="12"/>
  <c r="Y97" i="12"/>
  <c r="Y100" i="12"/>
  <c r="Y101" i="12"/>
  <c r="S15" i="8"/>
  <c r="S16" i="8" s="1"/>
  <c r="U14" i="11"/>
  <c r="U16" i="11" s="1"/>
  <c r="P23" i="24"/>
  <c r="P22" i="24"/>
  <c r="P21" i="24"/>
  <c r="P20" i="24"/>
  <c r="P19" i="24"/>
  <c r="P18" i="24"/>
  <c r="P17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P2" i="24"/>
  <c r="E26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2" i="24"/>
  <c r="W4" i="10"/>
  <c r="W5" i="10"/>
  <c r="W6" i="10"/>
  <c r="W7" i="10"/>
  <c r="W8" i="10"/>
  <c r="W9" i="10"/>
  <c r="W10" i="10"/>
  <c r="W11" i="10"/>
  <c r="W12" i="10"/>
  <c r="W13" i="10"/>
  <c r="W14" i="10"/>
  <c r="W15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54" i="10"/>
  <c r="W55" i="10"/>
  <c r="W45" i="10"/>
  <c r="W46" i="10"/>
  <c r="W47" i="10"/>
  <c r="W48" i="10"/>
  <c r="W49" i="10"/>
  <c r="W50" i="10"/>
  <c r="W51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P5" i="22"/>
  <c r="P7" i="22"/>
  <c r="P9" i="22"/>
  <c r="O5" i="22"/>
  <c r="O7" i="22"/>
  <c r="O9" i="22"/>
  <c r="H62" i="22"/>
  <c r="F62" i="22"/>
  <c r="N60" i="22"/>
  <c r="I60" i="22"/>
  <c r="N59" i="22"/>
  <c r="I59" i="22"/>
  <c r="N58" i="22"/>
  <c r="I58" i="22"/>
  <c r="N57" i="22"/>
  <c r="I57" i="22"/>
  <c r="N56" i="22"/>
  <c r="I56" i="22"/>
  <c r="N55" i="22"/>
  <c r="I55" i="22"/>
  <c r="N54" i="22"/>
  <c r="I54" i="22"/>
  <c r="N53" i="22"/>
  <c r="I53" i="22"/>
  <c r="N52" i="22"/>
  <c r="I52" i="22"/>
  <c r="N51" i="22"/>
  <c r="I51" i="22"/>
  <c r="N50" i="22"/>
  <c r="I50" i="22"/>
  <c r="N49" i="22"/>
  <c r="I49" i="22"/>
  <c r="N48" i="22"/>
  <c r="I48" i="22"/>
  <c r="N47" i="22"/>
  <c r="I47" i="22"/>
  <c r="N46" i="22"/>
  <c r="I46" i="22"/>
  <c r="N45" i="22"/>
  <c r="I45" i="22"/>
  <c r="N44" i="22"/>
  <c r="I44" i="22"/>
  <c r="N43" i="22"/>
  <c r="I43" i="22"/>
  <c r="N42" i="22"/>
  <c r="I42" i="22"/>
  <c r="N41" i="22"/>
  <c r="I41" i="22"/>
  <c r="N40" i="22"/>
  <c r="I40" i="22"/>
  <c r="N39" i="22"/>
  <c r="I39" i="22"/>
  <c r="N38" i="22"/>
  <c r="I38" i="22"/>
  <c r="N37" i="22"/>
  <c r="I37" i="22"/>
  <c r="N36" i="22"/>
  <c r="I36" i="22"/>
  <c r="N35" i="22"/>
  <c r="I35" i="22"/>
  <c r="N34" i="22"/>
  <c r="I34" i="22"/>
  <c r="N33" i="22"/>
  <c r="I33" i="22"/>
  <c r="N32" i="22"/>
  <c r="I32" i="22"/>
  <c r="N31" i="22"/>
  <c r="I31" i="22"/>
  <c r="N30" i="22"/>
  <c r="I30" i="22"/>
  <c r="N29" i="22"/>
  <c r="I29" i="22"/>
  <c r="N28" i="22"/>
  <c r="I28" i="22"/>
  <c r="N27" i="22"/>
  <c r="I27" i="22"/>
  <c r="N26" i="22"/>
  <c r="I26" i="22"/>
  <c r="N25" i="22"/>
  <c r="I25" i="22"/>
  <c r="N24" i="22"/>
  <c r="I24" i="22"/>
  <c r="N23" i="22"/>
  <c r="I23" i="22"/>
  <c r="N22" i="22"/>
  <c r="I22" i="22"/>
  <c r="N21" i="22"/>
  <c r="I21" i="22"/>
  <c r="N20" i="22"/>
  <c r="I20" i="22"/>
  <c r="N19" i="22"/>
  <c r="I19" i="22"/>
  <c r="N18" i="22"/>
  <c r="I18" i="22"/>
  <c r="N17" i="22"/>
  <c r="I17" i="22"/>
  <c r="N16" i="22"/>
  <c r="I16" i="22"/>
  <c r="N15" i="22"/>
  <c r="I15" i="22"/>
  <c r="N14" i="22"/>
  <c r="I14" i="22"/>
  <c r="N13" i="22"/>
  <c r="I13" i="22"/>
  <c r="N12" i="22"/>
  <c r="I12" i="22"/>
  <c r="N11" i="22"/>
  <c r="I11" i="22"/>
  <c r="N10" i="22"/>
  <c r="I10" i="22"/>
  <c r="I9" i="22"/>
  <c r="N8" i="22"/>
  <c r="I8" i="22"/>
  <c r="I7" i="22"/>
  <c r="N6" i="22"/>
  <c r="I6" i="22"/>
  <c r="I5" i="22"/>
  <c r="N4" i="22"/>
  <c r="I4" i="22"/>
  <c r="N3" i="22"/>
  <c r="I3" i="22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3" i="19"/>
  <c r="G11" i="21"/>
  <c r="E11" i="21" s="1"/>
  <c r="G21" i="19"/>
  <c r="E21" i="19" s="1"/>
  <c r="E11" i="19"/>
  <c r="E7" i="19"/>
  <c r="E6" i="19"/>
  <c r="G5" i="20"/>
  <c r="E5" i="20" s="1"/>
  <c r="P4" i="17"/>
  <c r="P5" i="17"/>
  <c r="P6" i="17"/>
  <c r="P7" i="17"/>
  <c r="P8" i="17"/>
  <c r="P9" i="17"/>
  <c r="P10" i="17"/>
  <c r="P11" i="17"/>
  <c r="P12" i="17"/>
  <c r="P13" i="17"/>
  <c r="P3" i="17"/>
  <c r="I14" i="17"/>
  <c r="F14" i="17" s="1"/>
  <c r="J31" i="15"/>
  <c r="G31" i="15" s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54" i="10"/>
  <c r="G55" i="10"/>
  <c r="G45" i="10"/>
  <c r="G46" i="10"/>
  <c r="G47" i="10"/>
  <c r="G48" i="10"/>
  <c r="G49" i="10"/>
  <c r="G50" i="10"/>
  <c r="G51" i="10"/>
  <c r="G3" i="10"/>
  <c r="G12" i="14"/>
  <c r="G11" i="14"/>
  <c r="G10" i="14"/>
  <c r="G9" i="14"/>
  <c r="G8" i="14"/>
  <c r="G7" i="14"/>
  <c r="G6" i="14"/>
  <c r="G5" i="14"/>
  <c r="G4" i="14"/>
  <c r="G3" i="14"/>
  <c r="I93" i="16"/>
  <c r="I94" i="16" s="1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0" i="16"/>
  <c r="I59" i="16"/>
  <c r="I58" i="16"/>
  <c r="I51" i="16"/>
  <c r="I50" i="16"/>
  <c r="I49" i="16"/>
  <c r="I48" i="16"/>
  <c r="I47" i="16"/>
  <c r="I46" i="16"/>
  <c r="I45" i="16"/>
  <c r="I55" i="16"/>
  <c r="I54" i="16"/>
  <c r="I56" i="16" s="1"/>
  <c r="I57" i="16" s="1"/>
  <c r="I44" i="16"/>
  <c r="I43" i="16"/>
  <c r="I42" i="16"/>
  <c r="I41" i="16"/>
  <c r="I40" i="16"/>
  <c r="I39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O13" i="1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2" i="9"/>
  <c r="E19" i="9"/>
  <c r="E20" i="9" s="1"/>
  <c r="C19" i="9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54" i="10"/>
  <c r="M55" i="10"/>
  <c r="M45" i="10"/>
  <c r="M46" i="10"/>
  <c r="M47" i="10"/>
  <c r="M48" i="10"/>
  <c r="M49" i="10"/>
  <c r="M50" i="10"/>
  <c r="M51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3" i="10"/>
  <c r="R25" i="4"/>
  <c r="G2" i="12"/>
  <c r="Y2" i="12" s="1"/>
  <c r="G3" i="12"/>
  <c r="Y3" i="12" s="1"/>
  <c r="G4" i="12"/>
  <c r="Y4" i="12" s="1"/>
  <c r="G5" i="12"/>
  <c r="Y5" i="12" s="1"/>
  <c r="G6" i="12"/>
  <c r="Y6" i="12" s="1"/>
  <c r="G7" i="12"/>
  <c r="Y7" i="12" s="1"/>
  <c r="G8" i="12"/>
  <c r="Y8" i="12" s="1"/>
  <c r="G9" i="12"/>
  <c r="Y9" i="12" s="1"/>
  <c r="G10" i="12"/>
  <c r="Y10" i="12" s="1"/>
  <c r="G11" i="12"/>
  <c r="Y11" i="12" s="1"/>
  <c r="G12" i="12"/>
  <c r="Y12" i="12" s="1"/>
  <c r="G13" i="12"/>
  <c r="Y13" i="12" s="1"/>
  <c r="G14" i="12"/>
  <c r="Y14" i="12" s="1"/>
  <c r="G15" i="12"/>
  <c r="Y15" i="12" s="1"/>
  <c r="G16" i="12"/>
  <c r="Y16" i="12" s="1"/>
  <c r="G17" i="12"/>
  <c r="Y17" i="12" s="1"/>
  <c r="G18" i="12"/>
  <c r="Y18" i="12" s="1"/>
  <c r="G19" i="12"/>
  <c r="Y19" i="12" s="1"/>
  <c r="G20" i="12"/>
  <c r="Y20" i="12" s="1"/>
  <c r="G21" i="12"/>
  <c r="Y21" i="12" s="1"/>
  <c r="G22" i="12"/>
  <c r="Y22" i="12" s="1"/>
  <c r="G23" i="12"/>
  <c r="Y23" i="12" s="1"/>
  <c r="G24" i="12"/>
  <c r="Y24" i="12" s="1"/>
  <c r="G25" i="12"/>
  <c r="Y25" i="12" s="1"/>
  <c r="G26" i="12"/>
  <c r="Y26" i="12" s="1"/>
  <c r="G27" i="12"/>
  <c r="Y27" i="12" s="1"/>
  <c r="G30" i="12"/>
  <c r="Y30" i="12" s="1"/>
  <c r="G31" i="12"/>
  <c r="Y31" i="12" s="1"/>
  <c r="G32" i="12"/>
  <c r="Y32" i="12" s="1"/>
  <c r="G33" i="12"/>
  <c r="Y33" i="12" s="1"/>
  <c r="G34" i="12"/>
  <c r="G37" i="12"/>
  <c r="Y37" i="12" s="1"/>
  <c r="G38" i="12"/>
  <c r="Y38" i="12" s="1"/>
  <c r="G39" i="12"/>
  <c r="Y39" i="12" s="1"/>
  <c r="G40" i="12"/>
  <c r="Y40" i="12" s="1"/>
  <c r="G41" i="12"/>
  <c r="Y41" i="12" s="1"/>
  <c r="G42" i="12"/>
  <c r="Y42" i="12" s="1"/>
  <c r="G43" i="12"/>
  <c r="Y43" i="12" s="1"/>
  <c r="G44" i="12"/>
  <c r="Y44" i="12" s="1"/>
  <c r="G54" i="12"/>
  <c r="Y54" i="12" s="1"/>
  <c r="G55" i="12"/>
  <c r="Y55" i="12" s="1"/>
  <c r="G45" i="12"/>
  <c r="Y45" i="12" s="1"/>
  <c r="G46" i="12"/>
  <c r="Y46" i="12" s="1"/>
  <c r="G49" i="12"/>
  <c r="Y49" i="12" s="1"/>
  <c r="G50" i="12"/>
  <c r="Y50" i="12" s="1"/>
  <c r="G51" i="12"/>
  <c r="Y51" i="12" s="1"/>
  <c r="G56" i="12"/>
  <c r="G57" i="12"/>
  <c r="Y57" i="12" s="1"/>
  <c r="G58" i="12"/>
  <c r="Y58" i="12" s="1"/>
  <c r="G59" i="12"/>
  <c r="Y59" i="12" s="1"/>
  <c r="G60" i="12"/>
  <c r="Y60" i="12" s="1"/>
  <c r="G61" i="12"/>
  <c r="Y61" i="12" s="1"/>
  <c r="Y62" i="12"/>
  <c r="Y63" i="12"/>
  <c r="G64" i="12"/>
  <c r="Y64" i="12" s="1"/>
  <c r="G65" i="12"/>
  <c r="Y65" i="12" s="1"/>
  <c r="G66" i="12"/>
  <c r="Y66" i="12" s="1"/>
  <c r="G71" i="12"/>
  <c r="Y71" i="12" s="1"/>
  <c r="G72" i="12"/>
  <c r="Y72" i="12" s="1"/>
  <c r="G73" i="12"/>
  <c r="Y73" i="12" s="1"/>
  <c r="G74" i="12"/>
  <c r="Y74" i="12" s="1"/>
  <c r="G75" i="12"/>
  <c r="Y75" i="12" s="1"/>
  <c r="G76" i="12"/>
  <c r="Y76" i="12" s="1"/>
  <c r="G77" i="12"/>
  <c r="Y77" i="12" s="1"/>
  <c r="G78" i="12"/>
  <c r="Y78" i="12" s="1"/>
  <c r="G79" i="12"/>
  <c r="Y79" i="12" s="1"/>
  <c r="G80" i="12"/>
  <c r="Y80" i="12" s="1"/>
  <c r="G81" i="12"/>
  <c r="Y81" i="12" s="1"/>
  <c r="G82" i="12"/>
  <c r="Y82" i="12" s="1"/>
  <c r="G83" i="12"/>
  <c r="Y83" i="12" s="1"/>
  <c r="G84" i="12"/>
  <c r="Y84" i="12" s="1"/>
  <c r="G85" i="12"/>
  <c r="Y85" i="12" s="1"/>
  <c r="G86" i="12"/>
  <c r="Y86" i="12" s="1"/>
  <c r="G87" i="12"/>
  <c r="Y87" i="12" s="1"/>
  <c r="G88" i="12"/>
  <c r="Y88" i="12" s="1"/>
  <c r="G89" i="12"/>
  <c r="Y89" i="12" s="1"/>
  <c r="G90" i="12"/>
  <c r="Y90" i="12" s="1"/>
  <c r="G93" i="12"/>
  <c r="Y93" i="12" s="1"/>
  <c r="G94" i="12"/>
  <c r="Y94" i="12" s="1"/>
  <c r="G95" i="12"/>
  <c r="Y95" i="12" s="1"/>
  <c r="G98" i="12"/>
  <c r="Y98" i="12" s="1"/>
  <c r="G99" i="12"/>
  <c r="Y99" i="12" s="1"/>
  <c r="G102" i="12"/>
  <c r="Y102" i="12" s="1"/>
  <c r="G103" i="12"/>
  <c r="Y103" i="12" s="1"/>
  <c r="G104" i="12"/>
  <c r="Y104" i="12" s="1"/>
  <c r="G105" i="12"/>
  <c r="Y105" i="12" s="1"/>
  <c r="G106" i="12"/>
  <c r="Y106" i="12" s="1"/>
  <c r="G107" i="12"/>
  <c r="Y107" i="12" s="1"/>
  <c r="F2" i="11"/>
  <c r="Q2" i="11" s="1"/>
  <c r="F3" i="11"/>
  <c r="Q3" i="11" s="1"/>
  <c r="F4" i="11"/>
  <c r="Q4" i="11" s="1"/>
  <c r="F5" i="11"/>
  <c r="Q5" i="11" s="1"/>
  <c r="F6" i="11"/>
  <c r="Q6" i="11" s="1"/>
  <c r="F7" i="11"/>
  <c r="Q7" i="11" s="1"/>
  <c r="F8" i="11"/>
  <c r="Q8" i="11" s="1"/>
  <c r="F9" i="11"/>
  <c r="Q9" i="11" s="1"/>
  <c r="F10" i="11"/>
  <c r="Q10" i="11" s="1"/>
  <c r="F11" i="11"/>
  <c r="Q11" i="11" s="1"/>
  <c r="F12" i="11"/>
  <c r="Q12" i="11" s="1"/>
  <c r="L6" i="8"/>
  <c r="R10" i="3"/>
  <c r="N10" i="3" s="1"/>
  <c r="G15" i="8"/>
  <c r="E15" i="8" s="1"/>
  <c r="L14" i="8"/>
  <c r="L13" i="8"/>
  <c r="L12" i="8"/>
  <c r="L11" i="8"/>
  <c r="L10" i="8"/>
  <c r="L9" i="8"/>
  <c r="L8" i="8"/>
  <c r="L7" i="8"/>
  <c r="L5" i="8"/>
  <c r="L4" i="8"/>
  <c r="E28" i="7"/>
  <c r="K28" i="7" s="1"/>
  <c r="E24" i="7"/>
  <c r="K24" i="7" s="1"/>
  <c r="E16" i="7"/>
  <c r="K16" i="7" s="1"/>
  <c r="E23" i="6"/>
  <c r="I23" i="6" s="1"/>
  <c r="D23" i="6"/>
  <c r="C23" i="6"/>
  <c r="E16" i="6"/>
  <c r="I16" i="6" s="1"/>
  <c r="D16" i="6"/>
  <c r="C16" i="6"/>
  <c r="E17" i="5"/>
  <c r="F17" i="5" s="1"/>
  <c r="D17" i="5"/>
  <c r="C17" i="5"/>
  <c r="E12" i="5"/>
  <c r="F13" i="5" s="1"/>
  <c r="D12" i="5"/>
  <c r="C12" i="5"/>
  <c r="U13" i="34" l="1"/>
  <c r="U16" i="34"/>
  <c r="I52" i="16"/>
  <c r="I53" i="16" s="1"/>
  <c r="I57" i="34"/>
  <c r="J56" i="34"/>
  <c r="I45" i="37"/>
  <c r="I52" i="37" s="1"/>
  <c r="I53" i="37" s="1"/>
  <c r="U45" i="37"/>
  <c r="U46" i="37" s="1"/>
  <c r="W243" i="26"/>
  <c r="M15" i="28"/>
  <c r="M17" i="28" s="1"/>
  <c r="P26" i="24"/>
  <c r="P28" i="24" s="1"/>
  <c r="Y113" i="35"/>
  <c r="Y116" i="35" s="1"/>
  <c r="P14" i="17"/>
  <c r="P15" i="17" s="1"/>
  <c r="N21" i="19"/>
  <c r="C25" i="6"/>
  <c r="Q13" i="11"/>
  <c r="E25" i="6"/>
  <c r="G13" i="14"/>
  <c r="E13" i="14" s="1"/>
  <c r="F8" i="29"/>
  <c r="D8" i="29" s="1"/>
  <c r="O2" i="29"/>
  <c r="O8" i="29" s="1"/>
  <c r="O60" i="22"/>
  <c r="P60" i="22"/>
  <c r="P59" i="22"/>
  <c r="O59" i="22"/>
  <c r="P58" i="22"/>
  <c r="O58" i="22"/>
  <c r="P57" i="22"/>
  <c r="O57" i="22"/>
  <c r="O56" i="22"/>
  <c r="P56" i="22"/>
  <c r="O55" i="22"/>
  <c r="P55" i="22"/>
  <c r="O54" i="22"/>
  <c r="P54" i="22"/>
  <c r="O53" i="22"/>
  <c r="P53" i="22"/>
  <c r="O52" i="22"/>
  <c r="P52" i="22"/>
  <c r="O51" i="22"/>
  <c r="P51" i="22"/>
  <c r="O50" i="22"/>
  <c r="P50" i="22"/>
  <c r="O49" i="22"/>
  <c r="P49" i="22"/>
  <c r="P48" i="22"/>
  <c r="O48" i="22"/>
  <c r="P47" i="22"/>
  <c r="O47" i="22"/>
  <c r="O46" i="22"/>
  <c r="P46" i="22"/>
  <c r="P45" i="22"/>
  <c r="O45" i="22"/>
  <c r="P44" i="22"/>
  <c r="O44" i="22"/>
  <c r="P43" i="22"/>
  <c r="O43" i="22"/>
  <c r="O42" i="22"/>
  <c r="P42" i="22"/>
  <c r="P41" i="22"/>
  <c r="O41" i="22"/>
  <c r="O40" i="22"/>
  <c r="P40" i="22"/>
  <c r="O39" i="22"/>
  <c r="P39" i="22"/>
  <c r="P38" i="22"/>
  <c r="O38" i="22"/>
  <c r="O37" i="22"/>
  <c r="P37" i="22"/>
  <c r="O36" i="22"/>
  <c r="P36" i="22"/>
  <c r="P35" i="22"/>
  <c r="O35" i="22"/>
  <c r="P34" i="22"/>
  <c r="O34" i="22"/>
  <c r="O33" i="22"/>
  <c r="P33" i="22"/>
  <c r="O32" i="22"/>
  <c r="P32" i="22"/>
  <c r="O31" i="22"/>
  <c r="P31" i="22"/>
  <c r="O30" i="22"/>
  <c r="P30" i="22"/>
  <c r="O29" i="22"/>
  <c r="P29" i="22"/>
  <c r="O28" i="22"/>
  <c r="P28" i="22"/>
  <c r="P27" i="22"/>
  <c r="O27" i="22"/>
  <c r="O26" i="22"/>
  <c r="P26" i="22"/>
  <c r="P25" i="22"/>
  <c r="O25" i="22"/>
  <c r="O24" i="22"/>
  <c r="P24" i="22"/>
  <c r="P23" i="22"/>
  <c r="O23" i="22"/>
  <c r="P22" i="22"/>
  <c r="O22" i="22"/>
  <c r="P21" i="22"/>
  <c r="O21" i="22"/>
  <c r="O20" i="22"/>
  <c r="P20" i="22"/>
  <c r="O19" i="22"/>
  <c r="P19" i="22"/>
  <c r="P18" i="22"/>
  <c r="O18" i="22"/>
  <c r="O17" i="22"/>
  <c r="P17" i="22"/>
  <c r="O16" i="22"/>
  <c r="P16" i="22"/>
  <c r="P15" i="22"/>
  <c r="O15" i="22"/>
  <c r="O14" i="22"/>
  <c r="P14" i="22"/>
  <c r="P13" i="22"/>
  <c r="O13" i="22"/>
  <c r="P12" i="22"/>
  <c r="O12" i="22"/>
  <c r="O11" i="22"/>
  <c r="P11" i="22"/>
  <c r="O10" i="22"/>
  <c r="P10" i="22"/>
  <c r="O8" i="22"/>
  <c r="P8" i="22"/>
  <c r="P6" i="22"/>
  <c r="O6" i="22"/>
  <c r="P4" i="22"/>
  <c r="O4" i="22"/>
  <c r="P3" i="22"/>
  <c r="O3" i="22"/>
  <c r="O7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6" i="27"/>
  <c r="O5" i="27"/>
  <c r="O4" i="27"/>
  <c r="O3" i="27"/>
  <c r="Y109" i="12"/>
  <c r="W89" i="10"/>
  <c r="F13" i="11"/>
  <c r="D16" i="11" s="1"/>
  <c r="E25" i="4"/>
  <c r="L24" i="4"/>
  <c r="L23" i="4"/>
  <c r="G23" i="4"/>
  <c r="L22" i="4"/>
  <c r="L21" i="4"/>
  <c r="L20" i="4"/>
  <c r="G20" i="4"/>
  <c r="L19" i="4"/>
  <c r="L18" i="4"/>
  <c r="L17" i="4"/>
  <c r="L16" i="4"/>
  <c r="L15" i="4"/>
  <c r="G15" i="4"/>
  <c r="L14" i="4"/>
  <c r="L13" i="4"/>
  <c r="L12" i="4"/>
  <c r="L11" i="4"/>
  <c r="L10" i="4"/>
  <c r="L9" i="4"/>
  <c r="L8" i="4"/>
  <c r="G8" i="4"/>
  <c r="L7" i="4"/>
  <c r="L6" i="4"/>
  <c r="L5" i="4"/>
  <c r="G5" i="4"/>
  <c r="L4" i="4"/>
  <c r="L3" i="4"/>
  <c r="F10" i="3"/>
  <c r="G10" i="3"/>
  <c r="E10" i="3" s="1"/>
  <c r="E12" i="3" s="1"/>
  <c r="J57" i="34" l="1"/>
  <c r="I156" i="34"/>
  <c r="I159" i="34" s="1"/>
  <c r="U57" i="34"/>
  <c r="U156" i="34" s="1"/>
  <c r="U158" i="34" s="1"/>
  <c r="O10" i="29"/>
  <c r="P16" i="11"/>
  <c r="P61" i="22"/>
  <c r="D13" i="11"/>
  <c r="G25" i="4"/>
  <c r="R27" i="4" s="1"/>
  <c r="M5" i="3"/>
  <c r="M6" i="3"/>
  <c r="M7" i="3"/>
  <c r="M8" i="3"/>
  <c r="M9" i="3"/>
  <c r="M4" i="3"/>
  <c r="G4" i="2" l="1"/>
  <c r="F20" i="2"/>
  <c r="E20" i="2"/>
  <c r="V4" i="2" l="1"/>
  <c r="M5" i="2"/>
  <c r="M6" i="2"/>
  <c r="M11" i="2"/>
  <c r="M12" i="2"/>
  <c r="M13" i="2"/>
  <c r="M14" i="2"/>
  <c r="M7" i="2"/>
  <c r="M8" i="2"/>
  <c r="M9" i="2"/>
  <c r="M10" i="2"/>
  <c r="M15" i="2"/>
  <c r="M16" i="2"/>
  <c r="M17" i="2"/>
  <c r="M18" i="2"/>
  <c r="M19" i="2"/>
  <c r="M4" i="2"/>
  <c r="G19" i="2"/>
  <c r="V19" i="2" s="1"/>
  <c r="G18" i="2"/>
  <c r="V18" i="2" s="1"/>
  <c r="G17" i="2"/>
  <c r="V17" i="2" s="1"/>
  <c r="G16" i="2"/>
  <c r="V16" i="2" s="1"/>
  <c r="G15" i="2"/>
  <c r="V15" i="2" s="1"/>
  <c r="G10" i="2"/>
  <c r="V10" i="2" s="1"/>
  <c r="G9" i="2"/>
  <c r="V9" i="2" s="1"/>
  <c r="G8" i="2"/>
  <c r="V8" i="2" s="1"/>
  <c r="G7" i="2"/>
  <c r="V7" i="2" s="1"/>
  <c r="G14" i="2"/>
  <c r="V14" i="2" s="1"/>
  <c r="G13" i="2"/>
  <c r="V13" i="2" s="1"/>
  <c r="G12" i="2"/>
  <c r="V12" i="2" s="1"/>
  <c r="G11" i="2"/>
  <c r="V11" i="2" s="1"/>
  <c r="G6" i="2"/>
  <c r="V6" i="2" s="1"/>
  <c r="G5" i="2"/>
  <c r="V5" i="2" s="1"/>
  <c r="G21" i="2" l="1"/>
  <c r="E23" i="2" s="1"/>
  <c r="V21" i="2"/>
  <c r="G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<sst xmlns="http://schemas.openxmlformats.org/spreadsheetml/2006/main" count="17643" uniqueCount="2116">
  <si>
    <t>Contract Date</t>
  </si>
  <si>
    <t>Contract</t>
  </si>
  <si>
    <t>XBS DS NO.</t>
  </si>
  <si>
    <t>Grower</t>
  </si>
  <si>
    <t>Quality</t>
  </si>
  <si>
    <t>Contr. Bags</t>
  </si>
  <si>
    <t>Received. Bgs</t>
  </si>
  <si>
    <t>AFA Approval Status</t>
  </si>
  <si>
    <t>Coffee Status Receipt</t>
  </si>
  <si>
    <t>Inv Status</t>
  </si>
  <si>
    <t>Inv NO.</t>
  </si>
  <si>
    <t>Inv. Quantity</t>
  </si>
  <si>
    <t>Endebess</t>
  </si>
  <si>
    <t>Total</t>
  </si>
  <si>
    <t>11.09.2025</t>
  </si>
  <si>
    <t>12.09.2025</t>
  </si>
  <si>
    <t>31.10.2025</t>
  </si>
  <si>
    <t>Volcafe</t>
  </si>
  <si>
    <t>06.11.2025</t>
  </si>
  <si>
    <t>Raymark</t>
  </si>
  <si>
    <t>DATE</t>
  </si>
  <si>
    <t>MARK</t>
  </si>
  <si>
    <t>OUTTURN</t>
  </si>
  <si>
    <t>GRADE</t>
  </si>
  <si>
    <t>BAGS</t>
  </si>
  <si>
    <t xml:space="preserve">NET </t>
  </si>
  <si>
    <t>QUALITY</t>
  </si>
  <si>
    <t>QUALITY EXPO</t>
  </si>
  <si>
    <t>COMMENT</t>
  </si>
  <si>
    <t>Price</t>
  </si>
  <si>
    <t>Diffs</t>
  </si>
  <si>
    <t>Primary Basket</t>
  </si>
  <si>
    <t>Secondary Basket</t>
  </si>
  <si>
    <t>Bags</t>
  </si>
  <si>
    <t>Pocket</t>
  </si>
  <si>
    <t>Weight</t>
  </si>
  <si>
    <t>WARRANT WEIGHT</t>
  </si>
  <si>
    <t>WARRANT NO</t>
  </si>
  <si>
    <t>DATE:06/11/2025</t>
  </si>
  <si>
    <t>PKTS</t>
  </si>
  <si>
    <t>52HC0008</t>
  </si>
  <si>
    <t>CA0006/OLB.Solai</t>
  </si>
  <si>
    <t>AA</t>
  </si>
  <si>
    <t>AB</t>
  </si>
  <si>
    <t>PB</t>
  </si>
  <si>
    <t>C</t>
  </si>
  <si>
    <t>TT</t>
  </si>
  <si>
    <t>T</t>
  </si>
  <si>
    <t>HE</t>
  </si>
  <si>
    <t>52HC0012</t>
  </si>
  <si>
    <t>52HC0011</t>
  </si>
  <si>
    <t>UG1</t>
  </si>
  <si>
    <t>UG2</t>
  </si>
  <si>
    <t>4-</t>
  </si>
  <si>
    <t>C/D</t>
  </si>
  <si>
    <t>5+</t>
  </si>
  <si>
    <t>D+</t>
  </si>
  <si>
    <t>D</t>
  </si>
  <si>
    <t>6+</t>
  </si>
  <si>
    <t>E+</t>
  </si>
  <si>
    <t>E</t>
  </si>
  <si>
    <t>6=</t>
  </si>
  <si>
    <t>E=</t>
  </si>
  <si>
    <t>E-</t>
  </si>
  <si>
    <t>Raymark(CCL)</t>
  </si>
  <si>
    <t>Yes</t>
  </si>
  <si>
    <t>Invoice 04/25</t>
  </si>
  <si>
    <t>Received</t>
  </si>
  <si>
    <t>Paid</t>
  </si>
  <si>
    <t>Rungeto (CCL)</t>
  </si>
  <si>
    <t>KIANGOI</t>
  </si>
  <si>
    <t>13KN0056</t>
  </si>
  <si>
    <t>4+</t>
  </si>
  <si>
    <t>KII</t>
  </si>
  <si>
    <t>12KN0040</t>
  </si>
  <si>
    <t>12.01.2026</t>
  </si>
  <si>
    <t>DATE:12/01/2026</t>
  </si>
  <si>
    <t>AVE.50</t>
  </si>
  <si>
    <t>Coop</t>
  </si>
  <si>
    <t>Factory</t>
  </si>
  <si>
    <t>Outturn</t>
  </si>
  <si>
    <t>Grade</t>
  </si>
  <si>
    <t>Pockets</t>
  </si>
  <si>
    <t>Weights</t>
  </si>
  <si>
    <t>Export Quality</t>
  </si>
  <si>
    <t>$/50Kgs</t>
  </si>
  <si>
    <t>INOI FCS</t>
  </si>
  <si>
    <t>KIANDIERI</t>
  </si>
  <si>
    <t>10KN0043</t>
  </si>
  <si>
    <t>C+</t>
  </si>
  <si>
    <t>KARIA</t>
  </si>
  <si>
    <t>12KN0031</t>
  </si>
  <si>
    <t>KERUGOYA</t>
  </si>
  <si>
    <t>12KN0026</t>
  </si>
  <si>
    <t>C/+</t>
  </si>
  <si>
    <t>KAGUYU</t>
  </si>
  <si>
    <t>12KN0028</t>
  </si>
  <si>
    <t>THAITA</t>
  </si>
  <si>
    <t>13KN0021</t>
  </si>
  <si>
    <t>3-</t>
  </si>
  <si>
    <t>B/C</t>
  </si>
  <si>
    <t>12KN0027</t>
  </si>
  <si>
    <t>NDIMI</t>
  </si>
  <si>
    <t>12KN0034</t>
  </si>
  <si>
    <t>15KN0035</t>
  </si>
  <si>
    <t>20.01.2026</t>
  </si>
  <si>
    <t>30.01.2026</t>
  </si>
  <si>
    <t>OLB/CCL</t>
  </si>
  <si>
    <t>KILOMBE/CCL</t>
  </si>
  <si>
    <t>BARAGWI/CCL</t>
  </si>
  <si>
    <t>28.01.2026</t>
  </si>
  <si>
    <t>PKT</t>
  </si>
  <si>
    <t>WEIGHT</t>
  </si>
  <si>
    <t>TRUCK NO</t>
  </si>
  <si>
    <t>SEAL NO</t>
  </si>
  <si>
    <t>17EM0005</t>
  </si>
  <si>
    <t>KBS 946 K</t>
  </si>
  <si>
    <t>D44009</t>
  </si>
  <si>
    <t>D44049</t>
  </si>
  <si>
    <t xml:space="preserve">17EM0004 </t>
  </si>
  <si>
    <t xml:space="preserve">AB </t>
  </si>
  <si>
    <t>17EM0001</t>
  </si>
  <si>
    <t>18EM0003</t>
  </si>
  <si>
    <t>NH</t>
  </si>
  <si>
    <t>KBY 981 G</t>
  </si>
  <si>
    <t>D44051</t>
  </si>
  <si>
    <t>KDB 196 Z</t>
  </si>
  <si>
    <t>D44052</t>
  </si>
  <si>
    <t>D44077</t>
  </si>
  <si>
    <t>16EM0003</t>
  </si>
  <si>
    <t>14EM0001</t>
  </si>
  <si>
    <t>KCD 894 N</t>
  </si>
  <si>
    <t>D44019</t>
  </si>
  <si>
    <t>D44095</t>
  </si>
  <si>
    <t>HEDGE</t>
  </si>
  <si>
    <t>Endebess purchase</t>
  </si>
  <si>
    <t>DATE 05/01/2026</t>
  </si>
  <si>
    <t>Outturn no</t>
  </si>
  <si>
    <t xml:space="preserve">GRADE </t>
  </si>
  <si>
    <t>QUANTITY</t>
  </si>
  <si>
    <t>CONTRACT NUMBER</t>
  </si>
  <si>
    <t>QUALITY CODE</t>
  </si>
  <si>
    <t>PRICE</t>
  </si>
  <si>
    <t>DS9522</t>
  </si>
  <si>
    <t>09EM0001</t>
  </si>
  <si>
    <t>13EM0002</t>
  </si>
  <si>
    <t>DS9524</t>
  </si>
  <si>
    <t>*amended weight to 1355kgs(22+35)</t>
  </si>
  <si>
    <t>DATE  21/01/2026</t>
  </si>
  <si>
    <t>DS 9544</t>
  </si>
  <si>
    <t>16EM0001</t>
  </si>
  <si>
    <t>15EM0001</t>
  </si>
  <si>
    <t>DS 9542</t>
  </si>
  <si>
    <t>DATE 04/02/206</t>
  </si>
  <si>
    <t>DS</t>
  </si>
  <si>
    <t>INOI-KSL</t>
  </si>
  <si>
    <t>12.02.2026</t>
  </si>
  <si>
    <t>Delivered Weight</t>
  </si>
  <si>
    <t>Hedge</t>
  </si>
  <si>
    <t>COOP</t>
  </si>
  <si>
    <t>FACTORY</t>
  </si>
  <si>
    <t>PKS</t>
  </si>
  <si>
    <t>USD/50KGS</t>
  </si>
  <si>
    <t>Seconday Basket</t>
  </si>
  <si>
    <t>17KN0034</t>
  </si>
  <si>
    <t>17KN0039</t>
  </si>
  <si>
    <t>17KN0036</t>
  </si>
  <si>
    <t>17KN0030</t>
  </si>
  <si>
    <t>18KN0053</t>
  </si>
  <si>
    <t>17KN0038</t>
  </si>
  <si>
    <t>18KN0052</t>
  </si>
  <si>
    <t>17KN0032</t>
  </si>
  <si>
    <t>18KN0049</t>
  </si>
  <si>
    <t>17KN0033</t>
  </si>
  <si>
    <t>DELIVERED</t>
  </si>
  <si>
    <t>YES</t>
  </si>
  <si>
    <t>09SM0027</t>
  </si>
  <si>
    <t>11SM0020</t>
  </si>
  <si>
    <t>11SM0039</t>
  </si>
  <si>
    <t>12SM0040</t>
  </si>
  <si>
    <t>13SM0032</t>
  </si>
  <si>
    <t>13SM0020</t>
  </si>
  <si>
    <t>13SM0026</t>
  </si>
  <si>
    <t>14SM0015</t>
  </si>
  <si>
    <t>14SM0011</t>
  </si>
  <si>
    <t>15SM0016</t>
  </si>
  <si>
    <t>15SM0020</t>
  </si>
  <si>
    <t>15SM0015</t>
  </si>
  <si>
    <t>15SM0013</t>
  </si>
  <si>
    <t>15SM0014</t>
  </si>
  <si>
    <t>16SM0015</t>
  </si>
  <si>
    <t>12SM0066</t>
  </si>
  <si>
    <t>12SM0056</t>
  </si>
  <si>
    <t>09SM0028</t>
  </si>
  <si>
    <t>09SM0021</t>
  </si>
  <si>
    <t>09SM0023</t>
  </si>
  <si>
    <t>09SM0025</t>
  </si>
  <si>
    <t>09SM0016</t>
  </si>
  <si>
    <t>09SM0013</t>
  </si>
  <si>
    <t>09SM0009</t>
  </si>
  <si>
    <t>10SM0037</t>
  </si>
  <si>
    <t>11SM0023</t>
  </si>
  <si>
    <t>11SM0028</t>
  </si>
  <si>
    <t>12SM0044</t>
  </si>
  <si>
    <t>13SM0016</t>
  </si>
  <si>
    <t>13SM0023</t>
  </si>
  <si>
    <t>15SM0025</t>
  </si>
  <si>
    <t>16SM0017</t>
  </si>
  <si>
    <t>16SM0024</t>
  </si>
  <si>
    <t>12SM0049</t>
  </si>
  <si>
    <t>17SM0052</t>
  </si>
  <si>
    <t>16SM0016</t>
  </si>
  <si>
    <t>15SM0012</t>
  </si>
  <si>
    <t>09SM0029</t>
  </si>
  <si>
    <t>10SM0035</t>
  </si>
  <si>
    <t>10SM0034</t>
  </si>
  <si>
    <t>12SM0041</t>
  </si>
  <si>
    <t>12SM0043</t>
  </si>
  <si>
    <t>14SM0013</t>
  </si>
  <si>
    <t>14SM0019</t>
  </si>
  <si>
    <t>13SM0018</t>
  </si>
  <si>
    <t>12SM0047</t>
  </si>
  <si>
    <t>14SM0014</t>
  </si>
  <si>
    <t>14SM0010</t>
  </si>
  <si>
    <t>14SM0017</t>
  </si>
  <si>
    <t>15SM0024</t>
  </si>
  <si>
    <t>15SM0009</t>
  </si>
  <si>
    <t>14SM0016</t>
  </si>
  <si>
    <t>14SM0025</t>
  </si>
  <si>
    <t>16SM0012</t>
  </si>
  <si>
    <t>16SM0013</t>
  </si>
  <si>
    <t>17SM0036</t>
  </si>
  <si>
    <t>12SM0058</t>
  </si>
  <si>
    <t>NYANJA</t>
  </si>
  <si>
    <t>KAGONGO</t>
  </si>
  <si>
    <t>MUSHAGARA</t>
  </si>
  <si>
    <t>THIMU</t>
  </si>
  <si>
    <t>GACAMI</t>
  </si>
  <si>
    <t>GUAMA</t>
  </si>
  <si>
    <t>KARUMANDI</t>
  </si>
  <si>
    <t>KARIRU</t>
  </si>
  <si>
    <t>GITHIURURI</t>
  </si>
  <si>
    <t>KIANYAGA</t>
  </si>
  <si>
    <t>KIANJIRU</t>
  </si>
  <si>
    <t>Variance</t>
  </si>
  <si>
    <t>CD</t>
  </si>
  <si>
    <t>17.02.2026</t>
  </si>
  <si>
    <t>score</t>
  </si>
  <si>
    <t>Prim Basket</t>
  </si>
  <si>
    <t>Sec Basket</t>
  </si>
  <si>
    <t>$/50</t>
  </si>
  <si>
    <t>15iM0148</t>
  </si>
  <si>
    <t>15iM0150</t>
  </si>
  <si>
    <t>15iM0152</t>
  </si>
  <si>
    <t>15iM0154</t>
  </si>
  <si>
    <t>17iM0063</t>
  </si>
  <si>
    <t>17iM0065</t>
  </si>
  <si>
    <t>17iM0069</t>
  </si>
  <si>
    <t>Totals</t>
  </si>
  <si>
    <t>KARIMIKUI</t>
  </si>
  <si>
    <t>INVOICE 0100</t>
  </si>
  <si>
    <t>19SM0010</t>
  </si>
  <si>
    <t>KIANJIRU/XAD03F09</t>
  </si>
  <si>
    <t>18SM0032</t>
  </si>
  <si>
    <t>18SM0025</t>
  </si>
  <si>
    <t>KARUMANDI/XAD03F04</t>
  </si>
  <si>
    <t>18SM0023</t>
  </si>
  <si>
    <t>      142</t>
  </si>
  <si>
    <t>        12</t>
  </si>
  <si>
    <t>      107</t>
  </si>
  <si>
    <t>        54</t>
  </si>
  <si>
    <t>THIMU/XAD03F12</t>
  </si>
  <si>
    <t>18SM0017</t>
  </si>
  <si>
    <t>MUCHAGARA/XAD03F01</t>
  </si>
  <si>
    <t>17SM0055</t>
  </si>
  <si>
    <t>        24</t>
  </si>
  <si>
    <t>        35</t>
  </si>
  <si>
    <t>        22</t>
  </si>
  <si>
    <t>        64</t>
  </si>
  <si>
    <t>GUAMA/XAD03F07</t>
  </si>
  <si>
    <t>17SM0053</t>
  </si>
  <si>
    <t>NYANJA/XAD03F05</t>
  </si>
  <si>
    <t>17SM0047</t>
  </si>
  <si>
    <t>        43</t>
  </si>
  <si>
    <t>        51</t>
  </si>
  <si>
    <t>        50</t>
  </si>
  <si>
    <t>        49</t>
  </si>
  <si>
    <t>17SM0044</t>
  </si>
  <si>
    <t>GACHAMI/XAD03F08</t>
  </si>
  <si>
    <t>17SM0043</t>
  </si>
  <si>
    <t>17SM0039</t>
  </si>
  <si>
    <t>17SM0038</t>
  </si>
  <si>
    <t>17SM0037</t>
  </si>
  <si>
    <t>17SM0035</t>
  </si>
  <si>
    <t>17SM0034</t>
  </si>
  <si>
    <t>KIIANJIRU</t>
  </si>
  <si>
    <t>16SM0126</t>
  </si>
  <si>
    <t>16SM0123</t>
  </si>
  <si>
    <t>16SM0120</t>
  </si>
  <si>
    <t>        59</t>
  </si>
  <si>
    <t>        47</t>
  </si>
  <si>
    <t>16SM0112</t>
  </si>
  <si>
    <t>        72</t>
  </si>
  <si>
    <t>GITHIURURI/XAD03F11</t>
  </si>
  <si>
    <t>16SM0049</t>
  </si>
  <si>
    <t>16SM0040</t>
  </si>
  <si>
    <t>16SM0036</t>
  </si>
  <si>
    <t>16SM0034</t>
  </si>
  <si>
    <t>16SM0032</t>
  </si>
  <si>
    <t>16SM0031</t>
  </si>
  <si>
    <t>16SM0025</t>
  </si>
  <si>
    <t>16SM0022</t>
  </si>
  <si>
    <t>KARIRU/XAD03F10</t>
  </si>
  <si>
    <t>16SM0021</t>
  </si>
  <si>
    <t>        46</t>
  </si>
  <si>
    <t>        13</t>
  </si>
  <si>
    <t>        31</t>
  </si>
  <si>
    <t>16SM0018</t>
  </si>
  <si>
    <t>KAGONGO/XAD03F02</t>
  </si>
  <si>
    <t>KIANYAGA/XAD03F06</t>
  </si>
  <si>
    <t>16SM0011</t>
  </si>
  <si>
    <t>16SM0010</t>
  </si>
  <si>
    <t>15SM0023</t>
  </si>
  <si>
    <t>15SM0021</t>
  </si>
  <si>
    <t>        63</t>
  </si>
  <si>
    <t>        44</t>
  </si>
  <si>
    <t>        57</t>
  </si>
  <si>
    <t>15SM0018</t>
  </si>
  <si>
    <t>15SM0010</t>
  </si>
  <si>
    <t>15SM0008</t>
  </si>
  <si>
    <t>        28</t>
  </si>
  <si>
    <t>        29</t>
  </si>
  <si>
    <t>        19</t>
  </si>
  <si>
    <t>14SM0018</t>
  </si>
  <si>
    <t>13SM0021</t>
  </si>
  <si>
    <t>13SM0017</t>
  </si>
  <si>
    <t>12SM0053</t>
  </si>
  <si>
    <t>12SM0045</t>
  </si>
  <si>
    <t>12SM0042</t>
  </si>
  <si>
    <t>11SM0024</t>
  </si>
  <si>
    <t>11SM0022</t>
  </si>
  <si>
    <t>09SM0024</t>
  </si>
  <si>
    <t xml:space="preserve">C </t>
  </si>
  <si>
    <t>SEASON</t>
  </si>
  <si>
    <t>MARKS</t>
  </si>
  <si>
    <t>KG</t>
  </si>
  <si>
    <t>60kg bags</t>
  </si>
  <si>
    <t>Primary basket</t>
  </si>
  <si>
    <t>COMMENTS</t>
  </si>
  <si>
    <t>Diff</t>
  </si>
  <si>
    <t>2025/2026</t>
  </si>
  <si>
    <t>PLUS</t>
  </si>
  <si>
    <t>BARAGWI/THIMU</t>
  </si>
  <si>
    <t>BARAGWI FC/NYANJA</t>
  </si>
  <si>
    <t>FAQ</t>
  </si>
  <si>
    <t>J</t>
  </si>
  <si>
    <t>D-</t>
  </si>
  <si>
    <t>BARAGWI FC / THIMU</t>
  </si>
  <si>
    <t>BARAGWI FC /GACAMI</t>
  </si>
  <si>
    <t>BARAGWI/KAGONGO</t>
  </si>
  <si>
    <t>16SM0023</t>
  </si>
  <si>
    <t>BARAGWI/ THIMU</t>
  </si>
  <si>
    <t>16SM0033</t>
  </si>
  <si>
    <t>16SM0038</t>
  </si>
  <si>
    <t>16SM0110</t>
  </si>
  <si>
    <t>16SM0117</t>
  </si>
  <si>
    <t>16SM0119</t>
  </si>
  <si>
    <t>BARAGWI FC/MUSHAGARA</t>
  </si>
  <si>
    <t>18SM0041</t>
  </si>
  <si>
    <t>18SM0044</t>
  </si>
  <si>
    <t>19SM0012</t>
  </si>
  <si>
    <t>19SM0013</t>
  </si>
  <si>
    <t>19SM0018</t>
  </si>
  <si>
    <t>19SM0019</t>
  </si>
  <si>
    <t>19SM0020</t>
  </si>
  <si>
    <t>20SM0041</t>
  </si>
  <si>
    <t>20SM0043</t>
  </si>
  <si>
    <t>20SM0047</t>
  </si>
  <si>
    <t>Variances</t>
  </si>
  <si>
    <t>Warrants no</t>
  </si>
  <si>
    <t>hedge</t>
  </si>
  <si>
    <t>yes</t>
  </si>
  <si>
    <t>NETT WEIGHT</t>
  </si>
  <si>
    <t>T BLEND</t>
  </si>
  <si>
    <t>21EM2005</t>
  </si>
  <si>
    <t>21EM2004</t>
  </si>
  <si>
    <t>19EM0006</t>
  </si>
  <si>
    <t>20EM0001</t>
  </si>
  <si>
    <t xml:space="preserve"> 21EM0001</t>
  </si>
  <si>
    <t>UG</t>
  </si>
  <si>
    <t>21EM0001</t>
  </si>
  <si>
    <t>MH</t>
  </si>
  <si>
    <t>ML</t>
  </si>
  <si>
    <t>21EM0003</t>
  </si>
  <si>
    <t>H</t>
  </si>
  <si>
    <t>$50</t>
  </si>
  <si>
    <t>DIFFS</t>
  </si>
  <si>
    <t>E++</t>
  </si>
  <si>
    <t xml:space="preserve">E  </t>
  </si>
  <si>
    <t>Comments</t>
  </si>
  <si>
    <t>Sl,fermented</t>
  </si>
  <si>
    <t>Musty</t>
  </si>
  <si>
    <t>MH+/FRUITY</t>
  </si>
  <si>
    <t xml:space="preserve"> Plus $/50</t>
  </si>
  <si>
    <t>18KN0054</t>
  </si>
  <si>
    <t>Warrant No.</t>
  </si>
  <si>
    <t>Warrant Weight</t>
  </si>
  <si>
    <t>Value</t>
  </si>
  <si>
    <t>KABARE CCL</t>
  </si>
  <si>
    <t>02.03.2026</t>
  </si>
  <si>
    <t>11.03.2026</t>
  </si>
  <si>
    <t>Cancelled</t>
  </si>
  <si>
    <t>Grower Name/Code</t>
  </si>
  <si>
    <t>Kgs</t>
  </si>
  <si>
    <t>Primary</t>
  </si>
  <si>
    <t>Secondary</t>
  </si>
  <si>
    <t>Olbonata/CA0006</t>
  </si>
  <si>
    <t>11HC0086</t>
  </si>
  <si>
    <t>GRINDER</t>
  </si>
  <si>
    <t>GRINDER MINUS</t>
  </si>
  <si>
    <t>Musty       TYPE  TATA</t>
  </si>
  <si>
    <t>Foul</t>
  </si>
  <si>
    <t>J minus</t>
  </si>
  <si>
    <t>11HC0090</t>
  </si>
  <si>
    <t>AB PB MINUS</t>
  </si>
  <si>
    <t>11HC0092</t>
  </si>
  <si>
    <t>AA MINUS</t>
  </si>
  <si>
    <t>C MINUS</t>
  </si>
  <si>
    <t xml:space="preserve">Musty     </t>
  </si>
  <si>
    <t>11HC0099</t>
  </si>
  <si>
    <t>AB PB FAQ</t>
  </si>
  <si>
    <t>11HC0101</t>
  </si>
  <si>
    <t>Timboiywa Farm/CB532</t>
  </si>
  <si>
    <t>15EM0002</t>
  </si>
  <si>
    <t>AA FAQ</t>
  </si>
  <si>
    <t>C FAQ</t>
  </si>
  <si>
    <t>GRINDER PLUS</t>
  </si>
  <si>
    <t>15EM0003</t>
  </si>
  <si>
    <t>20HC0041</t>
  </si>
  <si>
    <t>20HC0042</t>
  </si>
  <si>
    <t>MH1</t>
  </si>
  <si>
    <t>FRUITY   LIKE NATURAL</t>
  </si>
  <si>
    <t>ML1</t>
  </si>
  <si>
    <t>Sl,Fruity</t>
  </si>
  <si>
    <t>20HC0047</t>
  </si>
  <si>
    <t>20HC0105</t>
  </si>
  <si>
    <t>20HC0111</t>
  </si>
  <si>
    <t>20HC0113</t>
  </si>
  <si>
    <t>20HC0137</t>
  </si>
  <si>
    <t>Fruity ferm     DIMA PROFILE</t>
  </si>
  <si>
    <t>NL</t>
  </si>
  <si>
    <t>Fruity ferm</t>
  </si>
  <si>
    <t>20HC0139</t>
  </si>
  <si>
    <t>Fruity ferm    DIMA PROFILE</t>
  </si>
  <si>
    <t>20HC3000</t>
  </si>
  <si>
    <t>Kilombe Farm/CA097</t>
  </si>
  <si>
    <t>NH+</t>
  </si>
  <si>
    <t>AB Plus</t>
  </si>
  <si>
    <t>Sl,Winey/Fruity</t>
  </si>
  <si>
    <t>NL2</t>
  </si>
  <si>
    <t>Sl,Fruity       TYPE TATA</t>
  </si>
  <si>
    <t>UGI</t>
  </si>
  <si>
    <t>UGII</t>
  </si>
  <si>
    <t>Sl,fruity</t>
  </si>
  <si>
    <t>AB/PB Plus</t>
  </si>
  <si>
    <t>INVOICE 102</t>
  </si>
  <si>
    <t>PAID</t>
  </si>
  <si>
    <t>21KN0031</t>
  </si>
  <si>
    <t>2025/2028</t>
  </si>
  <si>
    <t>21KN0033</t>
  </si>
  <si>
    <t>2025/2030</t>
  </si>
  <si>
    <t>21KN0034</t>
  </si>
  <si>
    <t>2025/2032</t>
  </si>
  <si>
    <t>21KN0035</t>
  </si>
  <si>
    <t>2025/2034</t>
  </si>
  <si>
    <t>21KN0037</t>
  </si>
  <si>
    <t>2025/2036</t>
  </si>
  <si>
    <t>21KN0038</t>
  </si>
  <si>
    <t>2025/2038</t>
  </si>
  <si>
    <t>22KN0042</t>
  </si>
  <si>
    <t>2025/2040</t>
  </si>
  <si>
    <t>22KN0043</t>
  </si>
  <si>
    <t>2025/2042</t>
  </si>
  <si>
    <t>22KN0045</t>
  </si>
  <si>
    <t>2025/2044</t>
  </si>
  <si>
    <t>22KN1003</t>
  </si>
  <si>
    <t>KGS</t>
  </si>
  <si>
    <t>TOTAL</t>
  </si>
  <si>
    <t>Manual Release</t>
  </si>
  <si>
    <t>09.03.2026</t>
  </si>
  <si>
    <t>Mugaga CCL</t>
  </si>
  <si>
    <t>Thirikwa CCL</t>
  </si>
  <si>
    <t>Iyego CCL</t>
  </si>
  <si>
    <t>New Tekangu CCL</t>
  </si>
  <si>
    <t>RFCS/DS/004/25-26</t>
  </si>
  <si>
    <t>Gikanda CCL</t>
  </si>
  <si>
    <t>FCS</t>
  </si>
  <si>
    <t>MILL</t>
  </si>
  <si>
    <t>KABARE FCS</t>
  </si>
  <si>
    <t>12IM0108</t>
  </si>
  <si>
    <t>KIAMICIRI</t>
  </si>
  <si>
    <t>ICM</t>
  </si>
  <si>
    <t>15IM0112</t>
  </si>
  <si>
    <t>KIAN'GOMBE</t>
  </si>
  <si>
    <t>KIANGOMBE</t>
  </si>
  <si>
    <t>15IM0115</t>
  </si>
  <si>
    <t>KARANI</t>
  </si>
  <si>
    <t>15IM0116</t>
  </si>
  <si>
    <t>KABARE FCS /KONYU</t>
  </si>
  <si>
    <t>KONYU</t>
  </si>
  <si>
    <t>15IM0117</t>
  </si>
  <si>
    <t>KABARE F.C.S</t>
  </si>
  <si>
    <t>15IM0118</t>
  </si>
  <si>
    <t>KIRINGA</t>
  </si>
  <si>
    <t>15IM0120</t>
  </si>
  <si>
    <t>KIANGOTHE FC</t>
  </si>
  <si>
    <t>KIANGOMBE FC</t>
  </si>
  <si>
    <t>15IM0123</t>
  </si>
  <si>
    <t>18IM1018</t>
  </si>
  <si>
    <t>BULK</t>
  </si>
  <si>
    <t>18IM1019</t>
  </si>
  <si>
    <t>19IM1019</t>
  </si>
  <si>
    <t>PARCHMENT BULK</t>
  </si>
  <si>
    <t>20IM1009</t>
  </si>
  <si>
    <t>21IM1007</t>
  </si>
  <si>
    <t>D=</t>
  </si>
  <si>
    <t>Arrival Weights</t>
  </si>
  <si>
    <t>WARRANT #</t>
  </si>
  <si>
    <t>CERTIFICATION</t>
  </si>
  <si>
    <t>GATINA/XAC64F05</t>
  </si>
  <si>
    <t>RA</t>
  </si>
  <si>
    <t>KIENI/XAC64F03</t>
  </si>
  <si>
    <t>Sl,fruity/earthy</t>
  </si>
  <si>
    <t>Sl,fruity/sl,musty</t>
  </si>
  <si>
    <t>Earthy/Musty</t>
  </si>
  <si>
    <t>MUGAGA FCS/XAC64</t>
  </si>
  <si>
    <t>ICM.</t>
  </si>
  <si>
    <t>Sl,fruity/Sl,earhty</t>
  </si>
  <si>
    <t>KAGUMOINI/XAC64F01</t>
  </si>
  <si>
    <t>Sl,earthy/sl,fruity</t>
  </si>
  <si>
    <t>Sl,musty/earthy</t>
  </si>
  <si>
    <t>USD/50</t>
  </si>
  <si>
    <t>LOT NO.</t>
  </si>
  <si>
    <t>15KF0065</t>
  </si>
  <si>
    <t>IYEGO</t>
  </si>
  <si>
    <t>KF</t>
  </si>
  <si>
    <t>Sl,fruity/sl,earthy</t>
  </si>
  <si>
    <t>FLO,CAFÉ</t>
  </si>
  <si>
    <t>16KF0212</t>
  </si>
  <si>
    <t>Grassy/sl.fruity</t>
  </si>
  <si>
    <t>16KF0217</t>
  </si>
  <si>
    <t>MUNGUNGA</t>
  </si>
  <si>
    <t>Fruity/Like natural</t>
  </si>
  <si>
    <t>16KF0222</t>
  </si>
  <si>
    <t>GATUBU</t>
  </si>
  <si>
    <t>16KF0228</t>
  </si>
  <si>
    <t>MARIMA</t>
  </si>
  <si>
    <t>16KF0233</t>
  </si>
  <si>
    <t>GITURA</t>
  </si>
  <si>
    <t>17KF0063</t>
  </si>
  <si>
    <t>MARIMIRA</t>
  </si>
  <si>
    <t>19KF0017</t>
  </si>
  <si>
    <t>IYEGO MAIN</t>
  </si>
  <si>
    <t>Sl.Fruity</t>
  </si>
  <si>
    <t>19KF0018</t>
  </si>
  <si>
    <t>MUNUNGA</t>
  </si>
  <si>
    <t>Sl,fruity,sl,earthy</t>
  </si>
  <si>
    <t>19KF0027</t>
  </si>
  <si>
    <t>19KF0030</t>
  </si>
  <si>
    <t>GITURA FC</t>
  </si>
  <si>
    <t>19IM3008</t>
  </si>
  <si>
    <t>GAKUYUI-INI/XAD16F01</t>
  </si>
  <si>
    <t>Sl,musty/Earthy</t>
  </si>
  <si>
    <t>23IM3006</t>
  </si>
  <si>
    <t>sl,Fruity/Earthy</t>
  </si>
  <si>
    <t>15IM0141</t>
  </si>
  <si>
    <t>KAROGOTO</t>
  </si>
  <si>
    <t>16IM0165</t>
  </si>
  <si>
    <t>16IM0166</t>
  </si>
  <si>
    <t>18IM0054</t>
  </si>
  <si>
    <t>18IM0055</t>
  </si>
  <si>
    <t>18IM0139</t>
  </si>
  <si>
    <t>KAROGOTO FC</t>
  </si>
  <si>
    <t>17IM0045</t>
  </si>
  <si>
    <t>18IM0053</t>
  </si>
  <si>
    <t>21IM3001</t>
  </si>
  <si>
    <t>KAROGOTO/XAC60F02</t>
  </si>
  <si>
    <t>Sl,Fruity/Sl,earthy</t>
  </si>
  <si>
    <t>Sl,musty</t>
  </si>
  <si>
    <t>17IM0048</t>
  </si>
  <si>
    <t>22IM3001</t>
  </si>
  <si>
    <t>TEGU</t>
  </si>
  <si>
    <t>Earthy/sl,fruity</t>
  </si>
  <si>
    <t>Done</t>
  </si>
  <si>
    <t>22IM3008</t>
  </si>
  <si>
    <t>KIANG'OMBE</t>
  </si>
  <si>
    <t>22IM3007</t>
  </si>
  <si>
    <t>MUKURE</t>
  </si>
  <si>
    <t>Fruity/Sl,musty</t>
  </si>
  <si>
    <t>22IM3002</t>
  </si>
  <si>
    <t>MUKENGERIA</t>
  </si>
  <si>
    <t>Fruity</t>
  </si>
  <si>
    <t>22IM3003</t>
  </si>
  <si>
    <t>Sl,musty/sl,earthy</t>
  </si>
  <si>
    <t>22IM3010</t>
  </si>
  <si>
    <t>Sl,Fruity/sl,musty</t>
  </si>
  <si>
    <t>22IM3004</t>
  </si>
  <si>
    <t>22IM3005</t>
  </si>
  <si>
    <t>22IM3009</t>
  </si>
  <si>
    <t>KIANGOTHE</t>
  </si>
  <si>
    <t>20IM0071</t>
  </si>
  <si>
    <t>KIAMABARA/XAC64F02</t>
  </si>
  <si>
    <t>18IM0044</t>
  </si>
  <si>
    <t>21IM0025</t>
  </si>
  <si>
    <t>20IM0073</t>
  </si>
  <si>
    <t>20IM0062</t>
  </si>
  <si>
    <t>20IM0025</t>
  </si>
  <si>
    <t>18IM0094</t>
  </si>
  <si>
    <t>19IM1020</t>
  </si>
  <si>
    <t>19IM0001</t>
  </si>
  <si>
    <t>GATHUGU/XAC64F04</t>
  </si>
  <si>
    <t>RA, CAFÉ, EUDR</t>
  </si>
  <si>
    <t>18IM0089</t>
  </si>
  <si>
    <t>18IM0090</t>
  </si>
  <si>
    <t>21IM0051</t>
  </si>
  <si>
    <t>21IM0027</t>
  </si>
  <si>
    <t>20IM0026</t>
  </si>
  <si>
    <t>20IM0001</t>
  </si>
  <si>
    <t>14.03.2026</t>
  </si>
  <si>
    <t xml:space="preserve">Primary </t>
  </si>
  <si>
    <t>11GF0001</t>
  </si>
  <si>
    <t>KANGOCHO</t>
  </si>
  <si>
    <t>GFCM</t>
  </si>
  <si>
    <t>AA PLUS</t>
  </si>
  <si>
    <t>13GF0001</t>
  </si>
  <si>
    <t>Diesel/baggy</t>
  </si>
  <si>
    <t>14GF0005</t>
  </si>
  <si>
    <t>DIESEL</t>
  </si>
  <si>
    <t>15GF0003</t>
  </si>
  <si>
    <t>GICHATHA-INI</t>
  </si>
  <si>
    <t>15GF0006</t>
  </si>
  <si>
    <t>AB PB PLUS</t>
  </si>
  <si>
    <t>16GF0001</t>
  </si>
  <si>
    <t>16GF0005</t>
  </si>
  <si>
    <t>16GF0006</t>
  </si>
  <si>
    <t>16GF0007</t>
  </si>
  <si>
    <t>16GF2000</t>
  </si>
  <si>
    <t>16GF2002</t>
  </si>
  <si>
    <t>16GF2003</t>
  </si>
  <si>
    <t>17GF0001</t>
  </si>
  <si>
    <t>17GF0002</t>
  </si>
  <si>
    <t>17GF0003</t>
  </si>
  <si>
    <t>GICHATHAINI</t>
  </si>
  <si>
    <t>17GF0004</t>
  </si>
  <si>
    <t>17GF0005</t>
  </si>
  <si>
    <t>17GF0007</t>
  </si>
  <si>
    <t>18GF0001</t>
  </si>
  <si>
    <t>18GF0003</t>
  </si>
  <si>
    <t>18GF0004</t>
  </si>
  <si>
    <t>18GF0005</t>
  </si>
  <si>
    <t>19GF0001</t>
  </si>
  <si>
    <t>19GF0002</t>
  </si>
  <si>
    <t>19GF0003</t>
  </si>
  <si>
    <t>19GF0004</t>
  </si>
  <si>
    <t>21GF0001</t>
  </si>
  <si>
    <t>21GF2000</t>
  </si>
  <si>
    <t>21GF2001</t>
  </si>
  <si>
    <t>21GF2002</t>
  </si>
  <si>
    <t>21GF2004</t>
  </si>
  <si>
    <t>21GF2006</t>
  </si>
  <si>
    <t>21GF2007</t>
  </si>
  <si>
    <t>21GF2008</t>
  </si>
  <si>
    <t>21GF2009</t>
  </si>
  <si>
    <t>21GF2010</t>
  </si>
  <si>
    <t>CERT</t>
  </si>
  <si>
    <t>j</t>
  </si>
  <si>
    <t>16.03.2026</t>
  </si>
  <si>
    <t>Contract Created</t>
  </si>
  <si>
    <t>value</t>
  </si>
  <si>
    <t>SECONDARY</t>
  </si>
  <si>
    <t xml:space="preserve">Paid </t>
  </si>
  <si>
    <t>BRG/DS/001/25-26</t>
  </si>
  <si>
    <t>BARAGWI/GUAMA</t>
  </si>
  <si>
    <t>BARAGWI/NYANJA</t>
  </si>
  <si>
    <t>BARAGWI/MUSHAGARA</t>
  </si>
  <si>
    <t>BARAGWI/KIANJIRU</t>
  </si>
  <si>
    <t>16SM0027</t>
  </si>
  <si>
    <t>16SM0136</t>
  </si>
  <si>
    <t>18SM0024</t>
  </si>
  <si>
    <t>18SM0033</t>
  </si>
  <si>
    <t>18SM0035</t>
  </si>
  <si>
    <t>18SM0040</t>
  </si>
  <si>
    <t>18SM0047</t>
  </si>
  <si>
    <t>19SM0011</t>
  </si>
  <si>
    <t>BARAGWI/GACAMI</t>
  </si>
  <si>
    <t>20SM0032</t>
  </si>
  <si>
    <t>BARAGWI/KARUMANDI</t>
  </si>
  <si>
    <t>AB/PB FAQ</t>
  </si>
  <si>
    <t>14SM0009</t>
  </si>
  <si>
    <t>BARAGWI/KARIRU</t>
  </si>
  <si>
    <t>BARAGWI/KIANYAGA</t>
  </si>
  <si>
    <t>13SM0030</t>
  </si>
  <si>
    <t>20.03.2026</t>
  </si>
  <si>
    <t>Delivered Bags</t>
  </si>
  <si>
    <t>Delivered Pkts</t>
  </si>
  <si>
    <t>Delivered Units</t>
  </si>
  <si>
    <t xml:space="preserve">Delivered Bags </t>
  </si>
  <si>
    <t>Delivered Qty</t>
  </si>
  <si>
    <t>26.03.2026</t>
  </si>
  <si>
    <t>GROWER NAME</t>
  </si>
  <si>
    <t>OUTTURN NO.</t>
  </si>
  <si>
    <t>NO. BAGS</t>
  </si>
  <si>
    <t>RUNGETO</t>
  </si>
  <si>
    <t>23KN0012</t>
  </si>
  <si>
    <t>Sl,Musty</t>
  </si>
  <si>
    <t>23KN0013</t>
  </si>
  <si>
    <t>23KN0014</t>
  </si>
  <si>
    <t>23KN0015</t>
  </si>
  <si>
    <t>23KN0016</t>
  </si>
  <si>
    <t>Sl,Fruity/Sl,Musty</t>
  </si>
  <si>
    <t>23KN0017</t>
  </si>
  <si>
    <t>Sl,fruity/Musty</t>
  </si>
  <si>
    <t>23KN0018</t>
  </si>
  <si>
    <t>Kii Factory</t>
  </si>
  <si>
    <t>23KN0019</t>
  </si>
  <si>
    <t>23KN0020</t>
  </si>
  <si>
    <t>23KN0021</t>
  </si>
  <si>
    <t>Kiangoi Factory</t>
  </si>
  <si>
    <t>23KN0022</t>
  </si>
  <si>
    <t>23KN0023</t>
  </si>
  <si>
    <t>ML2</t>
  </si>
  <si>
    <t>Pending samples</t>
  </si>
  <si>
    <t>Baragwi 1</t>
  </si>
  <si>
    <t>Baragwi 2</t>
  </si>
  <si>
    <t>Cancel</t>
  </si>
  <si>
    <t>Baragwi 3</t>
  </si>
  <si>
    <t>Baragwi 4</t>
  </si>
  <si>
    <t>Baragwi 5</t>
  </si>
  <si>
    <t>Client</t>
  </si>
  <si>
    <t>Season</t>
  </si>
  <si>
    <t>Mark/Code</t>
  </si>
  <si>
    <t>Nb of bags</t>
  </si>
  <si>
    <t>Pkt Weights</t>
  </si>
  <si>
    <t>Moisture reading</t>
  </si>
  <si>
    <t>KFE-ALLIANCE BERRIES LIMITED</t>
  </si>
  <si>
    <t>25/26</t>
  </si>
  <si>
    <t>23SM1002</t>
  </si>
  <si>
    <t>BARAGWI</t>
  </si>
  <si>
    <t>23SM1001</t>
  </si>
  <si>
    <t>AB/PB MINUS</t>
  </si>
  <si>
    <t>20SM0064</t>
  </si>
  <si>
    <t>BARAGWI/ KARIRU</t>
  </si>
  <si>
    <t>BARAGWI FC / KARUMANDI</t>
  </si>
  <si>
    <t>BARGWI FC/NYANJA</t>
  </si>
  <si>
    <t>11SM0029</t>
  </si>
  <si>
    <t>BARGWI FC/ MUSHAGARA</t>
  </si>
  <si>
    <t>BARAGWI FC / MUSHAGARA</t>
  </si>
  <si>
    <t>BARAGWI/ GUAMA</t>
  </si>
  <si>
    <t>BARAGWI FC / GACAMI</t>
  </si>
  <si>
    <t>BARAGWI/ NYANJA</t>
  </si>
  <si>
    <t>13SM0040</t>
  </si>
  <si>
    <t>BARAGWI/ KAGONDO</t>
  </si>
  <si>
    <t>BARAGWI/ GITHIURURI</t>
  </si>
  <si>
    <t>BARAGWI/ KARUMANDI</t>
  </si>
  <si>
    <t>BARAGWI/ MUSHAGARA</t>
  </si>
  <si>
    <t>BARAGWI/ LTD</t>
  </si>
  <si>
    <t>BARAGWI/ GACAMI</t>
  </si>
  <si>
    <t>23SM1030</t>
  </si>
  <si>
    <t>23SM1029</t>
  </si>
  <si>
    <t>BARAGWI/BULK</t>
  </si>
  <si>
    <t>Foreign matter (Stone)</t>
  </si>
  <si>
    <t>23SM1004</t>
  </si>
  <si>
    <t>BARAGWI/ BULK</t>
  </si>
  <si>
    <t>23SM1003</t>
  </si>
  <si>
    <t>20SM0053</t>
  </si>
  <si>
    <t>Fermented</t>
  </si>
  <si>
    <t>20SM0039</t>
  </si>
  <si>
    <t>20SM0033</t>
  </si>
  <si>
    <t xml:space="preserve">GRINDER    </t>
  </si>
  <si>
    <t>UG3</t>
  </si>
  <si>
    <t>19SM0082</t>
  </si>
  <si>
    <t>17SM0046</t>
  </si>
  <si>
    <t>Musty/Earthy</t>
  </si>
  <si>
    <t>17SM0045</t>
  </si>
  <si>
    <t>15SM0022</t>
  </si>
  <si>
    <t>BARAGWI FC /THIMU</t>
  </si>
  <si>
    <t>11SM0021</t>
  </si>
  <si>
    <t>11SM0030</t>
  </si>
  <si>
    <t>12SM0022</t>
  </si>
  <si>
    <t>BARAGWI/ KAGONGO</t>
  </si>
  <si>
    <t>17SM0050</t>
  </si>
  <si>
    <t>BARAGWI FC/ KIUNGU</t>
  </si>
  <si>
    <t>BARAGWI FC / NYANJA</t>
  </si>
  <si>
    <t>01.04.2026</t>
  </si>
  <si>
    <t>CONTRACT Cancelled</t>
  </si>
  <si>
    <t>Contract Cancelled</t>
  </si>
  <si>
    <t>done</t>
  </si>
  <si>
    <t>BRG/DS/002/25-26</t>
  </si>
  <si>
    <t>24KN0012</t>
  </si>
  <si>
    <t>MH2</t>
  </si>
  <si>
    <t>24KN0008</t>
  </si>
  <si>
    <t>24KN0011</t>
  </si>
  <si>
    <t>Sl,Fruity/Musty</t>
  </si>
  <si>
    <t>24KN0009</t>
  </si>
  <si>
    <t>24KN0007</t>
  </si>
  <si>
    <t>24KN0010</t>
  </si>
  <si>
    <t>Ave</t>
  </si>
  <si>
    <t>06.04.2026</t>
  </si>
  <si>
    <t>MHSK/DS/001/25-26</t>
  </si>
  <si>
    <t>paid</t>
  </si>
  <si>
    <t>INV01/26</t>
  </si>
  <si>
    <t>ESTATE</t>
  </si>
  <si>
    <t>KILOS</t>
  </si>
  <si>
    <t>CLASS</t>
  </si>
  <si>
    <t>PRIMARY</t>
  </si>
  <si>
    <t>22EM0001</t>
  </si>
  <si>
    <t>ENDEBESS</t>
  </si>
  <si>
    <t>21EM2006</t>
  </si>
  <si>
    <t>IBERO WAREHOUSE</t>
  </si>
  <si>
    <t>SB</t>
  </si>
  <si>
    <t>400kg</t>
  </si>
  <si>
    <t>NL1</t>
  </si>
  <si>
    <t> 21EM2001 </t>
  </si>
  <si>
    <t> UG1 </t>
  </si>
  <si>
    <t>Units</t>
  </si>
  <si>
    <t>Qty.</t>
  </si>
  <si>
    <t>2025/2026-DS9723-16-ENDEBESS</t>
  </si>
  <si>
    <t>2025/2026-DS9723-17-ENDEBESS</t>
  </si>
  <si>
    <t>2025/2026-DS9723-18-ENDEBESS</t>
  </si>
  <si>
    <t>2025/2026-DS9723-19-ENDEBESS</t>
  </si>
  <si>
    <t>2025/2026-DS9723-20-ENDEBESS</t>
  </si>
  <si>
    <t>17EM0004</t>
  </si>
  <si>
    <t>2025/2026-DS9723-21-ENDEBESS</t>
  </si>
  <si>
    <t>2025/2026-DS9723-22-ENDEBESS</t>
  </si>
  <si>
    <t>20EM0003</t>
  </si>
  <si>
    <t>2025/2026-DS9723-23-ENDEBESS</t>
  </si>
  <si>
    <t>2025/2026-DS9723-24-ENDEBESS</t>
  </si>
  <si>
    <t>2025/2026-DS9723-25-ENDEBESS</t>
  </si>
  <si>
    <t>Outturn Number</t>
  </si>
  <si>
    <t>Batch No.</t>
  </si>
  <si>
    <t>Item Name</t>
  </si>
  <si>
    <t>T-BLEND ?</t>
  </si>
  <si>
    <t>THARAKA NITHI  SAMPLES</t>
  </si>
  <si>
    <t xml:space="preserve"> Sec Basket</t>
  </si>
  <si>
    <t>17MS1002</t>
  </si>
  <si>
    <t>P/BULK</t>
  </si>
  <si>
    <t>17MS1005</t>
  </si>
  <si>
    <t>AB/PB Minus</t>
  </si>
  <si>
    <t>17MS1006</t>
  </si>
  <si>
    <t>17MS2000</t>
  </si>
  <si>
    <t>17MS2006</t>
  </si>
  <si>
    <t>17MS2008</t>
  </si>
  <si>
    <t>17MS2010</t>
  </si>
  <si>
    <t xml:space="preserve">GRINDER   </t>
  </si>
  <si>
    <t>Grinder Plus</t>
  </si>
  <si>
    <t>18MS2000</t>
  </si>
  <si>
    <t>Grinder</t>
  </si>
  <si>
    <t>18MS2010</t>
  </si>
  <si>
    <t>20MS1000</t>
  </si>
  <si>
    <t>J MINUS</t>
  </si>
  <si>
    <t>Tharaka Nithi CCL</t>
  </si>
  <si>
    <t>13.04.2026</t>
  </si>
  <si>
    <t>Net weight (Kg)</t>
  </si>
  <si>
    <t>Location</t>
  </si>
  <si>
    <t>% LOSS</t>
  </si>
  <si>
    <t xml:space="preserve">Allocate to </t>
  </si>
  <si>
    <t>20BR0002</t>
  </si>
  <si>
    <t>WH26-10</t>
  </si>
  <si>
    <t>Earthy/ Musty</t>
  </si>
  <si>
    <t>20BR0003</t>
  </si>
  <si>
    <t>BARAGWI/GITHIURURI</t>
  </si>
  <si>
    <t>WH26-3</t>
  </si>
  <si>
    <t>Sl,Fruity/ Musty</t>
  </si>
  <si>
    <t>20BR0004</t>
  </si>
  <si>
    <t>WH7-6</t>
  </si>
  <si>
    <t>20BR0006</t>
  </si>
  <si>
    <t>LL31-3</t>
  </si>
  <si>
    <t>Sl,Fruity /Sl,Musty</t>
  </si>
  <si>
    <t>20BR0008</t>
  </si>
  <si>
    <t>LL31-2</t>
  </si>
  <si>
    <t>Sl,Fruity/Sl, musty</t>
  </si>
  <si>
    <t>26IM0010</t>
  </si>
  <si>
    <t>Sl,Fruity /Earthy</t>
  </si>
  <si>
    <t>26IM0011</t>
  </si>
  <si>
    <t>WH26-12</t>
  </si>
  <si>
    <t>KP27-4</t>
  </si>
  <si>
    <t>26IM0012</t>
  </si>
  <si>
    <t>26IM0015</t>
  </si>
  <si>
    <t>WH20-4</t>
  </si>
  <si>
    <t>Sl,fruity/Sl,musty</t>
  </si>
  <si>
    <t>26IM0013</t>
  </si>
  <si>
    <t>26IM0014</t>
  </si>
  <si>
    <t>20BR0001</t>
  </si>
  <si>
    <t>BARAGWI/RUAMBITI</t>
  </si>
  <si>
    <t>Sl,Earthy/ Musty</t>
  </si>
  <si>
    <t>20BR0005</t>
  </si>
  <si>
    <t>KP27-1</t>
  </si>
  <si>
    <t>KP27-9</t>
  </si>
  <si>
    <t>20BR0007</t>
  </si>
  <si>
    <t>26IM0018</t>
  </si>
  <si>
    <t>WH7-5</t>
  </si>
  <si>
    <t>Sl,Fruity/Sl, musty/ Sl,Earthy</t>
  </si>
  <si>
    <t>BASKET</t>
  </si>
  <si>
    <t>26IM0009</t>
  </si>
  <si>
    <t>Approved</t>
  </si>
  <si>
    <t>W/H</t>
  </si>
  <si>
    <t>Seconday</t>
  </si>
  <si>
    <t>09SM0019</t>
  </si>
  <si>
    <t>SCM</t>
  </si>
  <si>
    <t>AGL</t>
  </si>
  <si>
    <t>Plus</t>
  </si>
  <si>
    <t>AA Plus</t>
  </si>
  <si>
    <t>70419</t>
  </si>
  <si>
    <t>10KN0014</t>
  </si>
  <si>
    <t>KNCM</t>
  </si>
  <si>
    <t>70397</t>
  </si>
  <si>
    <t>70398</t>
  </si>
  <si>
    <t>10SM0036</t>
  </si>
  <si>
    <t>BARAGWI FCS</t>
  </si>
  <si>
    <t>70399</t>
  </si>
  <si>
    <t>11SM0018</t>
  </si>
  <si>
    <t>70452</t>
  </si>
  <si>
    <t>11SM0019</t>
  </si>
  <si>
    <t>70410</t>
  </si>
  <si>
    <t>70400</t>
  </si>
  <si>
    <t>14SM0007</t>
  </si>
  <si>
    <t>BARAGWI FC/  KIANYAGA</t>
  </si>
  <si>
    <t>Grinder plus</t>
  </si>
  <si>
    <t>70441</t>
  </si>
  <si>
    <t>70442</t>
  </si>
  <si>
    <t>70443</t>
  </si>
  <si>
    <t>70420</t>
  </si>
  <si>
    <t>C Minus</t>
  </si>
  <si>
    <t>70421</t>
  </si>
  <si>
    <t>70422</t>
  </si>
  <si>
    <t>16SM0026</t>
  </si>
  <si>
    <t>70444</t>
  </si>
  <si>
    <t>70445</t>
  </si>
  <si>
    <t>70401</t>
  </si>
  <si>
    <t>70402</t>
  </si>
  <si>
    <t>70403</t>
  </si>
  <si>
    <t>16SM0129</t>
  </si>
  <si>
    <t>70430</t>
  </si>
  <si>
    <t>17SM0033</t>
  </si>
  <si>
    <t>70411</t>
  </si>
  <si>
    <t>70412</t>
  </si>
  <si>
    <t>70413</t>
  </si>
  <si>
    <t>70451</t>
  </si>
  <si>
    <t>70418</t>
  </si>
  <si>
    <t>17SM0051</t>
  </si>
  <si>
    <t>70446</t>
  </si>
  <si>
    <t>70447</t>
  </si>
  <si>
    <t>70448</t>
  </si>
  <si>
    <t>70449</t>
  </si>
  <si>
    <t>70384</t>
  </si>
  <si>
    <t>17SM0064</t>
  </si>
  <si>
    <t>70450</t>
  </si>
  <si>
    <t>70453</t>
  </si>
  <si>
    <t>70454</t>
  </si>
  <si>
    <t>70455</t>
  </si>
  <si>
    <t>70423</t>
  </si>
  <si>
    <t>70424</t>
  </si>
  <si>
    <t>70425</t>
  </si>
  <si>
    <t>70456</t>
  </si>
  <si>
    <t>70457</t>
  </si>
  <si>
    <t>70458</t>
  </si>
  <si>
    <t>18SM0037</t>
  </si>
  <si>
    <t>70426</t>
  </si>
  <si>
    <t>70427</t>
  </si>
  <si>
    <t>18SM0039</t>
  </si>
  <si>
    <t>BARAGWA/GUAMA</t>
  </si>
  <si>
    <t>70385</t>
  </si>
  <si>
    <t>Grinder Minus</t>
  </si>
  <si>
    <t>70386</t>
  </si>
  <si>
    <t>70387</t>
  </si>
  <si>
    <t>70388</t>
  </si>
  <si>
    <t>70389</t>
  </si>
  <si>
    <t>70431</t>
  </si>
  <si>
    <t>70432</t>
  </si>
  <si>
    <t>70433</t>
  </si>
  <si>
    <t>18SM0042</t>
  </si>
  <si>
    <t>GAKUYU FC/GACAMI</t>
  </si>
  <si>
    <t>70434</t>
  </si>
  <si>
    <t>70435</t>
  </si>
  <si>
    <t>BARAGWI FC/ GUAMA</t>
  </si>
  <si>
    <t>70390</t>
  </si>
  <si>
    <t>70391</t>
  </si>
  <si>
    <t>70392</t>
  </si>
  <si>
    <t>18SM0065</t>
  </si>
  <si>
    <t>RWAMBITI</t>
  </si>
  <si>
    <t>70459</t>
  </si>
  <si>
    <t>70460</t>
  </si>
  <si>
    <t>19SM0008</t>
  </si>
  <si>
    <t>70428</t>
  </si>
  <si>
    <t>70429</t>
  </si>
  <si>
    <t>70414</t>
  </si>
  <si>
    <t>70415</t>
  </si>
  <si>
    <t>70416</t>
  </si>
  <si>
    <t>70417</t>
  </si>
  <si>
    <t>19SM0017</t>
  </si>
  <si>
    <t>70436</t>
  </si>
  <si>
    <t>70437</t>
  </si>
  <si>
    <t>70438</t>
  </si>
  <si>
    <t>70439</t>
  </si>
  <si>
    <t>70440</t>
  </si>
  <si>
    <t>70393</t>
  </si>
  <si>
    <t>70394</t>
  </si>
  <si>
    <t>70395</t>
  </si>
  <si>
    <t>70396</t>
  </si>
  <si>
    <t>70404</t>
  </si>
  <si>
    <t>70405</t>
  </si>
  <si>
    <t>20SM0056</t>
  </si>
  <si>
    <t>70406</t>
  </si>
  <si>
    <t>70407</t>
  </si>
  <si>
    <t>70408</t>
  </si>
  <si>
    <t>70409</t>
  </si>
  <si>
    <t>15SM0011</t>
  </si>
  <si>
    <t>15SM0027</t>
  </si>
  <si>
    <t>16SM0128</t>
  </si>
  <si>
    <t>BARAGWI FC/KARUMANDI</t>
  </si>
  <si>
    <t>GAKUYU FC/ NYANJA</t>
  </si>
  <si>
    <t>BARAGWI FC/ KAGONGO</t>
  </si>
  <si>
    <t>BARAGWI//KARIRU</t>
  </si>
  <si>
    <t>BARAGWI/NDIMAINI</t>
  </si>
  <si>
    <t>GAKUYU FC/NDIMAINI</t>
  </si>
  <si>
    <t>09SM0008</t>
  </si>
  <si>
    <t>BARAGWI FC /KIANJIRU</t>
  </si>
  <si>
    <t>BARAGWI FC KARIRU</t>
  </si>
  <si>
    <t>BARAGWI FCS NYANJA</t>
  </si>
  <si>
    <t>10SM0038</t>
  </si>
  <si>
    <t>GRINDERS</t>
  </si>
  <si>
    <t>10SM0039</t>
  </si>
  <si>
    <t>BARAGWI FC / GUAMA</t>
  </si>
  <si>
    <t>BARAGWI FC/  MUSHAGARA</t>
  </si>
  <si>
    <t>BARAGWI FC /GUAMA</t>
  </si>
  <si>
    <t>BARAGWI FC/KIANYAGA</t>
  </si>
  <si>
    <t>BARAGWI FC/  GUAMA</t>
  </si>
  <si>
    <t>BARAGWI FC/  KARIRU</t>
  </si>
  <si>
    <t>BARAGWI FC</t>
  </si>
  <si>
    <t>BARAGWI FC/ GACAMI</t>
  </si>
  <si>
    <t>BARAGWI FC/  KIANJIRU</t>
  </si>
  <si>
    <t>14SM0038</t>
  </si>
  <si>
    <t>MUSHARAGA</t>
  </si>
  <si>
    <t>BARAGWI FC /  KARIRU</t>
  </si>
  <si>
    <t>BARAGWI FC/ GITHIURURI</t>
  </si>
  <si>
    <t>BARAGWI FC / KARIRU</t>
  </si>
  <si>
    <t>BARAGWI F/ GACAMI</t>
  </si>
  <si>
    <t>BARAGWI FC/ NYANJA</t>
  </si>
  <si>
    <t>BARAGWI FC/ KARUMANDI</t>
  </si>
  <si>
    <t>RUAMBITI/XAD03F03</t>
  </si>
  <si>
    <t>BARAGWI FC/RWAMBITI</t>
  </si>
  <si>
    <t>AB Diesel</t>
  </si>
  <si>
    <t>BARAGWI FC/THIMU</t>
  </si>
  <si>
    <t>BARAGWI FC/ MUSHAGARA</t>
  </si>
  <si>
    <t>total</t>
  </si>
  <si>
    <t>SECONDARY BASKET</t>
  </si>
  <si>
    <t xml:space="preserve">SECONDARY </t>
  </si>
  <si>
    <t>MBUNI HEAVY</t>
  </si>
  <si>
    <t>CLASS-H</t>
  </si>
  <si>
    <t>C/PB FAQ</t>
  </si>
  <si>
    <t>AB/PB PLUS</t>
  </si>
  <si>
    <t>AB /PB MINUS</t>
  </si>
  <si>
    <t>H-CLASS</t>
  </si>
  <si>
    <t>OutturnNo.</t>
  </si>
  <si>
    <t>20LE0005</t>
  </si>
  <si>
    <t>20LE0007</t>
  </si>
  <si>
    <t>20LE0008</t>
  </si>
  <si>
    <t>20LE0009</t>
  </si>
  <si>
    <t>21LE0003</t>
  </si>
  <si>
    <t>21LE0005</t>
  </si>
  <si>
    <t>21LE0006</t>
  </si>
  <si>
    <t>21LE0007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</si>
  <si>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</si>
  <si>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</si>
  <si>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</si>
  <si>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</si>
  <si>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</si>
  <si>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</si>
  <si>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</si>
  <si>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</si>
  <si>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</si>
  <si>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</si>
  <si>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</si>
  <si>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</si>
  <si>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</si>
  <si>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</si>
  <si>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</si>
  <si>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</si>
  <si>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Not Availabe</t>
  </si>
  <si>
    <t>23AB2001</t>
  </si>
  <si>
    <t>23AB2003</t>
  </si>
  <si>
    <t>23AB2002</t>
  </si>
  <si>
    <t>23AB2004</t>
  </si>
  <si>
    <t>23AB2005</t>
  </si>
  <si>
    <t>23AB2008</t>
  </si>
  <si>
    <t>23AB2009</t>
  </si>
  <si>
    <t>70528</t>
  </si>
  <si>
    <t>23AB2007</t>
  </si>
  <si>
    <t>70526</t>
  </si>
  <si>
    <t>70529</t>
  </si>
  <si>
    <t>23AB2010</t>
  </si>
  <si>
    <t>70530</t>
  </si>
  <si>
    <t>23AB2011</t>
  </si>
  <si>
    <t>70525</t>
  </si>
  <si>
    <t>23AB2006</t>
  </si>
  <si>
    <t>70626</t>
  </si>
  <si>
    <t>NEW OUTURNS</t>
  </si>
  <si>
    <t>BARAGWI FCS BULK</t>
  </si>
  <si>
    <t>70523</t>
  </si>
  <si>
    <t>70524</t>
  </si>
  <si>
    <t>70627</t>
  </si>
  <si>
    <t>INVOICE 02/26</t>
  </si>
  <si>
    <t>BRG/DS/003/25-26</t>
  </si>
  <si>
    <t>Bulk Outturns</t>
  </si>
  <si>
    <t>Bulk 23AB2004 E - 2899 KGS</t>
  </si>
  <si>
    <t>Bulk 23AB2005 E - 505 KGS</t>
  </si>
  <si>
    <t>MHSK/DS/002/25-26</t>
  </si>
  <si>
    <t>BRG/DS/004/25/26</t>
  </si>
  <si>
    <t>New Outturn</t>
  </si>
  <si>
    <t>BARAGWI BULK</t>
  </si>
  <si>
    <t>Pending upload</t>
  </si>
  <si>
    <t xml:space="preserve">KIANGOI   </t>
  </si>
  <si>
    <t>RELEASED WEIGHTS</t>
  </si>
  <si>
    <t>KEROGUYA</t>
  </si>
  <si>
    <t>SECONDAY</t>
  </si>
  <si>
    <t>Sl,Fruity/ very slightly musty</t>
  </si>
  <si>
    <t>Sl,Fruity/SL EARTHY</t>
  </si>
  <si>
    <t>Very slightly musty</t>
  </si>
  <si>
    <t>VALUE</t>
  </si>
  <si>
    <t xml:space="preserve">PRIMARY </t>
  </si>
  <si>
    <t>AA Minus</t>
  </si>
  <si>
    <t>No</t>
  </si>
  <si>
    <t>IYG/DS/001/25-26</t>
  </si>
  <si>
    <t>21ST/04</t>
  </si>
  <si>
    <t>TRKW/DS/001/25-26</t>
  </si>
  <si>
    <t>Cacelled</t>
  </si>
  <si>
    <t xml:space="preserve">Released </t>
  </si>
  <si>
    <t>KBR/DS/002/25-26</t>
  </si>
  <si>
    <t>TKG/DS/001/25-26</t>
  </si>
  <si>
    <t>19IM0005</t>
  </si>
  <si>
    <t>MGG/DS/25-26</t>
  </si>
  <si>
    <t>22nd/04</t>
  </si>
  <si>
    <t>23rd/04</t>
  </si>
  <si>
    <t>RFCS/DS/005/25-26</t>
  </si>
  <si>
    <t>RFCS/DS/006/25-26</t>
  </si>
  <si>
    <t>Delivery date</t>
  </si>
  <si>
    <t>Unique ID</t>
  </si>
  <si>
    <t>BRG/DS/005/25-26</t>
  </si>
  <si>
    <t>15.01.2026</t>
  </si>
  <si>
    <t>RELEASED</t>
  </si>
  <si>
    <t>Reduced</t>
  </si>
  <si>
    <t>24.04.2026</t>
  </si>
  <si>
    <t>Diamond Coffee</t>
  </si>
  <si>
    <t>WEIGHTS</t>
  </si>
  <si>
    <t>USC LB</t>
  </si>
  <si>
    <t>PRIMARY BASKET</t>
  </si>
  <si>
    <t>INTl Diffs</t>
  </si>
  <si>
    <t>Diamond coffee</t>
  </si>
  <si>
    <t>+25</t>
  </si>
  <si>
    <t xml:space="preserve"> C  FAQ</t>
  </si>
  <si>
    <t>POCKETS</t>
  </si>
  <si>
    <t>+55</t>
  </si>
  <si>
    <t>+40</t>
  </si>
  <si>
    <t>+30</t>
  </si>
  <si>
    <t>+20</t>
  </si>
  <si>
    <t>ABC</t>
  </si>
  <si>
    <t>Invoice No.00100/26</t>
  </si>
  <si>
    <t>29th/04</t>
  </si>
  <si>
    <t>Delivered weights</t>
  </si>
  <si>
    <t>04.05.2026</t>
  </si>
  <si>
    <t>20BR0009</t>
  </si>
  <si>
    <t>20BR0010</t>
  </si>
  <si>
    <t>20BR0011</t>
  </si>
  <si>
    <t>RUAMBITI</t>
  </si>
  <si>
    <t>26IM0016</t>
  </si>
  <si>
    <t>GACHAMI</t>
  </si>
  <si>
    <t>Phenolic</t>
  </si>
  <si>
    <t>29SM0004</t>
  </si>
  <si>
    <t>Phenolic 1 cup</t>
  </si>
  <si>
    <t>MUCHAGARA</t>
  </si>
  <si>
    <t>No delivered</t>
  </si>
  <si>
    <t>BRG/DS/006/25-26</t>
  </si>
  <si>
    <t>B6</t>
  </si>
  <si>
    <t>TKN/DS/001/25-26</t>
  </si>
  <si>
    <t>Release Ins. To be sent to AGL by ABL</t>
  </si>
  <si>
    <t>29-Apr-2026 &amp; 08-May-2026</t>
  </si>
  <si>
    <t>29-Apr-2026 &amp; 09-May-2026</t>
  </si>
  <si>
    <t>30-Apr-2026 &amp; 08-May-2026</t>
  </si>
  <si>
    <t>As discussed on the warrant . Email shared</t>
  </si>
  <si>
    <t>V</t>
  </si>
  <si>
    <t>Variation</t>
  </si>
  <si>
    <t>Sl earthy, must</t>
  </si>
  <si>
    <t>Variances(kgs)</t>
  </si>
  <si>
    <t>29-Apr-2026 &amp; 21-May-2026</t>
  </si>
  <si>
    <t>12-May-2026 &amp; 18-May-2026</t>
  </si>
  <si>
    <t>27.05.2026</t>
  </si>
  <si>
    <t>BRG/DS/007/25-26</t>
  </si>
  <si>
    <t>(46)kgs</t>
  </si>
  <si>
    <t>Contract amended</t>
  </si>
  <si>
    <t>Corrupted</t>
  </si>
  <si>
    <t>Partial delivery</t>
  </si>
  <si>
    <t>variance</t>
  </si>
  <si>
    <t>90507 &amp;  90508</t>
  </si>
  <si>
    <t>Contracts</t>
  </si>
  <si>
    <t>Contract #</t>
  </si>
  <si>
    <t>CONTRACT #</t>
  </si>
  <si>
    <t>CONTRACT</t>
  </si>
  <si>
    <t>CC-90510</t>
  </si>
  <si>
    <t>CC-90502</t>
  </si>
  <si>
    <t>CC-90468</t>
  </si>
  <si>
    <t>CC-90523</t>
  </si>
  <si>
    <t>CC-90522</t>
  </si>
  <si>
    <t xml:space="preserve">CONTRACT </t>
  </si>
  <si>
    <t>CC-90511</t>
  </si>
  <si>
    <t>variances</t>
  </si>
  <si>
    <t>27 bags Credit Note</t>
  </si>
  <si>
    <t>Karunguru Estate(Agriwyse)</t>
  </si>
  <si>
    <t xml:space="preserve">SEPT </t>
  </si>
  <si>
    <t>GROWER</t>
  </si>
  <si>
    <t>PRICE /50kg</t>
  </si>
  <si>
    <t>VALUE(USD)</t>
  </si>
  <si>
    <t>CUP SCORE</t>
  </si>
  <si>
    <t>KARANGURU</t>
  </si>
  <si>
    <t>33KF0011</t>
  </si>
  <si>
    <t xml:space="preserve">             -   </t>
  </si>
  <si>
    <t>33KF0012</t>
  </si>
  <si>
    <t>33KF0013</t>
  </si>
  <si>
    <t>KARUNGURU</t>
  </si>
  <si>
    <t>35KF0003</t>
  </si>
  <si>
    <t>35kf0004</t>
  </si>
  <si>
    <t>35KF0004</t>
  </si>
  <si>
    <t>35KF0005</t>
  </si>
  <si>
    <t>35KF0006</t>
  </si>
  <si>
    <t>MBUNI LIGHT</t>
  </si>
  <si>
    <t>35KF0007</t>
  </si>
  <si>
    <t xml:space="preserve">Warrant Bags </t>
  </si>
  <si>
    <t>Warrant Pocket</t>
  </si>
  <si>
    <t>WR059562</t>
  </si>
  <si>
    <t>WR059563</t>
  </si>
  <si>
    <t>WR059564</t>
  </si>
  <si>
    <t>WR059565</t>
  </si>
  <si>
    <t>WR059566</t>
  </si>
  <si>
    <t>WR059567</t>
  </si>
  <si>
    <t>WR059568</t>
  </si>
  <si>
    <t>WR059569</t>
  </si>
  <si>
    <t>WR059570</t>
  </si>
  <si>
    <t>WR059571</t>
  </si>
  <si>
    <t>WR059572</t>
  </si>
  <si>
    <t>WR059573</t>
  </si>
  <si>
    <t>WR059574</t>
  </si>
  <si>
    <t>WR059575</t>
  </si>
  <si>
    <t>WR059576</t>
  </si>
  <si>
    <t>WR059577</t>
  </si>
  <si>
    <t>WR059578</t>
  </si>
  <si>
    <t>WR059579</t>
  </si>
  <si>
    <t>WR059580</t>
  </si>
  <si>
    <t>WR059581</t>
  </si>
  <si>
    <t>WR059582</t>
  </si>
  <si>
    <t>WR059583</t>
  </si>
  <si>
    <t>WR059585</t>
  </si>
  <si>
    <t>WR059586</t>
  </si>
  <si>
    <t>WR059587</t>
  </si>
  <si>
    <t>WR059589</t>
  </si>
  <si>
    <t>35K00007</t>
  </si>
  <si>
    <t>WR059588</t>
  </si>
  <si>
    <t>Cup Score</t>
  </si>
  <si>
    <t xml:space="preserve"> New Diffs</t>
  </si>
  <si>
    <t>37KF0001</t>
  </si>
  <si>
    <t>Fairview</t>
  </si>
  <si>
    <t>Fairview Estate (Agriwyse)</t>
  </si>
  <si>
    <t>19.06.2026</t>
  </si>
  <si>
    <t>Credit Note Issued</t>
  </si>
  <si>
    <t>29 bags CN</t>
  </si>
  <si>
    <t>MGG/DS/001/25-26</t>
  </si>
  <si>
    <t>RECEIVED WEIGHTS</t>
  </si>
  <si>
    <t>30.06.2026</t>
  </si>
  <si>
    <t>30.03.2026</t>
  </si>
  <si>
    <t>Muhugu Estate ( CCL)</t>
  </si>
  <si>
    <t>FARM ID</t>
  </si>
  <si>
    <t xml:space="preserve">TOTAL </t>
  </si>
  <si>
    <t xml:space="preserve">SECONDAY </t>
  </si>
  <si>
    <t>MUHUGU</t>
  </si>
  <si>
    <t>36KF0024</t>
  </si>
  <si>
    <t>34KF0002</t>
  </si>
  <si>
    <t>INV000387</t>
  </si>
  <si>
    <t>Warrant #</t>
  </si>
  <si>
    <t>Delivered Weights</t>
  </si>
  <si>
    <t>GRNDER</t>
  </si>
  <si>
    <t>01.07.2026</t>
  </si>
  <si>
    <t>Chania CCL</t>
  </si>
  <si>
    <t>Ndarugu CCL</t>
  </si>
  <si>
    <t>Kigutha CCL</t>
  </si>
  <si>
    <t>Mindando CCL</t>
  </si>
  <si>
    <t>Machure CCL</t>
  </si>
  <si>
    <t>12.06.2026</t>
  </si>
  <si>
    <t>Warrant Weights</t>
  </si>
  <si>
    <t>Warrant Numbers</t>
  </si>
  <si>
    <t>39KF0025</t>
  </si>
  <si>
    <t xml:space="preserve">GRINDER  </t>
  </si>
  <si>
    <t>Machure</t>
  </si>
  <si>
    <t>KIGUTHA</t>
  </si>
  <si>
    <t>CHANIA</t>
  </si>
  <si>
    <t>GRADES</t>
  </si>
  <si>
    <t>NDARUGU</t>
  </si>
  <si>
    <t>APPROVED</t>
  </si>
  <si>
    <t>BAL</t>
  </si>
  <si>
    <t>Date</t>
  </si>
  <si>
    <t>Mark</t>
  </si>
  <si>
    <t>38KF0009</t>
  </si>
  <si>
    <t>37KF0002</t>
  </si>
  <si>
    <t>C  FAQ</t>
  </si>
  <si>
    <t>37KF0034</t>
  </si>
  <si>
    <t>BALS</t>
  </si>
  <si>
    <t>39KF0017</t>
  </si>
  <si>
    <t>38KF0004</t>
  </si>
  <si>
    <t>MACHURE</t>
  </si>
  <si>
    <t>38KF0001</t>
  </si>
  <si>
    <t>CHANIA BRIDGE</t>
  </si>
  <si>
    <t>Number</t>
  </si>
  <si>
    <t>2020/2021-002220</t>
  </si>
  <si>
    <t>From WareHouse - Zone</t>
  </si>
  <si>
    <t>Transaction No.</t>
  </si>
  <si>
    <t>Transaction Date</t>
  </si>
  <si>
    <t>Warehouse-Zone</t>
  </si>
  <si>
    <t>Variance(%)</t>
  </si>
  <si>
    <t>Reason</t>
  </si>
  <si>
    <t>Stock Transfer Status</t>
  </si>
  <si>
    <t>Prompt Date</t>
  </si>
  <si>
    <t>Loading Date</t>
  </si>
  <si>
    <t>Rent Days</t>
  </si>
  <si>
    <t>Quality Captured</t>
  </si>
  <si>
    <t>2025/2026-DS10086-1-MUHUGU</t>
  </si>
  <si>
    <t>AGL-TEMP-0-0</t>
  </si>
  <si>
    <t>ALEGR-003397
( TN-007383 )</t>
  </si>
  <si>
    <t>IBERO EXPORT WAREHOUSE-B-12/13-1</t>
  </si>
  <si>
    <t>Transfer</t>
  </si>
  <si>
    <t>Completed</t>
  </si>
  <si>
    <t>2025/2026-DS10086-4-MUHUGU</t>
  </si>
  <si>
    <t>IBERO EXPORT WAREHOUSE-B-12-1</t>
  </si>
  <si>
    <t>2025/2026-DS10086-10-MUHUGU</t>
  </si>
  <si>
    <t>IBERO EXPORT WAREHOUSE-A-14-1</t>
  </si>
  <si>
    <t>2025/2026-DS10086-7-MUHUGU</t>
  </si>
  <si>
    <t>2025/2026-DS10083-1-MUHUGU</t>
  </si>
  <si>
    <t>IBERO EXPORT WAREHOUSE-B-11-1</t>
  </si>
  <si>
    <t>2025/2026-DS10083-2-MUHUGU</t>
  </si>
  <si>
    <t>2025/2026-DS10086-3-MUHUGU</t>
  </si>
  <si>
    <t>ALEGR-003398
( TN-007384 )</t>
  </si>
  <si>
    <t>IBERO EXPORT WAREHOUSE-F-01/02-1</t>
  </si>
  <si>
    <t>2025/2026-DS10086-8-MUHUGU</t>
  </si>
  <si>
    <t>IBERO EXPORT WAREHOUSE-F-01/02-2</t>
  </si>
  <si>
    <t>2025/2026-DS10086-6-MUHUGU</t>
  </si>
  <si>
    <t>IBERO EXPORT WAREHOUSE-F-01-1</t>
  </si>
  <si>
    <t>2025/2026-DS10086-9-MUHUGU</t>
  </si>
  <si>
    <t>2025/2026-DS10086-5-MUHUGU</t>
  </si>
  <si>
    <t>IBERO EXPORT WAREHOUSE-A-01-1</t>
  </si>
  <si>
    <t>2025/2026-DS10086-2-MUHUGU</t>
  </si>
  <si>
    <t>IBERO EXPORT WAREHOUSE-F-01/02-3</t>
  </si>
  <si>
    <t>ALEGR-003399
( TN-007390 )</t>
  </si>
  <si>
    <t>ALEGR-003399 /
( TN-007390 )ALEGR-003397 (TN-007383)</t>
  </si>
  <si>
    <t>XBS Upload &amp; Receipts</t>
  </si>
  <si>
    <t>2020/2021-002221</t>
  </si>
  <si>
    <t>2025/2026-DS10084-4-FAIRVIEWESTATE</t>
  </si>
  <si>
    <t>IBERO EXPORT WAREHOUSE-C-11-1</t>
  </si>
  <si>
    <t>2025/2026-DS10085-1-FAIRVIEWESTATE</t>
  </si>
  <si>
    <t>2025/2026-DS10084-1-FAIRVIEWESTATE</t>
  </si>
  <si>
    <t>2025/2026-DS10084-3-FAIRVIEWESTATE</t>
  </si>
  <si>
    <t>IBERO EXPORT WAREHOUSE-B-12-2</t>
  </si>
  <si>
    <t>2025/2026-DS10085-3-FAIRVIEWESTATE</t>
  </si>
  <si>
    <t>2025/2026-DS10084-2-FAIRVIEWESTATE</t>
  </si>
  <si>
    <t>2025/2026-DS10085-2-FAIRVIEWESTATE</t>
  </si>
  <si>
    <t>IBERO EXPORT WAREHOUSE-B-11-2</t>
  </si>
  <si>
    <t>Warrant Number</t>
  </si>
  <si>
    <t>Contract Weight(KGS)</t>
  </si>
  <si>
    <t>Warrant Weight(KGS)</t>
  </si>
  <si>
    <t>Received weight(KGS)</t>
  </si>
  <si>
    <t>price</t>
  </si>
  <si>
    <t>41IM0048</t>
  </si>
  <si>
    <t>41IM0050</t>
  </si>
  <si>
    <t>41IM0051</t>
  </si>
  <si>
    <t>41IM0052</t>
  </si>
  <si>
    <t>41IM0053</t>
  </si>
  <si>
    <t>41IM0055</t>
  </si>
  <si>
    <t>41IM0056</t>
  </si>
  <si>
    <t>41IM0057</t>
  </si>
  <si>
    <t>41IM0058</t>
  </si>
  <si>
    <t>41IM0066</t>
  </si>
  <si>
    <t>41IM0054</t>
  </si>
  <si>
    <t>41IM0049</t>
  </si>
  <si>
    <t>41IM0063</t>
  </si>
  <si>
    <t>41IM0065</t>
  </si>
  <si>
    <t>PRIM BASKET</t>
  </si>
  <si>
    <t>40KF0024</t>
  </si>
  <si>
    <t>41KF0063</t>
  </si>
  <si>
    <t>MARA ESTATE</t>
  </si>
  <si>
    <t>NDARUGU HEIGHTS</t>
  </si>
  <si>
    <t>7/20/2026</t>
  </si>
  <si>
    <t>42IM2001</t>
  </si>
  <si>
    <t>BARAGWI F.F.SOC/XAD03F02</t>
  </si>
  <si>
    <t>42IM2005</t>
  </si>
  <si>
    <t>42IM2010</t>
  </si>
  <si>
    <t>42IM2014</t>
  </si>
  <si>
    <t>Karunguru Estate</t>
  </si>
  <si>
    <t>Baragwi CCL</t>
  </si>
  <si>
    <t>Rung'eto CCL</t>
  </si>
  <si>
    <t>Basket</t>
  </si>
  <si>
    <t>DIFF</t>
  </si>
  <si>
    <t>42IM0048</t>
  </si>
  <si>
    <t>Grinders</t>
  </si>
  <si>
    <t>42IM0049</t>
  </si>
  <si>
    <t>42IM0050</t>
  </si>
  <si>
    <t>42IM0051</t>
  </si>
  <si>
    <t>KIAJIRU/XAD03F09</t>
  </si>
  <si>
    <t>42IM0052</t>
  </si>
  <si>
    <t>42IM0055</t>
  </si>
  <si>
    <t>42IM0056</t>
  </si>
  <si>
    <t>42IM0057</t>
  </si>
  <si>
    <t>42IM0058</t>
  </si>
  <si>
    <t>42IM0059</t>
  </si>
  <si>
    <t>43IM2001</t>
  </si>
  <si>
    <t>BARAGWI FCS/XAD03</t>
  </si>
  <si>
    <t>43IM2002</t>
  </si>
  <si>
    <t>Invoice Sent 23.07</t>
  </si>
  <si>
    <t>INV000421</t>
  </si>
  <si>
    <t>42MM0008</t>
  </si>
  <si>
    <t>42MM0007</t>
  </si>
  <si>
    <t>17.07.2026</t>
  </si>
  <si>
    <t>DELIVERED WEIGHTS</t>
  </si>
  <si>
    <t>CANCELLED</t>
  </si>
  <si>
    <t>BARAGWI FLY CROP 1</t>
  </si>
  <si>
    <t>BARAGWI FLY CROP 2</t>
  </si>
  <si>
    <t>60 kg bags</t>
  </si>
  <si>
    <t>7/21/2026</t>
  </si>
  <si>
    <t>42KN0003</t>
  </si>
  <si>
    <t>Karimikui</t>
  </si>
  <si>
    <t>42KN0005</t>
  </si>
  <si>
    <t>Kii</t>
  </si>
  <si>
    <t>42KN0006</t>
  </si>
  <si>
    <t>42KN0008</t>
  </si>
  <si>
    <t>42KN0009</t>
  </si>
  <si>
    <t>42KN0012</t>
  </si>
  <si>
    <t>42KN0015</t>
  </si>
  <si>
    <t>42KN0016</t>
  </si>
  <si>
    <t>42KN0017</t>
  </si>
  <si>
    <t>42KN0018</t>
  </si>
  <si>
    <t>42KN1008</t>
  </si>
  <si>
    <t>Bulk</t>
  </si>
  <si>
    <t>RUNGETO FLY CROP 1</t>
  </si>
  <si>
    <t>PRIMARY B</t>
  </si>
  <si>
    <t>Cert</t>
  </si>
  <si>
    <t>CP, EUDR</t>
  </si>
  <si>
    <t>Invoice Date</t>
  </si>
  <si>
    <t>Outturn No</t>
  </si>
  <si>
    <t>STI No.</t>
  </si>
  <si>
    <t>Actual Receipt Units</t>
  </si>
  <si>
    <t>Actual Receipt Qty.</t>
  </si>
  <si>
    <t>Qty Variance</t>
  </si>
  <si>
    <t>10060 (AA FAQ)</t>
  </si>
  <si>
    <t>2025/2026-DS10147-1-CHANIABRIDGE</t>
  </si>
  <si>
    <t>2020/2021-002240</t>
  </si>
  <si>
    <t>10070 (AB/PB FAQ)</t>
  </si>
  <si>
    <t>2025/2026-DS10147-2-CHANIABRIDGE</t>
  </si>
  <si>
    <t>2025/2026-DS10127-1-CHANIABRIDGE</t>
  </si>
  <si>
    <t>2020/2021-002232</t>
  </si>
  <si>
    <t>10084 (C FAQ)</t>
  </si>
  <si>
    <t>2025/2026-DS10127-2-CHANIABRIDGE</t>
  </si>
  <si>
    <t>2025/2026-DS10145-1-KIGUTHA</t>
  </si>
  <si>
    <t>2025/2026-DS10145-3-KIGUTHA</t>
  </si>
  <si>
    <t>2020/2021-002238</t>
  </si>
  <si>
    <t>2025/2026-DS10123-1-KIGUTHA</t>
  </si>
  <si>
    <t>2025/2026-DS10123-3-KIGUTHA</t>
  </si>
  <si>
    <t>2025/2026-DS10123-2-KIGUTHA</t>
  </si>
  <si>
    <t>2025/2026-DS10123-4-KIGUTHA</t>
  </si>
  <si>
    <t>2025/2026-DS10145-2-KIGUTHA</t>
  </si>
  <si>
    <t>2025/2026-DS10145-4-KIGUTHA</t>
  </si>
  <si>
    <t>2025/2026-DS10146-1-MACHURE</t>
  </si>
  <si>
    <t>2025/2026-DS10146-3-MACHURE</t>
  </si>
  <si>
    <t>2020/2021-002239</t>
  </si>
  <si>
    <t>2025/2026-DS10182-1-MACHURE</t>
  </si>
  <si>
    <t>2020/2021-002243</t>
  </si>
  <si>
    <t>2025/2026-DS10126-1-MACHURE</t>
  </si>
  <si>
    <t>2025/2026-DS10126-3-MACHURE</t>
  </si>
  <si>
    <t>2025/2026-DS10182-2-MACHURE</t>
  </si>
  <si>
    <t>2025/2026-DS10126-2-MACHURE</t>
  </si>
  <si>
    <t>2025/2026-DS10126-4-MACHURE</t>
  </si>
  <si>
    <t>2025/2026-DS10182-3-MACHURE</t>
  </si>
  <si>
    <t>2025/2026-DS10146-2-MACHURE</t>
  </si>
  <si>
    <t>2025/2026-DS10146-4-MACHURE</t>
  </si>
  <si>
    <t>2025/2026-DS10182-4-MACHURE</t>
  </si>
  <si>
    <t>Concanate</t>
  </si>
  <si>
    <t>38KF0004AA</t>
  </si>
  <si>
    <t>39KF0017AA</t>
  </si>
  <si>
    <t>41KF0063AA</t>
  </si>
  <si>
    <t>39KF0017AB</t>
  </si>
  <si>
    <t>38KF0004AB</t>
  </si>
  <si>
    <t>41KF0063AB</t>
  </si>
  <si>
    <t>39KF0017C</t>
  </si>
  <si>
    <t>38KF0004C</t>
  </si>
  <si>
    <t>41KF0063C</t>
  </si>
  <si>
    <t>38KF0004PB</t>
  </si>
  <si>
    <t>39KF0017PB</t>
  </si>
  <si>
    <t>41KF0063PB</t>
  </si>
  <si>
    <t>Warranted weight</t>
  </si>
  <si>
    <t>Warranted Weights</t>
  </si>
  <si>
    <t>41IM0048AA</t>
  </si>
  <si>
    <t>41IM0048AB</t>
  </si>
  <si>
    <t>41IM0048C</t>
  </si>
  <si>
    <t>41IM0048PB</t>
  </si>
  <si>
    <t>41IM0050AA</t>
  </si>
  <si>
    <t>41IM0050AB</t>
  </si>
  <si>
    <t>41IM0050PB</t>
  </si>
  <si>
    <t>41IM0051AA</t>
  </si>
  <si>
    <t>41IM0051AB</t>
  </si>
  <si>
    <t>41IM0051C</t>
  </si>
  <si>
    <t>41IM0051PB</t>
  </si>
  <si>
    <t>41IM0052AA</t>
  </si>
  <si>
    <t>41IM0052C</t>
  </si>
  <si>
    <t>41IM0052PB</t>
  </si>
  <si>
    <t>41IM0053AA</t>
  </si>
  <si>
    <t>41IM0053AB</t>
  </si>
  <si>
    <t>41IM0053C</t>
  </si>
  <si>
    <t>41IM0053PB</t>
  </si>
  <si>
    <t>41IM0055AB</t>
  </si>
  <si>
    <t>41IM0055C</t>
  </si>
  <si>
    <t>41IM0055PB</t>
  </si>
  <si>
    <t>41IM0056AB</t>
  </si>
  <si>
    <t>41IM0056C</t>
  </si>
  <si>
    <t>41IM0056PB</t>
  </si>
  <si>
    <t>41IM0057AA</t>
  </si>
  <si>
    <t>41IM0057AB</t>
  </si>
  <si>
    <t>41IM0057C</t>
  </si>
  <si>
    <t>41IM0058AA</t>
  </si>
  <si>
    <t>41IM0058AB</t>
  </si>
  <si>
    <t>41IM0058C</t>
  </si>
  <si>
    <t>41IM0066AB</t>
  </si>
  <si>
    <t>41IM0066C</t>
  </si>
  <si>
    <t>41IM0066PB</t>
  </si>
  <si>
    <t>41IM0054AB</t>
  </si>
  <si>
    <t>41IM0054C</t>
  </si>
  <si>
    <t>41IM0049AA</t>
  </si>
  <si>
    <t>41IM0049AB</t>
  </si>
  <si>
    <t>41IM0049C</t>
  </si>
  <si>
    <t>41IM0049PB</t>
  </si>
  <si>
    <t>41IM0063AA</t>
  </si>
  <si>
    <t>41IM0063AB</t>
  </si>
  <si>
    <t>41IM0063C</t>
  </si>
  <si>
    <t>41IM0063PB</t>
  </si>
  <si>
    <t>41IM0065AB</t>
  </si>
  <si>
    <t>41IM0065C</t>
  </si>
  <si>
    <t>41IM0052AB</t>
  </si>
  <si>
    <t>41IM0050C</t>
  </si>
  <si>
    <t>41IM0054AA</t>
  </si>
  <si>
    <t>41IM0054PB</t>
  </si>
  <si>
    <t>42IM2001AA</t>
  </si>
  <si>
    <t>42IM2005PB</t>
  </si>
  <si>
    <t>42IM2010TT</t>
  </si>
  <si>
    <t>41IM0048T</t>
  </si>
  <si>
    <t>41IM0050T</t>
  </si>
  <si>
    <t>41IM0051T</t>
  </si>
  <si>
    <t>41IM0052T</t>
  </si>
  <si>
    <t>41IM0053T</t>
  </si>
  <si>
    <t>41IM0055T</t>
  </si>
  <si>
    <t>41IM0056T</t>
  </si>
  <si>
    <t>41IM0057T</t>
  </si>
  <si>
    <t>41IM0058T</t>
  </si>
  <si>
    <t>41IM0066T</t>
  </si>
  <si>
    <t>41IM0049T</t>
  </si>
  <si>
    <t>41IM0063T</t>
  </si>
  <si>
    <t>41IM0054T</t>
  </si>
  <si>
    <t>41IM0065T</t>
  </si>
  <si>
    <t>42IM2014HE</t>
  </si>
  <si>
    <t>7/30/2026</t>
  </si>
  <si>
    <t>43KF0007</t>
  </si>
  <si>
    <t>WARRANT WEIGHTS</t>
  </si>
  <si>
    <t>POCKET</t>
  </si>
  <si>
    <t>NDARUGU HEIGHT</t>
  </si>
  <si>
    <t>partial delivery</t>
  </si>
  <si>
    <t>partial payment</t>
  </si>
  <si>
    <t>KIE/DS/001/26-27</t>
  </si>
  <si>
    <t>ME/DS/001/2627</t>
  </si>
  <si>
    <t>CBE/DS/001/26-27</t>
  </si>
  <si>
    <t>BRG/DS/001/26-27</t>
  </si>
  <si>
    <t>42KN0007</t>
  </si>
  <si>
    <t>Kiangoi</t>
  </si>
  <si>
    <t>WR-059924</t>
  </si>
  <si>
    <t>WR-059925</t>
  </si>
  <si>
    <t>WR-059926</t>
  </si>
  <si>
    <t>WR-059927</t>
  </si>
  <si>
    <t>WR-059912</t>
  </si>
  <si>
    <t>WR-059913</t>
  </si>
  <si>
    <t>WR-059914</t>
  </si>
  <si>
    <t>WR-059915</t>
  </si>
  <si>
    <t>WR-059916</t>
  </si>
  <si>
    <t>WR-059917</t>
  </si>
  <si>
    <t>WR-059918</t>
  </si>
  <si>
    <t>WR-059919</t>
  </si>
  <si>
    <t>WR-059920</t>
  </si>
  <si>
    <t>WR-059921</t>
  </si>
  <si>
    <t>WR-059922</t>
  </si>
  <si>
    <t>WR-059923</t>
  </si>
  <si>
    <t>WR-059878</t>
  </si>
  <si>
    <t>WR-059879</t>
  </si>
  <si>
    <t>WR-059880</t>
  </si>
  <si>
    <t>WR-059881</t>
  </si>
  <si>
    <t>WR-059929</t>
  </si>
  <si>
    <t>WR-059930</t>
  </si>
  <si>
    <t>WR-059931</t>
  </si>
  <si>
    <t>WR-059928</t>
  </si>
  <si>
    <t>WR-059932</t>
  </si>
  <si>
    <t>WR-059933</t>
  </si>
  <si>
    <t>WR-059934</t>
  </si>
  <si>
    <t>WR-059935</t>
  </si>
  <si>
    <t>WR-059882</t>
  </si>
  <si>
    <t>WR-059883</t>
  </si>
  <si>
    <t>WR-059884</t>
  </si>
  <si>
    <t>WR-059885</t>
  </si>
  <si>
    <t>WR-059886</t>
  </si>
  <si>
    <t>WR-059887</t>
  </si>
  <si>
    <t>WR-059888</t>
  </si>
  <si>
    <t>WR-059889</t>
  </si>
  <si>
    <t>WR-059936</t>
  </si>
  <si>
    <t>WR-059937</t>
  </si>
  <si>
    <t>WR-059938</t>
  </si>
  <si>
    <t>WR-059939</t>
  </si>
  <si>
    <t>WR-059890</t>
  </si>
  <si>
    <t>WR-059891</t>
  </si>
  <si>
    <t>WR-059892</t>
  </si>
  <si>
    <t>WR-059893</t>
  </si>
  <si>
    <t>WR-059894</t>
  </si>
  <si>
    <t>WR-059895</t>
  </si>
  <si>
    <t>WR-059896</t>
  </si>
  <si>
    <t>WR-059897</t>
  </si>
  <si>
    <t xml:space="preserve">Market </t>
  </si>
  <si>
    <t>GROWER MARK</t>
  </si>
  <si>
    <t>Pkt</t>
  </si>
  <si>
    <t>SEC BASKET</t>
  </si>
  <si>
    <t>diffs</t>
  </si>
  <si>
    <t>43KN0035</t>
  </si>
  <si>
    <t>43KN0058</t>
  </si>
  <si>
    <t>44KN1003</t>
  </si>
  <si>
    <t>MACHURE CCL</t>
  </si>
  <si>
    <t>DONE</t>
  </si>
  <si>
    <t>WARRANTS</t>
  </si>
  <si>
    <t>05.08.2026</t>
  </si>
  <si>
    <t>06.08.2026</t>
  </si>
  <si>
    <t>DEC</t>
  </si>
  <si>
    <t>Market</t>
  </si>
  <si>
    <t>Cupscores</t>
  </si>
  <si>
    <t xml:space="preserve">Karimikui </t>
  </si>
  <si>
    <t>43CL0026</t>
  </si>
  <si>
    <t xml:space="preserve">Kiangoi </t>
  </si>
  <si>
    <t>43CL0020</t>
  </si>
  <si>
    <t xml:space="preserve">Kii </t>
  </si>
  <si>
    <t>43CL0019</t>
  </si>
  <si>
    <t>43CL0027</t>
  </si>
  <si>
    <t>43CL0021</t>
  </si>
  <si>
    <t>Warrants No.</t>
  </si>
  <si>
    <t>MACHURE ESTATE</t>
  </si>
  <si>
    <t>41KF0065</t>
  </si>
  <si>
    <t>Agent Kirinyaga Cooperative</t>
  </si>
  <si>
    <t>Invoice no 16-07-08-26</t>
  </si>
  <si>
    <t>Sent on 07.08.2026</t>
  </si>
  <si>
    <t>Contract Price</t>
  </si>
  <si>
    <t>Final Price</t>
  </si>
  <si>
    <t>42KN0003AA</t>
  </si>
  <si>
    <t>42KN0003AB</t>
  </si>
  <si>
    <t>42KN0003C</t>
  </si>
  <si>
    <t>42KN0003PB</t>
  </si>
  <si>
    <t>42KN0005AA</t>
  </si>
  <si>
    <t>42KN0005AB</t>
  </si>
  <si>
    <t>42KN0005C</t>
  </si>
  <si>
    <t>42KN0005PB</t>
  </si>
  <si>
    <t>42KN0006AA</t>
  </si>
  <si>
    <t>42KN0006AB</t>
  </si>
  <si>
    <t>42KN0006C</t>
  </si>
  <si>
    <t>42KN0006PB</t>
  </si>
  <si>
    <t>42KN0008AA</t>
  </si>
  <si>
    <t>42KN0008AB</t>
  </si>
  <si>
    <t>42KN0008C</t>
  </si>
  <si>
    <t>42KN0008PB</t>
  </si>
  <si>
    <t>42KN0009AA</t>
  </si>
  <si>
    <t>42KN0009AB</t>
  </si>
  <si>
    <t>42KN0009C</t>
  </si>
  <si>
    <t>42KN0009PB</t>
  </si>
  <si>
    <t>42KN0012AA</t>
  </si>
  <si>
    <t>42KN0012AB</t>
  </si>
  <si>
    <t>42KN0012C</t>
  </si>
  <si>
    <t>42KN0012PB</t>
  </si>
  <si>
    <t>42KN0015AA</t>
  </si>
  <si>
    <t>42KN0015AB</t>
  </si>
  <si>
    <t>42KN0015C</t>
  </si>
  <si>
    <t>42KN0015PB</t>
  </si>
  <si>
    <t>42KN0016AA</t>
  </si>
  <si>
    <t>42KN0016AB</t>
  </si>
  <si>
    <t>42KN0016C</t>
  </si>
  <si>
    <t>42KN0016PB</t>
  </si>
  <si>
    <t>42KN0017AA</t>
  </si>
  <si>
    <t>42KN0017AB</t>
  </si>
  <si>
    <t>42KN0017C</t>
  </si>
  <si>
    <t>42KN0017PB</t>
  </si>
  <si>
    <t>42KN0018AA</t>
  </si>
  <si>
    <t>42KN0018AB</t>
  </si>
  <si>
    <t>42KN0018C</t>
  </si>
  <si>
    <t>42KN0018PB</t>
  </si>
  <si>
    <t>42KN1008AA</t>
  </si>
  <si>
    <t>42KN1008AB</t>
  </si>
  <si>
    <t>42KN1008C</t>
  </si>
  <si>
    <t>42KN1008PB</t>
  </si>
  <si>
    <t>42KN0007AA</t>
  </si>
  <si>
    <t>42KN0007AB</t>
  </si>
  <si>
    <t>42KN0007C</t>
  </si>
  <si>
    <t>42KN0007PB</t>
  </si>
  <si>
    <t>Dec</t>
  </si>
  <si>
    <t>44CL2002</t>
  </si>
  <si>
    <t>AB FAQ</t>
  </si>
  <si>
    <t>45KF0057</t>
  </si>
  <si>
    <t>10.08.2026</t>
  </si>
  <si>
    <t>Warrant weight</t>
  </si>
  <si>
    <t>CC-90574</t>
  </si>
  <si>
    <t>BARAGWI STOCKS</t>
  </si>
  <si>
    <t xml:space="preserve">Date Received </t>
  </si>
  <si>
    <t>CUP</t>
  </si>
  <si>
    <t>11.08.2026</t>
  </si>
  <si>
    <t>43KN0031</t>
  </si>
  <si>
    <t>43KN0032</t>
  </si>
  <si>
    <t>KIANYANGA</t>
  </si>
  <si>
    <t>45KN2007</t>
  </si>
  <si>
    <t>43KN0036</t>
  </si>
  <si>
    <t>43KN0033</t>
  </si>
  <si>
    <t>43KN0034</t>
  </si>
  <si>
    <t>43KN0037</t>
  </si>
  <si>
    <t>43KN0054</t>
  </si>
  <si>
    <t>45KN2001</t>
  </si>
  <si>
    <t>OT</t>
  </si>
  <si>
    <t>Received Weights</t>
  </si>
  <si>
    <t>RC WGT</t>
  </si>
  <si>
    <t>RC BGS</t>
  </si>
  <si>
    <t>WR-060145</t>
  </si>
  <si>
    <t>WR-060146</t>
  </si>
  <si>
    <t>WR-060147</t>
  </si>
  <si>
    <t>WR-060148</t>
  </si>
  <si>
    <t>WR-060149</t>
  </si>
  <si>
    <t>WR-060150</t>
  </si>
  <si>
    <t>WR-060151</t>
  </si>
  <si>
    <t>WR-060152</t>
  </si>
  <si>
    <t>WR-060153</t>
  </si>
  <si>
    <t>WR-060154</t>
  </si>
  <si>
    <t>2020/2021-002254</t>
  </si>
  <si>
    <t>2025/2026-DS10203-6-GITHIURURI/XAD03F11</t>
  </si>
  <si>
    <t>ALEGR-003452
( TN-007509 )</t>
  </si>
  <si>
    <t>IBERO EXPORT WAREHOUSE-A-04-3</t>
  </si>
  <si>
    <t>2025/2026-DS10203-32-KARIRU/XAD03F10</t>
  </si>
  <si>
    <t>ALEGR-003456
( TN-007516 )</t>
  </si>
  <si>
    <t>IBERO EXPORT WAREHOUSE-A-13-2</t>
  </si>
  <si>
    <t>2025/2026-DS10203-36-GUAMA/XAD03F07</t>
  </si>
  <si>
    <t>2025/2026-DS10203-8-GITHIURURI/XAD03F11</t>
  </si>
  <si>
    <t>2025/2026-DS10203-29-KARIRU/XAD03F10</t>
  </si>
  <si>
    <t>2025/2026-DS10203-33-GUAMA/XAD03F07</t>
  </si>
  <si>
    <t>2025/2026-DS10203-5-GITHIURURI/XAD03F11</t>
  </si>
  <si>
    <t>2025/2026-DS10203-9-RUAMBITI/XAD03F03</t>
  </si>
  <si>
    <t>2025/2026-DS10203-31-KARIRU/XAD03F10</t>
  </si>
  <si>
    <t>IBERO EXPORT WAREHOUSE-A-03-1</t>
  </si>
  <si>
    <t>2025/2026-DS10203-35-GUAMA/XAD03F07</t>
  </si>
  <si>
    <t>IBERO EXPORT WAREHOUSE-A-03-2</t>
  </si>
  <si>
    <t>2025/2026-DS10203-7-GITHIURURI/XAD03F11</t>
  </si>
  <si>
    <t>2025/2026-DS10203-30-KARIRU/XAD03F10</t>
  </si>
  <si>
    <t>IBERO EXPORT WAREHOUSE-A-04-2</t>
  </si>
  <si>
    <t>2025/2026-DS10203-34-GUAMA/XAD03F07</t>
  </si>
  <si>
    <t>IBERO EXPORT WAREHOUSE-A-09-2</t>
  </si>
  <si>
    <t>2025/2026-DS10203-24-KAGONGO/XAD03F02</t>
  </si>
  <si>
    <t>ALEGR-003457
( TN-007517 )</t>
  </si>
  <si>
    <t>2025/2026-DS10203-17-KIANJIRU/XAD03F09</t>
  </si>
  <si>
    <t>2025/2026-DS10203-19-KIANJIRU/XAD03F09</t>
  </si>
  <si>
    <t>IBERO EXPORT WAREHOUSE-E-01/02-1</t>
  </si>
  <si>
    <t>2025/2026-DS10203-10-RUAMBITI/XAD03F03</t>
  </si>
  <si>
    <t>IBERO EXPORT WAREHOUSE-E-01/02-5</t>
  </si>
  <si>
    <t>2025/2026-DS10203-14-KIAJIRU/XAD03F09</t>
  </si>
  <si>
    <t>IBERO EXPORT WAREHOUSE-E-01/02-2</t>
  </si>
  <si>
    <t>2025/2026-DS10203-18-KIANJIRU/XAD03F09</t>
  </si>
  <si>
    <t>2025/2026-DS10203-22-KAGONGO/XAD03F02</t>
  </si>
  <si>
    <t>2025/2026-DS10203-26-KAGONGO/XAD03F02</t>
  </si>
  <si>
    <t>IBERO EXPORT WAREHOUSE-E-01/02-3</t>
  </si>
  <si>
    <t>2025/2026-DS10203-12-RUAMBITI/XAD03F03</t>
  </si>
  <si>
    <t>ALEGR-003458
( TN-007518 )</t>
  </si>
  <si>
    <t>IBERO EXPORT WAREHOUSE-A-13-3</t>
  </si>
  <si>
    <t>2025/2026-DS10203-13-KIAJIRU/XAD03F09</t>
  </si>
  <si>
    <t>2025/2026-DS10203-11-RUAMBITI/XAD03F03</t>
  </si>
  <si>
    <t>IBERO EXPORT WAREHOUSE-A-11/12-2</t>
  </si>
  <si>
    <t>2025/2026-DS10203-15-KIAJIRU/XAD03F09</t>
  </si>
  <si>
    <t>IBERO EXPORT WAREHOUSE-A-12-2</t>
  </si>
  <si>
    <t>2025/2026-DS10203-3-KIANYAGA/XAD03F06</t>
  </si>
  <si>
    <t>IBERO EXPORT WAREHOUSE-A-12-1</t>
  </si>
  <si>
    <t>2025/2026-DS10203-4-KIANYAGA/XAD03F06</t>
  </si>
  <si>
    <t>ALEGR-003459
( TN-007519 )</t>
  </si>
  <si>
    <t>IBERO EXPORT WAREHOUSE-D-01/02-2</t>
  </si>
  <si>
    <t>2025/2026-DS10203-1-KIANYAGA/XAD03F06</t>
  </si>
  <si>
    <t>IBERO EXPORT WAREHOUSE-D/E-01-4</t>
  </si>
  <si>
    <t>2025/2026-DS10203-23-KAGONGO/XAD03F02</t>
  </si>
  <si>
    <t>2025/2026-DS10203-2-KIANYAGA/XAD03F06</t>
  </si>
  <si>
    <t>IBERO EXPORT WAREHOUSE-D-01/02-1</t>
  </si>
  <si>
    <t>2025/2026-DS10203-16-KIAJIRU/XAD03F09</t>
  </si>
  <si>
    <t>ALEGR-003460
( TN-007520 )</t>
  </si>
  <si>
    <t>IBERO EXPORT WAREHOUSE-A-06-1</t>
  </si>
  <si>
    <t>2025/2026-DS10203-28-KAGONGO/XAD03F02</t>
  </si>
  <si>
    <t>2025/2026-DS10203-21-KAGONGO/XAD03F02</t>
  </si>
  <si>
    <t>IBERO EXPORT WAREHOUSE-A-13-1</t>
  </si>
  <si>
    <t>2025/2026-DS10203-39-MUCHAGARA/XAD03F01</t>
  </si>
  <si>
    <t>IBERO EXPORT WAREHOUSE-A-11/12-3</t>
  </si>
  <si>
    <t>2025/2026-DS10203-20-KIANJIRU/XAD03F09</t>
  </si>
  <si>
    <t>ALEGR-003461
( TN-007521 )</t>
  </si>
  <si>
    <t>2025/2026-DS10203-40-MUCHAGARA/XAD03F01</t>
  </si>
  <si>
    <t>2025/2026-DS10203-25-KAGONGO/XAD03F02</t>
  </si>
  <si>
    <t>2025/2026-DS10203-37-MUCHAGARA/XAD03F01</t>
  </si>
  <si>
    <t>2025/2026-DS10203-27-KAGONGO/XAD03F02</t>
  </si>
  <si>
    <t>2025/2026-DS10203-38-MUCHAGARA/XAD03F01</t>
  </si>
  <si>
    <t>IBERO EXPORT WAREHOUSE-D-01/02-3</t>
  </si>
  <si>
    <t>DS10203</t>
  </si>
  <si>
    <t>2025/2026-DS10204-4-KIAJIRU/XAD03F09</t>
  </si>
  <si>
    <t>2025/2026-DS10204-6-KAGONGO/XAD03F02</t>
  </si>
  <si>
    <t>IBERO EXPORT WAREHOUSE-F-02-4</t>
  </si>
  <si>
    <t>2025/2026-DS10204-8-KARIRU/XAD03F10</t>
  </si>
  <si>
    <t>IBERO EXPORT WAREHOUSE-F-02-2</t>
  </si>
  <si>
    <t>2025/2026-DS10204-11-BARAGWIFCS/XAD03</t>
  </si>
  <si>
    <t>IBERO EXPORT WAREHOUSE-D-02-2</t>
  </si>
  <si>
    <t>2025/2026-DS10204-12-BARAGWIFCS/XAD03</t>
  </si>
  <si>
    <t>2025/2026-DS10204-1-KIANYAGA/XAD03F06</t>
  </si>
  <si>
    <t>IBERO EXPORT WAREHOUSE-A-11-1</t>
  </si>
  <si>
    <t>2025/2026-DS10204-2-GITHIURURI/XAD03F11</t>
  </si>
  <si>
    <t>IBERO EXPORT WAREHOUSE-A-11-3</t>
  </si>
  <si>
    <t>2025/2026-DS10204-3-RUAMBITI/XAD03F03</t>
  </si>
  <si>
    <t>IBERO EXPORT WAREHOUSE-A-11-4</t>
  </si>
  <si>
    <t>2025/2026-DS10204-9-GUAMA/XAD03F07</t>
  </si>
  <si>
    <t>IBERO EXPORT WAREHOUSE-A-11-2</t>
  </si>
  <si>
    <t>2025/2026-DS10204-10-MUCHAGARA/XAD03F01</t>
  </si>
  <si>
    <t>IBERO EXPORT WAREHOUSE-F-02-7</t>
  </si>
  <si>
    <t>2025/2026-DS10204-5-KIANJIRU/XAD03F09</t>
  </si>
  <si>
    <t>IBERO EXPORT WAREHOUSE-F-02-5</t>
  </si>
  <si>
    <t>2025/2026-DS10204-7-KAGONGO/XAD03F02</t>
  </si>
  <si>
    <t>IBERO EXPORT WAREHOUSE-F-02-6</t>
  </si>
  <si>
    <t>DS10204</t>
  </si>
  <si>
    <t>2020/2021-002256</t>
  </si>
  <si>
    <t>2025/2026-DS10205-4-KIGUTHA</t>
  </si>
  <si>
    <t>IBERO EXPORT WAREHOUSE-G-13-1</t>
  </si>
  <si>
    <t>2025/2026-DS10205-1-KIGUTHA</t>
  </si>
  <si>
    <t>IBERO EXPORT WAREHOUSE-G-13-2</t>
  </si>
  <si>
    <t>2025/2026-DS10205-3-KIGUTHA</t>
  </si>
  <si>
    <t>IBERO EXPORT WAREHOUSE-C-12-2</t>
  </si>
  <si>
    <t>2025/2026-DS10205-2-KIGUTHA</t>
  </si>
  <si>
    <t>DS10205</t>
  </si>
  <si>
    <t>Mutira</t>
  </si>
  <si>
    <t>43KN0076</t>
  </si>
  <si>
    <t>KIAMUTUIRA</t>
  </si>
  <si>
    <t>43KN0007</t>
  </si>
  <si>
    <t>KIANGUNDU</t>
  </si>
  <si>
    <t>43KN0018</t>
  </si>
  <si>
    <t>NGORANO</t>
  </si>
  <si>
    <t>MUTITU</t>
  </si>
  <si>
    <t>Warrants</t>
  </si>
  <si>
    <t>warrants weight</t>
  </si>
  <si>
    <t>Rungeto FCS CCL</t>
  </si>
  <si>
    <t>12.08.2026</t>
  </si>
  <si>
    <t>Baragwi KSBCL</t>
  </si>
  <si>
    <t>Mutira KSBCL</t>
  </si>
  <si>
    <t>13.08.2026</t>
  </si>
  <si>
    <t>CONTRACTS</t>
  </si>
  <si>
    <t>CC-90576</t>
  </si>
  <si>
    <t>Kibirigwi FCS -CCL</t>
  </si>
  <si>
    <t>20.08.2026</t>
  </si>
  <si>
    <t>Received weights</t>
  </si>
  <si>
    <t>Date Cupped</t>
  </si>
  <si>
    <t>Secon Basket</t>
  </si>
  <si>
    <t>Kibirigwi-Mukangu</t>
  </si>
  <si>
    <t>44KN0018</t>
  </si>
  <si>
    <t>44SM0038</t>
  </si>
  <si>
    <t>44SM0039</t>
  </si>
  <si>
    <t>Kibirigwi-Ragati</t>
  </si>
  <si>
    <t>45SM0029</t>
  </si>
  <si>
    <t>Kibirigwi-Nguguini</t>
  </si>
  <si>
    <t>43KN0025</t>
  </si>
  <si>
    <t>Kibirigwi-Kianjege</t>
  </si>
  <si>
    <t>43SM0035</t>
  </si>
  <si>
    <t>44SM0036</t>
  </si>
  <si>
    <t>44SM0037</t>
  </si>
  <si>
    <t>Kibirigwi-Chema</t>
  </si>
  <si>
    <t>43SM0011</t>
  </si>
  <si>
    <t>Warrant No</t>
  </si>
  <si>
    <t>Warrants Weight</t>
  </si>
  <si>
    <t>Delivery</t>
  </si>
  <si>
    <t>Contract Ref</t>
  </si>
  <si>
    <t>XBS</t>
  </si>
  <si>
    <t>BGS</t>
  </si>
  <si>
    <t>26.08.2026</t>
  </si>
  <si>
    <t xml:space="preserve">C  </t>
  </si>
  <si>
    <t>WR-060364</t>
  </si>
  <si>
    <t>WR-060365</t>
  </si>
  <si>
    <t>WR-060366</t>
  </si>
  <si>
    <t>WR-060367</t>
  </si>
  <si>
    <t>WR-060368</t>
  </si>
  <si>
    <t>WR-060369</t>
  </si>
  <si>
    <t>WR-060370</t>
  </si>
  <si>
    <t>WR-060371</t>
  </si>
  <si>
    <t>WR-060372</t>
  </si>
  <si>
    <t>WR-060373</t>
  </si>
  <si>
    <t>WR-060374</t>
  </si>
  <si>
    <t>WR-060375</t>
  </si>
  <si>
    <t>WR-060376</t>
  </si>
  <si>
    <t>WR-060377</t>
  </si>
  <si>
    <t>WR-060378</t>
  </si>
  <si>
    <t>WR-060379</t>
  </si>
  <si>
    <t>WR-060380</t>
  </si>
  <si>
    <t>WR-060381</t>
  </si>
  <si>
    <t>WR-060382</t>
  </si>
  <si>
    <t>WR-060383</t>
  </si>
  <si>
    <t>WR-060406</t>
  </si>
  <si>
    <t>Baragwi,CCL</t>
  </si>
  <si>
    <t xml:space="preserve">PRICE </t>
  </si>
  <si>
    <t>RUNGETO BULK</t>
  </si>
  <si>
    <t>42KN1009</t>
  </si>
  <si>
    <t xml:space="preserve">         2,703 </t>
  </si>
  <si>
    <t xml:space="preserve"> D= </t>
  </si>
  <si>
    <t xml:space="preserve"> AB Minus </t>
  </si>
  <si>
    <t xml:space="preserve">         338 </t>
  </si>
  <si>
    <t xml:space="preserve">         5,294 </t>
  </si>
  <si>
    <t xml:space="preserve"> E- </t>
  </si>
  <si>
    <t xml:space="preserve"> Grinder minus </t>
  </si>
  <si>
    <t xml:space="preserve">         284 </t>
  </si>
  <si>
    <t>WAREHOUSE</t>
  </si>
  <si>
    <t>WR-060384</t>
  </si>
  <si>
    <t>MAXA</t>
  </si>
  <si>
    <t>WR-060385</t>
  </si>
  <si>
    <t>WHSE</t>
  </si>
  <si>
    <t>CC-90577</t>
  </si>
  <si>
    <t>CC-90578</t>
  </si>
  <si>
    <t>WD</t>
  </si>
  <si>
    <t>40KF0030</t>
  </si>
  <si>
    <t>48KF0039</t>
  </si>
  <si>
    <t>2 </t>
  </si>
  <si>
    <t> 37 </t>
  </si>
  <si>
    <t>12 </t>
  </si>
  <si>
    <t> 25 </t>
  </si>
  <si>
    <t>15 </t>
  </si>
  <si>
    <t> 45 </t>
  </si>
  <si>
    <t>1 </t>
  </si>
  <si>
    <t> 68 </t>
  </si>
  <si>
    <t> 157 </t>
  </si>
  <si>
    <t> 747 </t>
  </si>
  <si>
    <t> 947 </t>
  </si>
  <si>
    <t> 128 </t>
  </si>
  <si>
    <t>30MM0001</t>
  </si>
  <si>
    <t>MARA</t>
  </si>
  <si>
    <t>02.09.2026</t>
  </si>
  <si>
    <t>49MM0017</t>
  </si>
  <si>
    <t>RFA</t>
  </si>
  <si>
    <t xml:space="preserve">Contract </t>
  </si>
  <si>
    <t>Cup</t>
  </si>
  <si>
    <t>48KN0001</t>
  </si>
  <si>
    <t>48KN0002</t>
  </si>
  <si>
    <t>48KN0005</t>
  </si>
  <si>
    <t>48KN0006</t>
  </si>
  <si>
    <t>48KN0009</t>
  </si>
  <si>
    <t>48KN0010</t>
  </si>
  <si>
    <t>48KN0011</t>
  </si>
  <si>
    <t>WR-060204</t>
  </si>
  <si>
    <t>WR-060208</t>
  </si>
  <si>
    <t>WR-060212</t>
  </si>
  <si>
    <t>WR-060213</t>
  </si>
  <si>
    <t>WR-060215</t>
  </si>
  <si>
    <t>WR-060218</t>
  </si>
  <si>
    <t>WR-060219</t>
  </si>
  <si>
    <t>WR-060222</t>
  </si>
  <si>
    <t>WR-060225</t>
  </si>
  <si>
    <t>45KN0003</t>
  </si>
  <si>
    <t>WR-060693</t>
  </si>
  <si>
    <t>WR-030686</t>
  </si>
  <si>
    <t>WR-060697</t>
  </si>
  <si>
    <t>03.09.2026</t>
  </si>
  <si>
    <t>48KN1005</t>
  </si>
  <si>
    <t>WR-060794</t>
  </si>
  <si>
    <t>WR-060795</t>
  </si>
  <si>
    <t>WR-060799</t>
  </si>
  <si>
    <t>WR-060777</t>
  </si>
  <si>
    <t>WR-060783</t>
  </si>
  <si>
    <t>WR-060806</t>
  </si>
  <si>
    <t>WR-060919</t>
  </si>
  <si>
    <t>WR-060796</t>
  </si>
  <si>
    <t>WR-060778</t>
  </si>
  <si>
    <t>WR-060784</t>
  </si>
  <si>
    <t>WR-060789</t>
  </si>
  <si>
    <t>WR-060801</t>
  </si>
  <si>
    <t>WR-060797</t>
  </si>
  <si>
    <t>WR-060779</t>
  </si>
  <si>
    <t>WR-060785</t>
  </si>
  <si>
    <t>WR-060790</t>
  </si>
  <si>
    <t>WR-060802</t>
  </si>
  <si>
    <t>WR-060780</t>
  </si>
  <si>
    <t>WR-060786</t>
  </si>
  <si>
    <t>WR-060791</t>
  </si>
  <si>
    <t>WR-060798</t>
  </si>
  <si>
    <t>WR-060803</t>
  </si>
  <si>
    <t>WR-060781</t>
  </si>
  <si>
    <t>WR-060787</t>
  </si>
  <si>
    <t>WR-060792</t>
  </si>
  <si>
    <t>WR-060804</t>
  </si>
  <si>
    <t>WR-060782</t>
  </si>
  <si>
    <t>WR-060788</t>
  </si>
  <si>
    <t>WR-060793</t>
  </si>
  <si>
    <t>WR-060800</t>
  </si>
  <si>
    <t>WR-060805</t>
  </si>
  <si>
    <t>WR-060807</t>
  </si>
  <si>
    <t>WR-060809</t>
  </si>
  <si>
    <t>WR-060808</t>
  </si>
  <si>
    <t>WR-060810</t>
  </si>
  <si>
    <t>Warehouse</t>
  </si>
  <si>
    <t>09.09.2026</t>
  </si>
  <si>
    <t>CUPPING DATE</t>
  </si>
  <si>
    <r>
      <rPr>
        <b/>
        <sz val="9"/>
        <rFont val="Bookman Old Style"/>
        <family val="1"/>
      </rPr>
      <t>OUTTURN NO.</t>
    </r>
  </si>
  <si>
    <r>
      <rPr>
        <b/>
        <sz val="9"/>
        <rFont val="Bookman Old Style"/>
        <family val="1"/>
      </rPr>
      <t>GRADE</t>
    </r>
  </si>
  <si>
    <r>
      <rPr>
        <b/>
        <sz val="9"/>
        <rFont val="Bookman Old Style"/>
        <family val="1"/>
      </rPr>
      <t>BAGS</t>
    </r>
  </si>
  <si>
    <r>
      <rPr>
        <b/>
        <sz val="9"/>
        <rFont val="Bookman Old Style"/>
        <family val="1"/>
      </rPr>
      <t>POCKETS(KG)</t>
    </r>
  </si>
  <si>
    <r>
      <rPr>
        <b/>
        <sz val="9"/>
        <rFont val="Bookman Old Style"/>
        <family val="1"/>
      </rPr>
      <t>TOTAL KG</t>
    </r>
  </si>
  <si>
    <r>
      <rPr>
        <sz val="9"/>
        <rFont val="Bookman Old Style"/>
        <family val="1"/>
      </rPr>
      <t>43MM0010</t>
    </r>
  </si>
  <si>
    <r>
      <rPr>
        <sz val="9"/>
        <rFont val="Bookman Old Style"/>
        <family val="1"/>
      </rPr>
      <t>MH</t>
    </r>
  </si>
  <si>
    <r>
      <rPr>
        <sz val="9"/>
        <rFont val="Bookman Old Style"/>
        <family val="1"/>
      </rPr>
      <t>49MM0017</t>
    </r>
  </si>
  <si>
    <r>
      <rPr>
        <sz val="9"/>
        <rFont val="Bookman Old Style"/>
        <family val="1"/>
      </rPr>
      <t>PB</t>
    </r>
  </si>
  <si>
    <r>
      <rPr>
        <sz val="9"/>
        <rFont val="Bookman Old Style"/>
        <family val="1"/>
      </rPr>
      <t>-</t>
    </r>
  </si>
  <si>
    <r>
      <rPr>
        <sz val="9"/>
        <rFont val="Bookman Old Style"/>
        <family val="1"/>
      </rPr>
      <t>T</t>
    </r>
  </si>
  <si>
    <t>4/8 Onion</t>
  </si>
  <si>
    <r>
      <rPr>
        <sz val="9"/>
        <rFont val="Bookman Old Style"/>
        <family val="1"/>
      </rPr>
      <t>UG3</t>
    </r>
  </si>
  <si>
    <r>
      <rPr>
        <sz val="9"/>
        <rFont val="Bookman Old Style"/>
        <family val="1"/>
      </rPr>
      <t>C</t>
    </r>
  </si>
  <si>
    <t>1/8 Onion</t>
  </si>
  <si>
    <r>
      <rPr>
        <sz val="9"/>
        <rFont val="Bookman Old Style"/>
        <family val="1"/>
      </rPr>
      <t>TT</t>
    </r>
  </si>
  <si>
    <t>AB/PB MIMUS</t>
  </si>
  <si>
    <r>
      <rPr>
        <sz val="9"/>
        <rFont val="Bookman Old Style"/>
        <family val="1"/>
      </rPr>
      <t>UG2</t>
    </r>
  </si>
  <si>
    <r>
      <rPr>
        <sz val="9"/>
        <rFont val="Bookman Old Style"/>
        <family val="1"/>
      </rPr>
      <t>49MM0018</t>
    </r>
  </si>
  <si>
    <r>
      <rPr>
        <sz val="9"/>
        <rFont val="Bookman Old Style"/>
        <family val="1"/>
      </rPr>
      <t>AA</t>
    </r>
  </si>
  <si>
    <t>2/8 Onion</t>
  </si>
  <si>
    <r>
      <rPr>
        <sz val="9"/>
        <rFont val="Bookman Old Style"/>
        <family val="1"/>
      </rPr>
      <t>AB</t>
    </r>
  </si>
  <si>
    <t>3/8 Onion</t>
  </si>
  <si>
    <t>49KN2008</t>
  </si>
  <si>
    <t>WR-060913</t>
  </si>
  <si>
    <t>CC-90589</t>
  </si>
  <si>
    <t>CC-90591</t>
  </si>
  <si>
    <t>CC-90590</t>
  </si>
  <si>
    <t>0</t>
  </si>
  <si>
    <t>48KN1005AA</t>
  </si>
  <si>
    <t>48KN1005AB</t>
  </si>
  <si>
    <t>48KN1005C</t>
  </si>
  <si>
    <t>48KN1005PB</t>
  </si>
  <si>
    <t>48KN0001C</t>
  </si>
  <si>
    <t>48KN0002UG1</t>
  </si>
  <si>
    <t>48KN0005C</t>
  </si>
  <si>
    <t>48KN0006C</t>
  </si>
  <si>
    <t>48KN0009AA</t>
  </si>
  <si>
    <t>48KN0009AB</t>
  </si>
  <si>
    <t>48KN0009C</t>
  </si>
  <si>
    <t>48KN0009PB</t>
  </si>
  <si>
    <t>48KN0010UG1</t>
  </si>
  <si>
    <t>48KN0011C</t>
  </si>
  <si>
    <t/>
  </si>
  <si>
    <t>48KN1005T</t>
  </si>
  <si>
    <t>48KN1005TT</t>
  </si>
  <si>
    <t>49KN2008TT</t>
  </si>
  <si>
    <t>48KN0001T</t>
  </si>
  <si>
    <t>48KN0002UG2</t>
  </si>
  <si>
    <t>48KN0005T</t>
  </si>
  <si>
    <t>48KN0006T</t>
  </si>
  <si>
    <t>48KN0009T</t>
  </si>
  <si>
    <t>48KN0010UG2</t>
  </si>
  <si>
    <t>48KN0011T</t>
  </si>
  <si>
    <t>48KN0001AA</t>
  </si>
  <si>
    <t>48KN0001AB</t>
  </si>
  <si>
    <t>48KN0001PB</t>
  </si>
  <si>
    <t>48KN0005AA</t>
  </si>
  <si>
    <t>48KN0005AB</t>
  </si>
  <si>
    <t>48KN0005PB</t>
  </si>
  <si>
    <t>48KN0006AA</t>
  </si>
  <si>
    <t>48KN0006AB</t>
  </si>
  <si>
    <t>48KN0006PB</t>
  </si>
  <si>
    <t>48KN0011AA</t>
  </si>
  <si>
    <t>48KN0011AB</t>
  </si>
  <si>
    <t>48KN0011PB</t>
  </si>
  <si>
    <t>30MM0001NH</t>
  </si>
  <si>
    <t>42MM0007NH</t>
  </si>
  <si>
    <t>42MM0008NH</t>
  </si>
  <si>
    <t>RUNGETO CCL</t>
  </si>
  <si>
    <t>RFCS/DS/004/26-27</t>
  </si>
  <si>
    <t>48KF0039AA</t>
  </si>
  <si>
    <t>48KF0039AB</t>
  </si>
  <si>
    <t>48KF0039C</t>
  </si>
  <si>
    <t>48KF0039PB</t>
  </si>
  <si>
    <t>Received  Weights</t>
  </si>
  <si>
    <t>17.09.2026</t>
  </si>
  <si>
    <t>MARA COFFEE</t>
  </si>
  <si>
    <t>GR</t>
  </si>
  <si>
    <t>50MM0019</t>
  </si>
  <si>
    <t xml:space="preserve">20EM0003 </t>
  </si>
  <si>
    <t>PRI BASKET</t>
  </si>
  <si>
    <t>00106/2026</t>
  </si>
  <si>
    <t>BRG/DS/003/26-27</t>
  </si>
  <si>
    <t>Invoice 0105</t>
  </si>
  <si>
    <t>RFCS/DS003/26-27</t>
  </si>
  <si>
    <t>CC-90592</t>
  </si>
  <si>
    <t>CC-90593</t>
  </si>
  <si>
    <t>diff</t>
  </si>
  <si>
    <t>47KN0043</t>
  </si>
  <si>
    <t>47KN0030</t>
  </si>
  <si>
    <t>47KN0039</t>
  </si>
  <si>
    <t>47KN00038</t>
  </si>
  <si>
    <t>CP</t>
  </si>
  <si>
    <t>C GAQ</t>
  </si>
  <si>
    <t>TYPE J</t>
  </si>
  <si>
    <t>BRN-300926-B</t>
  </si>
  <si>
    <t>BRN-300296-C</t>
  </si>
  <si>
    <t>BRN-300926-A</t>
  </si>
  <si>
    <t>30.09.2026</t>
  </si>
  <si>
    <t>NKG-16092026</t>
  </si>
  <si>
    <t>01KF0054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</si>
</sst>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d/mm/yyyy;@"/>
    <numFmt numFmtId="167" formatCode="_(* #,##0_);_(* \(#,##0\);_(* &quot;-&quot;??_);_(@_)"/>
    <numFmt numFmtId="168" formatCode="_-* #,##0.0_-;\-* #,##0.0_-;_-* &quot;-&quot;??_-;_-@_-"/>
    <numFmt numFmtId="169" formatCode="########0"/>
    <numFmt numFmtId="170" formatCode="0.0"/>
    <numFmt numFmtId="171" formatCode="#,##0;[Red]\(#,##0\)"/>
    <numFmt numFmtId="172" formatCode="_-* #,##0.0_-;\-* #,##0.0_-;_-* &quot;-&quot;?_-;_-@_-"/>
    <numFmt numFmtId="173" formatCode="\+0;\-0;0"/>
    <numFmt numFmtId="174" formatCode="[$-409]d\-mmm\-yy;@"/>
    <numFmt numFmtId="175" formatCode="dd\-mmm\-yyyy"/>
    <numFmt numFmtId="176" formatCode="0.000"/>
    <numFmt numFmtId="177" formatCode="#,##0.00;[Red]#,##0.00"/>
    <numFmt numFmtId="178" formatCode="_-* #,##0.000_-;\-* #,##0.000_-;_-* &quot;-&quot;??_-;_-@_-"/>
    <numFmt numFmtId="179" formatCode="#,##0.00;[Red]\(#,##0.00\)"/>
    <numFmt numFmtId="180" formatCode="d\-mmm\-yy;@"/>
  </numFmts>
  <fonts count="1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entaur"/>
      <family val="1"/>
    </font>
    <font>
      <b/>
      <sz val="11"/>
      <color rgb="FF000000"/>
      <name val="Centaur"/>
      <family val="1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b/>
      <sz val="12"/>
      <color rgb="FF000000"/>
      <name val="Inherit"/>
    </font>
    <font>
      <sz val="12"/>
      <color rgb="FF000000"/>
      <name val="Aptos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sz val="10"/>
      <color theme="1"/>
      <name val="Calibri"/>
      <family val="2"/>
    </font>
    <font>
      <sz val="10"/>
      <color theme="3" tint="0.499984740745262"/>
      <name val="Aptos Narrow"/>
      <family val="2"/>
      <scheme val="minor"/>
    </font>
    <font>
      <sz val="11"/>
      <color theme="3" tint="0.499984740745262"/>
      <name val="Arial"/>
      <family val="2"/>
    </font>
    <font>
      <sz val="10"/>
      <color theme="3" tint="0.499984740745262"/>
      <name val="Arial"/>
      <family val="2"/>
    </font>
    <font>
      <sz val="11"/>
      <color theme="3" tint="0.499984740745262"/>
      <name val="Aptos Narrow"/>
      <family val="2"/>
      <scheme val="minor"/>
    </font>
    <font>
      <sz val="10"/>
      <color theme="3" tint="0.499984740745262"/>
      <name val="Calibri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Arial"/>
      <family val="2"/>
    </font>
    <font>
      <sz val="10"/>
      <color theme="4" tint="0.3999755851924192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242424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12"/>
      <color rgb="FFFF0000"/>
      <name val="Aptos"/>
      <family val="2"/>
    </font>
    <font>
      <sz val="12"/>
      <color rgb="FF000000"/>
      <name val="Inherit"/>
    </font>
    <font>
      <sz val="12"/>
      <color theme="1"/>
      <name val="Inherit"/>
    </font>
    <font>
      <sz val="12"/>
      <color theme="3" tint="0.249977111117893"/>
      <name val="Inherit"/>
    </font>
    <font>
      <sz val="12"/>
      <color theme="3" tint="0.249977111117893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10.5"/>
      <color rgb="FF000000"/>
      <name val="Calibri"/>
      <family val="2"/>
    </font>
    <font>
      <b/>
      <sz val="10.5"/>
      <color theme="0"/>
      <name val="Arial"/>
      <family val="2"/>
    </font>
    <font>
      <b/>
      <sz val="10.5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1"/>
      <color rgb="FF242424"/>
      <name val="Helvetica"/>
      <family val="2"/>
    </font>
    <font>
      <b/>
      <sz val="11"/>
      <color theme="1"/>
      <name val="Helvetica"/>
      <family val="2"/>
    </font>
    <font>
      <b/>
      <sz val="12"/>
      <color rgb="FF242424"/>
      <name val="Helvetica"/>
      <family val="2"/>
    </font>
    <font>
      <sz val="12"/>
      <color rgb="FF242424"/>
      <name val="Helvetica"/>
      <family val="2"/>
    </font>
    <font>
      <sz val="11"/>
      <color rgb="FF242424"/>
      <name val="Helvetica"/>
      <family val="2"/>
    </font>
    <font>
      <sz val="11"/>
      <color theme="1"/>
      <name val="Helvetica"/>
      <family val="2"/>
    </font>
    <font>
      <sz val="9"/>
      <color theme="1"/>
      <name val="Aptos Narrow"/>
      <family val="2"/>
      <scheme val="minor"/>
    </font>
    <font>
      <sz val="9"/>
      <color theme="1"/>
      <name val="Bookman Old Style"/>
      <family val="1"/>
    </font>
    <font>
      <sz val="9"/>
      <color rgb="FF000000"/>
      <name val="Bookman Old Style"/>
      <family val="1"/>
    </font>
    <font>
      <sz val="9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2"/>
      <name val="Calibri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0"/>
      <color rgb="FF000000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B0F0"/>
      <name val="Bookman Old Style"/>
      <family val="1"/>
    </font>
    <font>
      <sz val="12"/>
      <color rgb="FF00B0F0"/>
      <name val="Aptos Narrow"/>
      <family val="2"/>
      <scheme val="minor"/>
    </font>
    <font>
      <sz val="8"/>
      <color theme="5" tint="-0.499984740745262"/>
      <name val="Aptos Narrow"/>
      <family val="2"/>
      <scheme val="minor"/>
    </font>
    <font>
      <sz val="12"/>
      <color rgb="FF00B0F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5B9BD5"/>
      <name val="Calibri"/>
      <family val="2"/>
    </font>
    <font>
      <b/>
      <sz val="9"/>
      <color theme="1"/>
      <name val="Aptos Narrow"/>
      <family val="2"/>
      <scheme val="minor"/>
    </font>
    <font>
      <b/>
      <sz val="9"/>
      <color rgb="FF000000"/>
      <name val="Bookman Old Style"/>
      <family val="1"/>
    </font>
    <font>
      <b/>
      <sz val="11"/>
      <color rgb="FF00B050"/>
      <name val="Aptos Narrow"/>
      <family val="2"/>
      <scheme val="minor"/>
    </font>
    <font>
      <b/>
      <sz val="11"/>
      <color theme="1"/>
      <name val="Constantia"/>
      <family val="1"/>
    </font>
    <font>
      <sz val="11"/>
      <name val="Constantia"/>
      <family val="1"/>
    </font>
    <font>
      <sz val="11"/>
      <color theme="1"/>
      <name val="Constantia"/>
      <family val="1"/>
    </font>
    <font>
      <sz val="11"/>
      <name val="Calibri"/>
      <family val="2"/>
    </font>
    <font>
      <b/>
      <sz val="11"/>
      <color rgb="FF000000"/>
      <name val="Constantia"/>
      <family val="1"/>
    </font>
    <font>
      <b/>
      <sz val="11"/>
      <name val="Constantia"/>
      <family val="1"/>
    </font>
    <font>
      <sz val="10"/>
      <name val="Calibri Light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theme="0"/>
      <name val="Aptos Narrow"/>
      <family val="2"/>
      <scheme val="minor"/>
    </font>
    <font>
      <sz val="8"/>
      <color rgb="FF000000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onstantia"/>
      <family val="1"/>
    </font>
    <font>
      <sz val="11"/>
      <color rgb="FFFF0000"/>
      <name val="Constantia"/>
      <family val="1"/>
    </font>
    <font>
      <sz val="8"/>
      <color theme="1"/>
      <name val="Bookman Old Style"/>
      <family val="1"/>
    </font>
    <font>
      <sz val="8"/>
      <color rgb="FF000000"/>
      <name val="Aptos Narrow"/>
      <family val="2"/>
      <scheme val="minor"/>
    </font>
    <font>
      <sz val="8"/>
      <color rgb="FF00B0F0"/>
      <name val="Aptos Narrow"/>
      <family val="2"/>
      <scheme val="minor"/>
    </font>
    <font>
      <sz val="12"/>
      <color theme="3" tint="0.249977111117893"/>
      <name val="Calibri"/>
      <family val="2"/>
    </font>
    <font>
      <sz val="12"/>
      <color theme="3" tint="0.249977111117893"/>
      <name val="Aptos"/>
      <family val="2"/>
    </font>
    <font>
      <sz val="11"/>
      <color theme="1"/>
      <name val="Aptos Narrow"/>
      <family val="2"/>
      <charset val="1"/>
      <scheme val="minor"/>
    </font>
    <font>
      <b/>
      <sz val="9"/>
      <name val="Bookman Old Style"/>
      <family val="1"/>
    </font>
    <font>
      <b/>
      <sz val="9"/>
      <color rgb="FF0D2841"/>
      <name val="Bookman Old Style"/>
      <family val="1"/>
    </font>
    <font>
      <sz val="9"/>
      <color rgb="FF000000"/>
      <name val="Bookman Old Style"/>
      <family val="2"/>
    </font>
    <font>
      <sz val="9"/>
      <name val="Bookman Old Style"/>
      <family val="1"/>
    </font>
    <font>
      <sz val="9"/>
      <color rgb="FF0D2841"/>
      <name val="Bookman Old Style"/>
      <family val="1"/>
    </font>
    <font>
      <b/>
      <sz val="11"/>
      <color theme="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4" fillId="0" borderId="0"/>
    <xf numFmtId="43" fontId="124" fillId="0" borderId="0" applyFont="0" applyFill="0" applyBorder="0" applyAlignment="0" applyProtection="0"/>
  </cellStyleXfs>
  <cellXfs count="1758">
    <xf numFmtId="0" fontId="0" fillId="0" borderId="0" xfId="0"/>
    <xf numFmtId="0" fontId="3" fillId="8" borderId="54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7" fontId="6" fillId="3" borderId="1" xfId="2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2" fontId="0" fillId="0" borderId="1" xfId="0" applyNumberFormat="1" applyBorder="1"/>
    <xf numFmtId="167" fontId="6" fillId="3" borderId="1" xfId="2" applyNumberFormat="1" applyFont="1" applyFill="1" applyBorder="1" applyAlignment="1">
      <alignment vertical="center"/>
    </xf>
    <xf numFmtId="167" fontId="0" fillId="0" borderId="0" xfId="0" applyNumberFormat="1"/>
    <xf numFmtId="43" fontId="0" fillId="0" borderId="0" xfId="0" applyNumberFormat="1"/>
    <xf numFmtId="17" fontId="4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2" borderId="7" xfId="0" applyFill="1" applyBorder="1"/>
    <xf numFmtId="0" fontId="0" fillId="0" borderId="1" xfId="0" applyBorder="1" applyAlignment="1">
      <alignment vertical="center" wrapText="1"/>
    </xf>
    <xf numFmtId="43" fontId="1" fillId="0" borderId="0" xfId="2" applyFont="1"/>
    <xf numFmtId="43" fontId="1" fillId="0" borderId="1" xfId="2" applyFont="1" applyBorder="1"/>
    <xf numFmtId="43" fontId="0" fillId="0" borderId="1" xfId="2" applyFont="1" applyBorder="1"/>
    <xf numFmtId="43" fontId="1" fillId="0" borderId="8" xfId="2" applyFont="1" applyBorder="1"/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43" fontId="0" fillId="0" borderId="29" xfId="2" applyFont="1" applyBorder="1"/>
    <xf numFmtId="43" fontId="1" fillId="0" borderId="25" xfId="2" applyFont="1" applyBorder="1"/>
    <xf numFmtId="0" fontId="3" fillId="0" borderId="8" xfId="0" applyFont="1" applyBorder="1" applyAlignment="1">
      <alignment horizontal="center"/>
    </xf>
    <xf numFmtId="0" fontId="0" fillId="0" borderId="30" xfId="0" applyBorder="1"/>
    <xf numFmtId="0" fontId="3" fillId="0" borderId="9" xfId="0" applyFont="1" applyBorder="1" applyAlignment="1">
      <alignment horizontal="center"/>
    </xf>
    <xf numFmtId="43" fontId="1" fillId="0" borderId="11" xfId="2" applyFont="1" applyBorder="1"/>
    <xf numFmtId="43" fontId="1" fillId="0" borderId="19" xfId="2" applyFont="1" applyBorder="1"/>
    <xf numFmtId="43" fontId="1" fillId="0" borderId="12" xfId="2" applyFont="1" applyBorder="1"/>
    <xf numFmtId="0" fontId="0" fillId="0" borderId="1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9" xfId="0" applyBorder="1"/>
    <xf numFmtId="43" fontId="1" fillId="0" borderId="14" xfId="2" applyFont="1" applyBorder="1"/>
    <xf numFmtId="0" fontId="0" fillId="0" borderId="34" xfId="0" applyBorder="1"/>
    <xf numFmtId="43" fontId="0" fillId="0" borderId="14" xfId="2" applyFont="1" applyBorder="1"/>
    <xf numFmtId="43" fontId="1" fillId="0" borderId="2" xfId="2" applyFont="1" applyBorder="1"/>
    <xf numFmtId="0" fontId="0" fillId="0" borderId="35" xfId="0" applyBorder="1"/>
    <xf numFmtId="43" fontId="1" fillId="0" borderId="7" xfId="2" applyFont="1" applyBorder="1"/>
    <xf numFmtId="43" fontId="3" fillId="0" borderId="25" xfId="2" applyFont="1" applyBorder="1"/>
    <xf numFmtId="43" fontId="0" fillId="0" borderId="10" xfId="2" applyFont="1" applyBorder="1"/>
    <xf numFmtId="43" fontId="0" fillId="0" borderId="26" xfId="2" applyFont="1" applyBorder="1"/>
    <xf numFmtId="43" fontId="0" fillId="0" borderId="19" xfId="2" applyFont="1" applyBorder="1"/>
    <xf numFmtId="43" fontId="1" fillId="0" borderId="28" xfId="2" applyFont="1" applyBorder="1"/>
    <xf numFmtId="43" fontId="1" fillId="0" borderId="20" xfId="2" applyFont="1" applyBorder="1"/>
    <xf numFmtId="43" fontId="0" fillId="0" borderId="24" xfId="2" applyFont="1" applyBorder="1"/>
    <xf numFmtId="43" fontId="0" fillId="0" borderId="14" xfId="2" applyFont="1" applyBorder="1" applyAlignment="1"/>
    <xf numFmtId="43" fontId="0" fillId="0" borderId="16" xfId="2" applyFont="1" applyBorder="1"/>
    <xf numFmtId="43" fontId="0" fillId="0" borderId="17" xfId="2" applyFont="1" applyBorder="1"/>
    <xf numFmtId="43" fontId="1" fillId="0" borderId="17" xfId="2" applyFont="1" applyBorder="1"/>
    <xf numFmtId="0" fontId="0" fillId="0" borderId="36" xfId="0" applyBorder="1"/>
    <xf numFmtId="0" fontId="0" fillId="0" borderId="37" xfId="0" applyBorder="1"/>
    <xf numFmtId="43" fontId="0" fillId="0" borderId="38" xfId="2" applyFont="1" applyBorder="1"/>
    <xf numFmtId="43" fontId="1" fillId="0" borderId="39" xfId="2" applyFont="1" applyBorder="1"/>
    <xf numFmtId="43" fontId="1" fillId="0" borderId="40" xfId="2" applyFont="1" applyBorder="1"/>
    <xf numFmtId="0" fontId="0" fillId="0" borderId="8" xfId="0" applyBorder="1"/>
    <xf numFmtId="0" fontId="0" fillId="0" borderId="25" xfId="0" applyBorder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3" fillId="2" borderId="0" xfId="0" applyFont="1" applyFill="1"/>
    <xf numFmtId="0" fontId="9" fillId="0" borderId="1" xfId="0" applyFont="1" applyBorder="1" applyAlignment="1">
      <alignment horizontal="center"/>
    </xf>
    <xf numFmtId="0" fontId="2" fillId="0" borderId="1" xfId="0" applyFont="1" applyBorder="1"/>
    <xf numFmtId="0" fontId="11" fillId="0" borderId="1" xfId="0" applyFont="1" applyBorder="1"/>
    <xf numFmtId="0" fontId="12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2" fillId="0" borderId="1" xfId="0" applyFont="1" applyBorder="1"/>
    <xf numFmtId="0" fontId="11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65" fontId="12" fillId="0" borderId="0" xfId="0" applyNumberFormat="1" applyFont="1"/>
    <xf numFmtId="43" fontId="12" fillId="0" borderId="0" xfId="0" applyNumberFormat="1" applyFont="1" applyAlignment="1">
      <alignment horizontal="right"/>
    </xf>
    <xf numFmtId="43" fontId="0" fillId="0" borderId="1" xfId="2" applyFont="1" applyFill="1" applyBorder="1"/>
    <xf numFmtId="0" fontId="8" fillId="0" borderId="1" xfId="0" applyFont="1" applyBorder="1"/>
    <xf numFmtId="43" fontId="1" fillId="2" borderId="42" xfId="2" applyFont="1" applyFill="1" applyBorder="1"/>
    <xf numFmtId="43" fontId="0" fillId="2" borderId="7" xfId="2" applyFont="1" applyFill="1" applyBorder="1" applyAlignment="1"/>
    <xf numFmtId="43" fontId="0" fillId="2" borderId="1" xfId="2" applyFont="1" applyFill="1" applyBorder="1"/>
    <xf numFmtId="43" fontId="1" fillId="2" borderId="1" xfId="2" applyFont="1" applyFill="1" applyBorder="1"/>
    <xf numFmtId="43" fontId="1" fillId="2" borderId="7" xfId="2" applyFont="1" applyFill="1" applyBorder="1" applyAlignment="1">
      <alignment horizontal="left"/>
    </xf>
    <xf numFmtId="43" fontId="0" fillId="12" borderId="0" xfId="2" applyFont="1" applyFill="1" applyBorder="1"/>
    <xf numFmtId="43" fontId="0" fillId="12" borderId="19" xfId="2" applyFont="1" applyFill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2" borderId="1" xfId="0" applyFont="1" applyFill="1" applyBorder="1"/>
    <xf numFmtId="168" fontId="12" fillId="10" borderId="1" xfId="2" applyNumberFormat="1" applyFont="1" applyFill="1" applyBorder="1"/>
    <xf numFmtId="0" fontId="14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5" fontId="4" fillId="0" borderId="1" xfId="2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5" fontId="4" fillId="0" borderId="1" xfId="2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right" vertical="center" wrapText="1"/>
    </xf>
    <xf numFmtId="0" fontId="15" fillId="3" borderId="28" xfId="0" applyFont="1" applyFill="1" applyBorder="1" applyAlignment="1">
      <alignment horizontal="right" vertical="center" wrapText="1"/>
    </xf>
    <xf numFmtId="0" fontId="16" fillId="3" borderId="28" xfId="0" applyFont="1" applyFill="1" applyBorder="1" applyAlignment="1">
      <alignment vertical="center" wrapText="1"/>
    </xf>
    <xf numFmtId="0" fontId="17" fillId="0" borderId="44" xfId="6" applyFont="1" applyBorder="1" applyAlignment="1">
      <alignment horizontal="center" wrapText="1"/>
    </xf>
    <xf numFmtId="0" fontId="17" fillId="0" borderId="8" xfId="6" applyFont="1" applyBorder="1" applyAlignment="1">
      <alignment horizontal="center"/>
    </xf>
    <xf numFmtId="0" fontId="18" fillId="0" borderId="1" xfId="3" applyFont="1" applyBorder="1" applyAlignment="1">
      <alignment horizontal="left" wrapText="1"/>
    </xf>
    <xf numFmtId="0" fontId="18" fillId="0" borderId="41" xfId="7" applyFont="1" applyBorder="1" applyAlignment="1">
      <alignment horizontal="center"/>
    </xf>
    <xf numFmtId="0" fontId="18" fillId="0" borderId="1" xfId="3" applyFont="1" applyBorder="1" applyAlignment="1">
      <alignment horizontal="center"/>
    </xf>
    <xf numFmtId="165" fontId="18" fillId="0" borderId="1" xfId="4" applyNumberFormat="1" applyFont="1" applyFill="1" applyBorder="1" applyAlignment="1" applyProtection="1">
      <alignment horizontal="right"/>
      <protection locked="0"/>
    </xf>
    <xf numFmtId="165" fontId="18" fillId="0" borderId="41" xfId="4" applyNumberFormat="1" applyFont="1" applyFill="1" applyBorder="1" applyAlignment="1" applyProtection="1">
      <alignment horizontal="center"/>
      <protection locked="0"/>
    </xf>
    <xf numFmtId="165" fontId="18" fillId="0" borderId="41" xfId="5" applyNumberFormat="1" applyFont="1" applyFill="1" applyBorder="1" applyAlignment="1">
      <alignment horizontal="center"/>
    </xf>
    <xf numFmtId="165" fontId="18" fillId="0" borderId="1" xfId="5" applyNumberFormat="1" applyFont="1" applyFill="1" applyBorder="1" applyAlignment="1">
      <alignment horizontal="center"/>
    </xf>
    <xf numFmtId="165" fontId="18" fillId="2" borderId="1" xfId="4" applyNumberFormat="1" applyFont="1" applyFill="1" applyBorder="1" applyAlignment="1" applyProtection="1">
      <alignment horizontal="right"/>
      <protection locked="0"/>
    </xf>
    <xf numFmtId="165" fontId="18" fillId="2" borderId="41" xfId="4" applyNumberFormat="1" applyFont="1" applyFill="1" applyBorder="1" applyAlignment="1" applyProtection="1">
      <alignment horizontal="center"/>
      <protection locked="0"/>
    </xf>
    <xf numFmtId="165" fontId="18" fillId="2" borderId="1" xfId="5" applyNumberFormat="1" applyFont="1" applyFill="1" applyBorder="1" applyAlignment="1">
      <alignment horizontal="center"/>
    </xf>
    <xf numFmtId="165" fontId="18" fillId="2" borderId="41" xfId="5" applyNumberFormat="1" applyFont="1" applyFill="1" applyBorder="1" applyAlignment="1">
      <alignment horizontal="center"/>
    </xf>
    <xf numFmtId="0" fontId="11" fillId="0" borderId="0" xfId="0" applyFont="1"/>
    <xf numFmtId="0" fontId="17" fillId="0" borderId="17" xfId="6" applyFont="1" applyBorder="1" applyAlignment="1">
      <alignment horizontal="center"/>
    </xf>
    <xf numFmtId="0" fontId="18" fillId="0" borderId="1" xfId="3" applyFont="1" applyBorder="1" applyAlignment="1" applyProtection="1">
      <alignment horizontal="left"/>
      <protection locked="0"/>
    </xf>
    <xf numFmtId="165" fontId="0" fillId="0" borderId="0" xfId="0" applyNumberFormat="1"/>
    <xf numFmtId="0" fontId="17" fillId="0" borderId="2" xfId="6" applyFont="1" applyBorder="1" applyAlignment="1">
      <alignment horizontal="center" wrapText="1"/>
    </xf>
    <xf numFmtId="0" fontId="17" fillId="0" borderId="2" xfId="6" applyFont="1" applyBorder="1" applyAlignment="1">
      <alignment horizontal="center"/>
    </xf>
    <xf numFmtId="0" fontId="17" fillId="0" borderId="40" xfId="6" applyFont="1" applyBorder="1" applyAlignment="1">
      <alignment horizontal="right"/>
    </xf>
    <xf numFmtId="165" fontId="17" fillId="0" borderId="44" xfId="5" applyNumberFormat="1" applyFont="1" applyFill="1" applyBorder="1" applyAlignment="1">
      <alignment horizontal="center"/>
    </xf>
    <xf numFmtId="0" fontId="17" fillId="0" borderId="1" xfId="6" applyFont="1" applyBorder="1" applyAlignment="1">
      <alignment horizontal="center"/>
    </xf>
    <xf numFmtId="165" fontId="18" fillId="0" borderId="41" xfId="4" applyNumberFormat="1" applyFont="1" applyFill="1" applyBorder="1" applyAlignment="1" applyProtection="1">
      <alignment horizontal="right"/>
      <protection locked="0"/>
    </xf>
    <xf numFmtId="165" fontId="18" fillId="0" borderId="1" xfId="4" applyNumberFormat="1" applyFont="1" applyFill="1" applyBorder="1" applyAlignment="1" applyProtection="1">
      <alignment horizontal="center"/>
      <protection locked="0"/>
    </xf>
    <xf numFmtId="165" fontId="18" fillId="0" borderId="10" xfId="5" applyNumberFormat="1" applyFont="1" applyFill="1" applyBorder="1" applyAlignment="1">
      <alignment horizontal="center"/>
    </xf>
    <xf numFmtId="0" fontId="18" fillId="0" borderId="10" xfId="3" applyFont="1" applyBorder="1" applyAlignment="1">
      <alignment horizontal="left" wrapText="1"/>
    </xf>
    <xf numFmtId="165" fontId="18" fillId="0" borderId="7" xfId="5" applyNumberFormat="1" applyFont="1" applyFill="1" applyBorder="1" applyAlignment="1">
      <alignment horizontal="center"/>
    </xf>
    <xf numFmtId="165" fontId="18" fillId="2" borderId="7" xfId="5" applyNumberFormat="1" applyFont="1" applyFill="1" applyBorder="1" applyAlignment="1">
      <alignment horizontal="center"/>
    </xf>
    <xf numFmtId="43" fontId="11" fillId="0" borderId="0" xfId="0" applyNumberFormat="1" applyFont="1"/>
    <xf numFmtId="165" fontId="11" fillId="0" borderId="0" xfId="0" applyNumberFormat="1" applyFont="1"/>
    <xf numFmtId="0" fontId="17" fillId="0" borderId="31" xfId="6" applyFont="1" applyBorder="1" applyAlignment="1">
      <alignment horizontal="center"/>
    </xf>
    <xf numFmtId="164" fontId="18" fillId="0" borderId="7" xfId="4" applyFont="1" applyFill="1" applyBorder="1" applyAlignment="1" applyProtection="1">
      <alignment horizontal="center"/>
      <protection locked="0"/>
    </xf>
    <xf numFmtId="0" fontId="19" fillId="0" borderId="8" xfId="6" applyFont="1" applyBorder="1" applyAlignment="1">
      <alignment horizontal="center"/>
    </xf>
    <xf numFmtId="0" fontId="19" fillId="0" borderId="8" xfId="6" applyFont="1" applyBorder="1" applyAlignment="1">
      <alignment horizontal="center" wrapText="1"/>
    </xf>
    <xf numFmtId="0" fontId="19" fillId="0" borderId="8" xfId="6" applyFont="1" applyBorder="1" applyAlignment="1">
      <alignment horizontal="right"/>
    </xf>
    <xf numFmtId="165" fontId="19" fillId="0" borderId="8" xfId="5" applyNumberFormat="1" applyFont="1" applyFill="1" applyBorder="1" applyAlignment="1">
      <alignment horizontal="center"/>
    </xf>
    <xf numFmtId="1" fontId="19" fillId="0" borderId="8" xfId="6" applyNumberFormat="1" applyFont="1" applyBorder="1" applyAlignment="1">
      <alignment horizontal="center"/>
    </xf>
    <xf numFmtId="0" fontId="10" fillId="0" borderId="0" xfId="0" applyFont="1"/>
    <xf numFmtId="0" fontId="10" fillId="0" borderId="1" xfId="1" applyBorder="1" applyAlignment="1">
      <alignment horizontal="left" vertical="center"/>
    </xf>
    <xf numFmtId="0" fontId="0" fillId="0" borderId="1" xfId="1" applyFont="1" applyBorder="1" applyAlignment="1">
      <alignment horizontal="left" vertical="center"/>
    </xf>
    <xf numFmtId="3" fontId="0" fillId="0" borderId="1" xfId="1" applyNumberFormat="1" applyFont="1" applyBorder="1" applyAlignment="1">
      <alignment horizontal="left" vertical="center"/>
    </xf>
    <xf numFmtId="169" fontId="0" fillId="0" borderId="1" xfId="1" applyNumberFormat="1" applyFont="1" applyBorder="1" applyAlignment="1">
      <alignment horizontal="left" vertical="center"/>
    </xf>
    <xf numFmtId="169" fontId="10" fillId="0" borderId="1" xfId="1" applyNumberFormat="1" applyBorder="1" applyAlignment="1">
      <alignment horizontal="left" vertical="center"/>
    </xf>
    <xf numFmtId="169" fontId="0" fillId="0" borderId="1" xfId="1" applyNumberFormat="1" applyFont="1" applyBorder="1" applyAlignment="1">
      <alignment horizontal="right" vertical="center"/>
    </xf>
    <xf numFmtId="3" fontId="20" fillId="0" borderId="45" xfId="0" applyNumberFormat="1" applyFont="1" applyBorder="1"/>
    <xf numFmtId="3" fontId="20" fillId="0" borderId="0" xfId="0" applyNumberFormat="1" applyFont="1"/>
    <xf numFmtId="170" fontId="0" fillId="0" borderId="1" xfId="1" applyNumberFormat="1" applyFont="1" applyBorder="1" applyAlignment="1">
      <alignment horizontal="left" vertical="center"/>
    </xf>
    <xf numFmtId="0" fontId="20" fillId="0" borderId="0" xfId="0" applyFont="1"/>
    <xf numFmtId="0" fontId="10" fillId="0" borderId="0" xfId="6"/>
    <xf numFmtId="0" fontId="10" fillId="0" borderId="0" xfId="6" applyAlignment="1">
      <alignment horizontal="center"/>
    </xf>
    <xf numFmtId="0" fontId="10" fillId="0" borderId="1" xfId="6" applyBorder="1"/>
    <xf numFmtId="165" fontId="12" fillId="0" borderId="1" xfId="0" applyNumberFormat="1" applyFont="1" applyBorder="1"/>
    <xf numFmtId="165" fontId="12" fillId="0" borderId="19" xfId="0" applyNumberFormat="1" applyFont="1" applyBorder="1"/>
    <xf numFmtId="0" fontId="22" fillId="0" borderId="1" xfId="3" applyFont="1" applyBorder="1" applyAlignment="1">
      <alignment horizontal="left" wrapText="1"/>
    </xf>
    <xf numFmtId="0" fontId="22" fillId="0" borderId="1" xfId="3" applyFont="1" applyBorder="1" applyAlignment="1" applyProtection="1">
      <alignment horizontal="left"/>
      <protection locked="0"/>
    </xf>
    <xf numFmtId="0" fontId="22" fillId="0" borderId="1" xfId="3" applyFont="1" applyBorder="1" applyAlignment="1">
      <alignment horizontal="center"/>
    </xf>
    <xf numFmtId="165" fontId="22" fillId="0" borderId="1" xfId="4" applyNumberFormat="1" applyFont="1" applyFill="1" applyBorder="1" applyAlignment="1" applyProtection="1">
      <alignment horizontal="right"/>
      <protection locked="0"/>
    </xf>
    <xf numFmtId="165" fontId="22" fillId="0" borderId="1" xfId="4" applyNumberFormat="1" applyFont="1" applyFill="1" applyBorder="1" applyAlignment="1" applyProtection="1">
      <alignment horizontal="center"/>
      <protection locked="0"/>
    </xf>
    <xf numFmtId="165" fontId="22" fillId="0" borderId="1" xfId="5" applyNumberFormat="1" applyFont="1" applyFill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23" fillId="0" borderId="1" xfId="3" applyFont="1" applyBorder="1" applyAlignment="1">
      <alignment horizontal="center"/>
    </xf>
    <xf numFmtId="167" fontId="12" fillId="2" borderId="1" xfId="0" applyNumberFormat="1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center" vertical="center"/>
    </xf>
    <xf numFmtId="0" fontId="24" fillId="13" borderId="1" xfId="0" applyFont="1" applyFill="1" applyBorder="1"/>
    <xf numFmtId="0" fontId="12" fillId="11" borderId="1" xfId="0" applyFont="1" applyFill="1" applyBorder="1"/>
    <xf numFmtId="1" fontId="12" fillId="0" borderId="1" xfId="0" applyNumberFormat="1" applyFont="1" applyBorder="1" applyAlignment="1">
      <alignment horizontal="center"/>
    </xf>
    <xf numFmtId="0" fontId="12" fillId="8" borderId="1" xfId="0" applyFont="1" applyFill="1" applyBorder="1"/>
    <xf numFmtId="0" fontId="12" fillId="8" borderId="1" xfId="0" applyFont="1" applyFill="1" applyBorder="1" applyAlignment="1">
      <alignment horizontal="left"/>
    </xf>
    <xf numFmtId="0" fontId="23" fillId="0" borderId="1" xfId="0" applyFont="1" applyBorder="1"/>
    <xf numFmtId="0" fontId="12" fillId="0" borderId="1" xfId="0" applyFont="1" applyBorder="1" applyAlignment="1">
      <alignment horizontal="left"/>
    </xf>
    <xf numFmtId="0" fontId="25" fillId="2" borderId="1" xfId="0" applyFont="1" applyFill="1" applyBorder="1"/>
    <xf numFmtId="0" fontId="25" fillId="2" borderId="1" xfId="0" applyFont="1" applyFill="1" applyBorder="1" applyAlignment="1">
      <alignment horizontal="left"/>
    </xf>
    <xf numFmtId="40" fontId="21" fillId="11" borderId="46" xfId="0" applyNumberFormat="1" applyFont="1" applyFill="1" applyBorder="1" applyAlignment="1">
      <alignment vertical="center"/>
    </xf>
    <xf numFmtId="171" fontId="21" fillId="11" borderId="46" xfId="0" applyNumberFormat="1" applyFont="1" applyFill="1" applyBorder="1" applyAlignment="1">
      <alignment vertical="center"/>
    </xf>
    <xf numFmtId="43" fontId="12" fillId="0" borderId="0" xfId="0" applyNumberFormat="1" applyFont="1"/>
    <xf numFmtId="0" fontId="9" fillId="0" borderId="1" xfId="0" applyFont="1" applyBorder="1"/>
    <xf numFmtId="43" fontId="9" fillId="0" borderId="1" xfId="0" applyNumberFormat="1" applyFont="1" applyBorder="1" applyAlignment="1">
      <alignment horizontal="center"/>
    </xf>
    <xf numFmtId="168" fontId="9" fillId="0" borderId="1" xfId="2" applyNumberFormat="1" applyFont="1" applyBorder="1"/>
    <xf numFmtId="43" fontId="12" fillId="0" borderId="1" xfId="0" applyNumberFormat="1" applyFont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left"/>
    </xf>
    <xf numFmtId="2" fontId="12" fillId="0" borderId="1" xfId="0" applyNumberFormat="1" applyFont="1" applyBorder="1"/>
    <xf numFmtId="0" fontId="13" fillId="6" borderId="1" xfId="0" applyFont="1" applyFill="1" applyBorder="1"/>
    <xf numFmtId="0" fontId="12" fillId="6" borderId="1" xfId="0" applyFont="1" applyFill="1" applyBorder="1"/>
    <xf numFmtId="0" fontId="13" fillId="6" borderId="1" xfId="0" applyFont="1" applyFill="1" applyBorder="1" applyAlignment="1">
      <alignment horizontal="left"/>
    </xf>
    <xf numFmtId="2" fontId="12" fillId="10" borderId="1" xfId="0" applyNumberFormat="1" applyFont="1" applyFill="1" applyBorder="1"/>
    <xf numFmtId="0" fontId="13" fillId="7" borderId="1" xfId="0" applyFont="1" applyFill="1" applyBorder="1"/>
    <xf numFmtId="0" fontId="13" fillId="7" borderId="1" xfId="0" applyFont="1" applyFill="1" applyBorder="1" applyAlignment="1">
      <alignment horizontal="left"/>
    </xf>
    <xf numFmtId="2" fontId="0" fillId="0" borderId="0" xfId="0" applyNumberFormat="1"/>
    <xf numFmtId="0" fontId="23" fillId="0" borderId="1" xfId="3" applyFont="1" applyBorder="1" applyAlignment="1">
      <alignment horizontal="left" wrapText="1"/>
    </xf>
    <xf numFmtId="0" fontId="23" fillId="0" borderId="1" xfId="3" applyFont="1" applyBorder="1" applyAlignment="1" applyProtection="1">
      <alignment horizontal="left"/>
      <protection locked="0"/>
    </xf>
    <xf numFmtId="165" fontId="23" fillId="0" borderId="1" xfId="4" applyNumberFormat="1" applyFont="1" applyFill="1" applyBorder="1" applyAlignment="1" applyProtection="1">
      <alignment horizontal="right"/>
      <protection locked="0"/>
    </xf>
    <xf numFmtId="165" fontId="23" fillId="0" borderId="1" xfId="4" applyNumberFormat="1" applyFont="1" applyFill="1" applyBorder="1" applyAlignment="1" applyProtection="1">
      <alignment horizontal="center"/>
      <protection locked="0"/>
    </xf>
    <xf numFmtId="165" fontId="23" fillId="0" borderId="1" xfId="5" applyNumberFormat="1" applyFont="1" applyFill="1" applyBorder="1" applyAlignment="1">
      <alignment horizontal="center"/>
    </xf>
    <xf numFmtId="167" fontId="23" fillId="0" borderId="1" xfId="0" applyNumberFormat="1" applyFon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165" fontId="23" fillId="0" borderId="1" xfId="0" applyNumberFormat="1" applyFont="1" applyBorder="1"/>
    <xf numFmtId="0" fontId="23" fillId="11" borderId="1" xfId="0" applyFont="1" applyFill="1" applyBorder="1"/>
    <xf numFmtId="0" fontId="2" fillId="0" borderId="1" xfId="0" applyFont="1" applyBorder="1" applyAlignment="1">
      <alignment horizontal="center"/>
    </xf>
    <xf numFmtId="43" fontId="2" fillId="0" borderId="1" xfId="2" applyFont="1" applyBorder="1"/>
    <xf numFmtId="1" fontId="0" fillId="0" borderId="1" xfId="0" applyNumberFormat="1" applyBorder="1"/>
    <xf numFmtId="0" fontId="20" fillId="0" borderId="1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/>
    </xf>
    <xf numFmtId="1" fontId="20" fillId="0" borderId="1" xfId="6" applyNumberFormat="1" applyFont="1" applyBorder="1"/>
    <xf numFmtId="0" fontId="20" fillId="0" borderId="0" xfId="6" applyFont="1"/>
    <xf numFmtId="0" fontId="12" fillId="0" borderId="1" xfId="3" applyFont="1" applyBorder="1" applyAlignment="1" applyProtection="1">
      <alignment horizontal="left"/>
      <protection locked="0"/>
    </xf>
    <xf numFmtId="0" fontId="12" fillId="0" borderId="1" xfId="3" applyFont="1" applyBorder="1" applyAlignment="1">
      <alignment horizontal="left"/>
    </xf>
    <xf numFmtId="0" fontId="26" fillId="0" borderId="0" xfId="6" applyFont="1"/>
    <xf numFmtId="165" fontId="12" fillId="0" borderId="1" xfId="4" applyNumberFormat="1" applyFont="1" applyFill="1" applyBorder="1" applyAlignment="1" applyProtection="1">
      <alignment horizontal="right"/>
      <protection locked="0"/>
    </xf>
    <xf numFmtId="165" fontId="12" fillId="0" borderId="1" xfId="4" applyNumberFormat="1" applyFont="1" applyFill="1" applyBorder="1" applyAlignment="1" applyProtection="1">
      <alignment horizontal="center"/>
      <protection locked="0"/>
    </xf>
    <xf numFmtId="165" fontId="12" fillId="0" borderId="1" xfId="5" applyNumberFormat="1" applyFont="1" applyFill="1" applyBorder="1" applyAlignment="1">
      <alignment horizontal="center"/>
    </xf>
    <xf numFmtId="0" fontId="0" fillId="0" borderId="1" xfId="1" applyFont="1" applyBorder="1" applyAlignment="1">
      <alignment horizontal="left" vertical="center" wrapText="1"/>
    </xf>
    <xf numFmtId="0" fontId="0" fillId="0" borderId="19" xfId="1" applyFont="1" applyBorder="1" applyAlignment="1">
      <alignment horizontal="left" vertical="center" wrapText="1"/>
    </xf>
    <xf numFmtId="0" fontId="0" fillId="0" borderId="19" xfId="1" applyFont="1" applyBorder="1" applyAlignment="1">
      <alignment horizontal="center" vertical="center" wrapText="1"/>
    </xf>
    <xf numFmtId="1" fontId="10" fillId="0" borderId="1" xfId="6" applyNumberFormat="1" applyBorder="1"/>
    <xf numFmtId="172" fontId="10" fillId="0" borderId="0" xfId="6" applyNumberFormat="1"/>
    <xf numFmtId="0" fontId="26" fillId="0" borderId="1" xfId="1" applyFont="1" applyBorder="1" applyAlignment="1">
      <alignment horizontal="left" vertical="center" wrapText="1"/>
    </xf>
    <xf numFmtId="0" fontId="12" fillId="0" borderId="1" xfId="3" applyFont="1" applyBorder="1" applyAlignment="1">
      <alignment horizontal="left" wrapText="1"/>
    </xf>
    <xf numFmtId="0" fontId="26" fillId="0" borderId="1" xfId="1" applyFont="1" applyBorder="1" applyAlignment="1">
      <alignment horizontal="center" vertical="center" wrapText="1"/>
    </xf>
    <xf numFmtId="3" fontId="0" fillId="0" borderId="1" xfId="1" applyNumberFormat="1" applyFont="1" applyBorder="1" applyAlignment="1">
      <alignment horizontal="right" vertical="center"/>
    </xf>
    <xf numFmtId="0" fontId="27" fillId="0" borderId="1" xfId="6" applyFont="1" applyBorder="1"/>
    <xf numFmtId="0" fontId="27" fillId="0" borderId="0" xfId="6" applyFont="1"/>
    <xf numFmtId="0" fontId="10" fillId="0" borderId="1" xfId="6" applyBorder="1" applyAlignment="1">
      <alignment horizontal="left"/>
    </xf>
    <xf numFmtId="1" fontId="10" fillId="0" borderId="47" xfId="6" applyNumberFormat="1" applyBorder="1" applyAlignment="1">
      <alignment horizontal="right" vertical="center"/>
    </xf>
    <xf numFmtId="0" fontId="27" fillId="0" borderId="1" xfId="1" applyFont="1" applyBorder="1" applyAlignment="1">
      <alignment horizontal="left" vertical="center"/>
    </xf>
    <xf numFmtId="3" fontId="27" fillId="0" borderId="1" xfId="1" applyNumberFormat="1" applyFont="1" applyBorder="1" applyAlignment="1">
      <alignment horizontal="right" vertical="center"/>
    </xf>
    <xf numFmtId="169" fontId="27" fillId="0" borderId="1" xfId="1" applyNumberFormat="1" applyFont="1" applyBorder="1" applyAlignment="1">
      <alignment horizontal="right" vertical="center"/>
    </xf>
    <xf numFmtId="1" fontId="10" fillId="0" borderId="0" xfId="6" applyNumberFormat="1"/>
    <xf numFmtId="0" fontId="18" fillId="0" borderId="8" xfId="6" applyFont="1" applyBorder="1" applyAlignment="1">
      <alignment horizontal="center"/>
    </xf>
    <xf numFmtId="0" fontId="18" fillId="0" borderId="8" xfId="6" applyFont="1" applyBorder="1" applyAlignment="1">
      <alignment horizontal="center" wrapText="1"/>
    </xf>
    <xf numFmtId="0" fontId="18" fillId="0" borderId="8" xfId="6" applyFont="1" applyBorder="1" applyAlignment="1">
      <alignment horizontal="right"/>
    </xf>
    <xf numFmtId="165" fontId="18" fillId="0" borderId="8" xfId="5" applyNumberFormat="1" applyFont="1" applyFill="1" applyBorder="1" applyAlignment="1">
      <alignment horizontal="center"/>
    </xf>
    <xf numFmtId="1" fontId="18" fillId="0" borderId="8" xfId="6" applyNumberFormat="1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169" fontId="10" fillId="14" borderId="1" xfId="1" applyNumberFormat="1" applyFill="1" applyBorder="1" applyAlignment="1">
      <alignment horizontal="left" vertical="center"/>
    </xf>
    <xf numFmtId="3" fontId="0" fillId="14" borderId="1" xfId="1" applyNumberFormat="1" applyFont="1" applyFill="1" applyBorder="1" applyAlignment="1">
      <alignment horizontal="left" vertical="center"/>
    </xf>
    <xf numFmtId="169" fontId="10" fillId="0" borderId="0" xfId="0" applyNumberFormat="1" applyFont="1"/>
    <xf numFmtId="0" fontId="2" fillId="0" borderId="0" xfId="0" applyFont="1"/>
    <xf numFmtId="0" fontId="30" fillId="0" borderId="48" xfId="0" applyFont="1" applyBorder="1"/>
    <xf numFmtId="0" fontId="30" fillId="0" borderId="49" xfId="0" applyFont="1" applyBorder="1" applyAlignment="1">
      <alignment horizontal="center"/>
    </xf>
    <xf numFmtId="0" fontId="30" fillId="0" borderId="49" xfId="0" applyFont="1" applyBorder="1"/>
    <xf numFmtId="0" fontId="30" fillId="0" borderId="49" xfId="0" applyFont="1" applyBorder="1" applyAlignment="1">
      <alignment horizontal="right"/>
    </xf>
    <xf numFmtId="0" fontId="30" fillId="0" borderId="49" xfId="4" applyNumberFormat="1" applyFont="1" applyBorder="1" applyAlignment="1">
      <alignment horizontal="right"/>
    </xf>
    <xf numFmtId="167" fontId="30" fillId="0" borderId="49" xfId="4" applyNumberFormat="1" applyFont="1" applyBorder="1" applyAlignment="1">
      <alignment horizontal="right"/>
    </xf>
    <xf numFmtId="0" fontId="30" fillId="0" borderId="50" xfId="4" applyNumberFormat="1" applyFont="1" applyBorder="1" applyAlignment="1">
      <alignment horizontal="left"/>
    </xf>
    <xf numFmtId="0" fontId="31" fillId="2" borderId="7" xfId="0" applyFont="1" applyFill="1" applyBorder="1"/>
    <xf numFmtId="0" fontId="31" fillId="2" borderId="1" xfId="0" applyFont="1" applyFill="1" applyBorder="1" applyAlignment="1">
      <alignment horizontal="center"/>
    </xf>
    <xf numFmtId="0" fontId="31" fillId="2" borderId="41" xfId="0" applyFont="1" applyFill="1" applyBorder="1" applyAlignment="1">
      <alignment horizontal="center"/>
    </xf>
    <xf numFmtId="167" fontId="31" fillId="2" borderId="1" xfId="4" applyNumberFormat="1" applyFont="1" applyFill="1" applyBorder="1"/>
    <xf numFmtId="164" fontId="31" fillId="0" borderId="41" xfId="4" applyFont="1" applyBorder="1"/>
    <xf numFmtId="0" fontId="31" fillId="2" borderId="47" xfId="0" applyFont="1" applyFill="1" applyBorder="1"/>
    <xf numFmtId="0" fontId="31" fillId="2" borderId="28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167" fontId="31" fillId="2" borderId="28" xfId="4" applyNumberFormat="1" applyFont="1" applyFill="1" applyBorder="1"/>
    <xf numFmtId="164" fontId="31" fillId="0" borderId="0" xfId="4" applyFont="1" applyBorder="1"/>
    <xf numFmtId="0" fontId="31" fillId="2" borderId="51" xfId="0" applyFont="1" applyFill="1" applyBorder="1"/>
    <xf numFmtId="0" fontId="31" fillId="2" borderId="51" xfId="0" applyFont="1" applyFill="1" applyBorder="1" applyAlignment="1">
      <alignment horizontal="center"/>
    </xf>
    <xf numFmtId="167" fontId="31" fillId="2" borderId="51" xfId="4" applyNumberFormat="1" applyFont="1" applyFill="1" applyBorder="1"/>
    <xf numFmtId="164" fontId="31" fillId="0" borderId="51" xfId="4" applyFont="1" applyBorder="1"/>
    <xf numFmtId="164" fontId="31" fillId="0" borderId="28" xfId="4" applyFont="1" applyBorder="1"/>
    <xf numFmtId="167" fontId="31" fillId="2" borderId="52" xfId="4" applyNumberFormat="1" applyFont="1" applyFill="1" applyBorder="1"/>
    <xf numFmtId="164" fontId="31" fillId="0" borderId="1" xfId="4" applyFont="1" applyBorder="1"/>
    <xf numFmtId="167" fontId="31" fillId="2" borderId="10" xfId="4" applyNumberFormat="1" applyFont="1" applyFill="1" applyBorder="1"/>
    <xf numFmtId="43" fontId="3" fillId="0" borderId="0" xfId="0" applyNumberFormat="1" applyFont="1"/>
    <xf numFmtId="167" fontId="3" fillId="0" borderId="0" xfId="0" applyNumberFormat="1" applyFont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43" fontId="3" fillId="0" borderId="1" xfId="2" applyFont="1" applyBorder="1"/>
    <xf numFmtId="0" fontId="32" fillId="3" borderId="1" xfId="0" applyFont="1" applyFill="1" applyBorder="1" applyAlignment="1">
      <alignment vertical="center"/>
    </xf>
    <xf numFmtId="43" fontId="3" fillId="0" borderId="1" xfId="2" applyFont="1" applyBorder="1" applyAlignment="1"/>
    <xf numFmtId="165" fontId="1" fillId="0" borderId="1" xfId="2" applyNumberFormat="1" applyFont="1" applyBorder="1"/>
    <xf numFmtId="43" fontId="1" fillId="0" borderId="1" xfId="2" applyFont="1" applyBorder="1" applyAlignment="1"/>
    <xf numFmtId="43" fontId="0" fillId="0" borderId="1" xfId="0" applyNumberFormat="1" applyBorder="1"/>
    <xf numFmtId="43" fontId="1" fillId="0" borderId="1" xfId="2" applyFont="1" applyBorder="1" applyAlignment="1">
      <alignment horizontal="left"/>
    </xf>
    <xf numFmtId="165" fontId="0" fillId="0" borderId="1" xfId="2" applyNumberFormat="1" applyFont="1" applyBorder="1"/>
    <xf numFmtId="0" fontId="33" fillId="3" borderId="1" xfId="0" applyFont="1" applyFill="1" applyBorder="1" applyAlignment="1">
      <alignment vertical="center"/>
    </xf>
    <xf numFmtId="165" fontId="3" fillId="0" borderId="0" xfId="0" applyNumberFormat="1" applyFont="1"/>
    <xf numFmtId="40" fontId="21" fillId="0" borderId="46" xfId="0" applyNumberFormat="1" applyFont="1" applyBorder="1" applyAlignment="1">
      <alignment vertical="center"/>
    </xf>
    <xf numFmtId="171" fontId="21" fillId="0" borderId="46" xfId="0" applyNumberFormat="1" applyFont="1" applyBorder="1" applyAlignment="1">
      <alignment vertical="center"/>
    </xf>
    <xf numFmtId="0" fontId="21" fillId="0" borderId="46" xfId="0" applyFont="1" applyBorder="1" applyAlignment="1">
      <alignment vertical="center"/>
    </xf>
    <xf numFmtId="0" fontId="35" fillId="13" borderId="46" xfId="0" applyFont="1" applyFill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171" fontId="36" fillId="13" borderId="0" xfId="0" applyNumberFormat="1" applyFont="1" applyFill="1"/>
    <xf numFmtId="0" fontId="0" fillId="15" borderId="1" xfId="0" applyFill="1" applyBorder="1"/>
    <xf numFmtId="0" fontId="0" fillId="11" borderId="1" xfId="0" applyFill="1" applyBorder="1"/>
    <xf numFmtId="0" fontId="36" fillId="13" borderId="1" xfId="0" applyFont="1" applyFill="1" applyBorder="1"/>
    <xf numFmtId="0" fontId="37" fillId="13" borderId="19" xfId="1" applyFont="1" applyFill="1" applyBorder="1" applyAlignment="1">
      <alignment horizontal="center" vertical="center" wrapText="1"/>
    </xf>
    <xf numFmtId="0" fontId="0" fillId="11" borderId="19" xfId="1" applyFont="1" applyFill="1" applyBorder="1" applyAlignment="1">
      <alignment horizontal="center" vertical="center" wrapText="1"/>
    </xf>
    <xf numFmtId="0" fontId="10" fillId="11" borderId="0" xfId="6" applyFill="1" applyAlignment="1">
      <alignment horizontal="center"/>
    </xf>
    <xf numFmtId="0" fontId="0" fillId="11" borderId="1" xfId="1" applyFont="1" applyFill="1" applyBorder="1" applyAlignment="1">
      <alignment horizontal="center" vertical="center"/>
    </xf>
    <xf numFmtId="0" fontId="39" fillId="0" borderId="1" xfId="1" applyFont="1" applyBorder="1" applyAlignment="1">
      <alignment horizontal="center" vertical="center" wrapText="1"/>
    </xf>
    <xf numFmtId="0" fontId="39" fillId="0" borderId="28" xfId="1" applyFont="1" applyBorder="1" applyAlignment="1">
      <alignment horizontal="center" vertical="center" wrapText="1"/>
    </xf>
    <xf numFmtId="0" fontId="40" fillId="0" borderId="20" xfId="0" applyFont="1" applyBorder="1"/>
    <xf numFmtId="0" fontId="40" fillId="17" borderId="0" xfId="0" applyFont="1" applyFill="1"/>
    <xf numFmtId="3" fontId="0" fillId="0" borderId="1" xfId="1" applyNumberFormat="1" applyFont="1" applyBorder="1" applyAlignment="1">
      <alignment vertical="center"/>
    </xf>
    <xf numFmtId="0" fontId="10" fillId="0" borderId="28" xfId="0" applyFont="1" applyBorder="1"/>
    <xf numFmtId="9" fontId="10" fillId="0" borderId="1" xfId="0" applyNumberFormat="1" applyFont="1" applyBorder="1" applyAlignment="1">
      <alignment horizontal="left"/>
    </xf>
    <xf numFmtId="0" fontId="10" fillId="0" borderId="7" xfId="0" applyFont="1" applyBorder="1"/>
    <xf numFmtId="0" fontId="10" fillId="0" borderId="1" xfId="0" applyFont="1" applyBorder="1"/>
    <xf numFmtId="0" fontId="0" fillId="0" borderId="47" xfId="0" applyBorder="1"/>
    <xf numFmtId="3" fontId="20" fillId="0" borderId="1" xfId="1" applyNumberFormat="1" applyFont="1" applyBorder="1" applyAlignment="1">
      <alignment vertical="center"/>
    </xf>
    <xf numFmtId="0" fontId="10" fillId="0" borderId="2" xfId="0" applyFont="1" applyBorder="1"/>
    <xf numFmtId="0" fontId="0" fillId="0" borderId="51" xfId="1" applyFont="1" applyBorder="1" applyAlignment="1">
      <alignment horizontal="left" vertical="center"/>
    </xf>
    <xf numFmtId="0" fontId="0" fillId="0" borderId="2" xfId="1" applyFont="1" applyBorder="1" applyAlignment="1">
      <alignment horizontal="left" vertical="center"/>
    </xf>
    <xf numFmtId="3" fontId="0" fillId="0" borderId="2" xfId="1" applyNumberFormat="1" applyFont="1" applyBorder="1" applyAlignment="1">
      <alignment horizontal="left" vertical="center"/>
    </xf>
    <xf numFmtId="3" fontId="0" fillId="0" borderId="2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7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0" fontId="0" fillId="0" borderId="28" xfId="0" applyBorder="1"/>
    <xf numFmtId="9" fontId="0" fillId="0" borderId="28" xfId="0" applyNumberForma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20" fillId="0" borderId="55" xfId="1" applyFont="1" applyBorder="1" applyAlignment="1">
      <alignment horizontal="left" vertical="center"/>
    </xf>
    <xf numFmtId="9" fontId="0" fillId="0" borderId="2" xfId="0" applyNumberFormat="1" applyBorder="1" applyAlignment="1">
      <alignment horizontal="left"/>
    </xf>
    <xf numFmtId="3" fontId="20" fillId="0" borderId="1" xfId="1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/>
    <xf numFmtId="3" fontId="20" fillId="0" borderId="1" xfId="0" applyNumberFormat="1" applyFont="1" applyBorder="1"/>
    <xf numFmtId="0" fontId="20" fillId="0" borderId="1" xfId="1" applyFont="1" applyBorder="1" applyAlignment="1">
      <alignment horizontal="left" vertical="center"/>
    </xf>
    <xf numFmtId="9" fontId="20" fillId="0" borderId="1" xfId="0" applyNumberFormat="1" applyFont="1" applyBorder="1" applyAlignment="1">
      <alignment horizontal="left"/>
    </xf>
    <xf numFmtId="3" fontId="0" fillId="0" borderId="1" xfId="1" applyNumberFormat="1" applyFont="1" applyBorder="1" applyAlignment="1">
      <alignment horizontal="center" vertical="center"/>
    </xf>
    <xf numFmtId="3" fontId="0" fillId="0" borderId="2" xfId="1" applyNumberFormat="1" applyFont="1" applyBorder="1" applyAlignment="1">
      <alignment horizontal="center" vertical="center"/>
    </xf>
    <xf numFmtId="0" fontId="10" fillId="0" borderId="56" xfId="0" applyFont="1" applyBorder="1"/>
    <xf numFmtId="0" fontId="20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horizontal="center"/>
    </xf>
    <xf numFmtId="0" fontId="20" fillId="0" borderId="19" xfId="0" applyFont="1" applyBorder="1"/>
    <xf numFmtId="3" fontId="20" fillId="0" borderId="19" xfId="0" applyNumberFormat="1" applyFont="1" applyBorder="1"/>
    <xf numFmtId="9" fontId="0" fillId="0" borderId="0" xfId="0" applyNumberFormat="1" applyAlignment="1">
      <alignment horizontal="left"/>
    </xf>
    <xf numFmtId="0" fontId="17" fillId="0" borderId="8" xfId="6" applyFont="1" applyBorder="1" applyAlignment="1">
      <alignment horizontal="center" wrapText="1"/>
    </xf>
    <xf numFmtId="0" fontId="17" fillId="0" borderId="8" xfId="6" applyFont="1" applyBorder="1" applyAlignment="1">
      <alignment horizontal="left" wrapText="1"/>
    </xf>
    <xf numFmtId="0" fontId="17" fillId="0" borderId="8" xfId="6" applyFont="1" applyBorder="1" applyAlignment="1">
      <alignment horizontal="right" wrapText="1"/>
    </xf>
    <xf numFmtId="165" fontId="17" fillId="0" borderId="8" xfId="5" applyNumberFormat="1" applyFont="1" applyFill="1" applyBorder="1" applyAlignment="1">
      <alignment horizontal="center" wrapText="1"/>
    </xf>
    <xf numFmtId="0" fontId="17" fillId="0" borderId="0" xfId="6" applyFont="1" applyAlignment="1">
      <alignment horizontal="center" wrapText="1"/>
    </xf>
    <xf numFmtId="0" fontId="20" fillId="0" borderId="0" xfId="6" applyFont="1" applyAlignment="1">
      <alignment wrapText="1"/>
    </xf>
    <xf numFmtId="0" fontId="10" fillId="0" borderId="0" xfId="6" applyAlignment="1">
      <alignment wrapText="1"/>
    </xf>
    <xf numFmtId="0" fontId="40" fillId="0" borderId="0" xfId="6" applyFont="1"/>
    <xf numFmtId="0" fontId="40" fillId="0" borderId="1" xfId="1" applyFont="1" applyBorder="1" applyAlignment="1">
      <alignment horizontal="left" vertical="center"/>
    </xf>
    <xf numFmtId="3" fontId="40" fillId="0" borderId="1" xfId="1" applyNumberFormat="1" applyFont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49" fontId="40" fillId="11" borderId="1" xfId="2" applyNumberFormat="1" applyFont="1" applyFill="1" applyBorder="1" applyAlignment="1">
      <alignment horizontal="right" vertical="center"/>
    </xf>
    <xf numFmtId="4" fontId="40" fillId="11" borderId="1" xfId="1" applyNumberFormat="1" applyFont="1" applyFill="1" applyBorder="1" applyAlignment="1">
      <alignment horizontal="right" vertical="center"/>
    </xf>
    <xf numFmtId="0" fontId="40" fillId="0" borderId="1" xfId="6" applyFont="1" applyBorder="1" applyAlignment="1">
      <alignment horizontal="center"/>
    </xf>
    <xf numFmtId="1" fontId="40" fillId="0" borderId="1" xfId="6" applyNumberFormat="1" applyFont="1" applyBorder="1"/>
    <xf numFmtId="0" fontId="40" fillId="8" borderId="0" xfId="6" applyFont="1" applyFill="1"/>
    <xf numFmtId="0" fontId="40" fillId="8" borderId="1" xfId="1" applyFont="1" applyFill="1" applyBorder="1" applyAlignment="1">
      <alignment horizontal="left" vertical="center"/>
    </xf>
    <xf numFmtId="3" fontId="40" fillId="8" borderId="1" xfId="1" applyNumberFormat="1" applyFont="1" applyFill="1" applyBorder="1" applyAlignment="1">
      <alignment horizontal="right" vertical="center"/>
    </xf>
    <xf numFmtId="0" fontId="40" fillId="8" borderId="1" xfId="0" applyFont="1" applyFill="1" applyBorder="1" applyAlignment="1">
      <alignment horizontal="right" vertical="center"/>
    </xf>
    <xf numFmtId="0" fontId="40" fillId="8" borderId="1" xfId="6" applyFont="1" applyFill="1" applyBorder="1" applyAlignment="1">
      <alignment horizontal="center"/>
    </xf>
    <xf numFmtId="1" fontId="40" fillId="8" borderId="1" xfId="6" applyNumberFormat="1" applyFont="1" applyFill="1" applyBorder="1"/>
    <xf numFmtId="0" fontId="40" fillId="8" borderId="1" xfId="0" applyFont="1" applyFill="1" applyBorder="1" applyAlignment="1">
      <alignment horizontal="left" vertical="center"/>
    </xf>
    <xf numFmtId="0" fontId="10" fillId="8" borderId="1" xfId="6" applyFill="1" applyBorder="1"/>
    <xf numFmtId="3" fontId="40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4" fontId="40" fillId="11" borderId="1" xfId="0" applyNumberFormat="1" applyFont="1" applyFill="1" applyBorder="1" applyAlignment="1">
      <alignment horizontal="right" vertical="center"/>
    </xf>
    <xf numFmtId="0" fontId="41" fillId="0" borderId="1" xfId="1" applyFont="1" applyBorder="1" applyAlignment="1">
      <alignment horizontal="left" vertical="center"/>
    </xf>
    <xf numFmtId="3" fontId="41" fillId="0" borderId="1" xfId="1" applyNumberFormat="1" applyFont="1" applyBorder="1" applyAlignment="1">
      <alignment horizontal="right" vertical="center"/>
    </xf>
    <xf numFmtId="0" fontId="41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3" fontId="40" fillId="0" borderId="1" xfId="0" applyNumberFormat="1" applyFont="1" applyBorder="1" applyAlignment="1">
      <alignment horizontal="right" vertical="center"/>
    </xf>
    <xf numFmtId="3" fontId="10" fillId="0" borderId="0" xfId="6" applyNumberFormat="1"/>
    <xf numFmtId="2" fontId="20" fillId="0" borderId="0" xfId="6" applyNumberFormat="1" applyFont="1"/>
    <xf numFmtId="0" fontId="42" fillId="0" borderId="1" xfId="6" applyFont="1" applyBorder="1" applyAlignment="1">
      <alignment horizontal="center"/>
    </xf>
    <xf numFmtId="0" fontId="42" fillId="0" borderId="1" xfId="6" applyFont="1" applyBorder="1" applyAlignment="1">
      <alignment horizontal="center" wrapText="1"/>
    </xf>
    <xf numFmtId="0" fontId="42" fillId="0" borderId="1" xfId="6" applyFont="1" applyBorder="1"/>
    <xf numFmtId="165" fontId="42" fillId="0" borderId="1" xfId="5" applyNumberFormat="1" applyFont="1" applyFill="1" applyBorder="1" applyAlignment="1"/>
    <xf numFmtId="1" fontId="42" fillId="0" borderId="1" xfId="6" applyNumberFormat="1" applyFont="1" applyBorder="1" applyAlignment="1">
      <alignment horizontal="center"/>
    </xf>
    <xf numFmtId="0" fontId="42" fillId="8" borderId="1" xfId="6" applyFont="1" applyFill="1" applyBorder="1"/>
    <xf numFmtId="14" fontId="12" fillId="0" borderId="1" xfId="0" applyNumberFormat="1" applyFont="1" applyBorder="1" applyAlignment="1">
      <alignment horizontal="left"/>
    </xf>
    <xf numFmtId="0" fontId="22" fillId="11" borderId="1" xfId="6" applyFont="1" applyFill="1" applyBorder="1" applyAlignment="1">
      <alignment horizontal="left"/>
    </xf>
    <xf numFmtId="0" fontId="12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3" fontId="12" fillId="0" borderId="1" xfId="1" applyNumberFormat="1" applyFont="1" applyBorder="1" applyAlignment="1">
      <alignment vertical="center"/>
    </xf>
    <xf numFmtId="4" fontId="12" fillId="0" borderId="1" xfId="1" applyNumberFormat="1" applyFont="1" applyBorder="1" applyAlignment="1">
      <alignment vertical="center"/>
    </xf>
    <xf numFmtId="3" fontId="12" fillId="0" borderId="1" xfId="1" applyNumberFormat="1" applyFont="1" applyBorder="1" applyAlignment="1">
      <alignment horizontal="center" vertical="center"/>
    </xf>
    <xf numFmtId="165" fontId="12" fillId="0" borderId="1" xfId="2" applyNumberFormat="1" applyFont="1" applyBorder="1"/>
    <xf numFmtId="173" fontId="12" fillId="0" borderId="1" xfId="2" applyNumberFormat="1" applyFont="1" applyBorder="1"/>
    <xf numFmtId="2" fontId="12" fillId="8" borderId="1" xfId="0" applyNumberFormat="1" applyFont="1" applyFill="1" applyBorder="1"/>
    <xf numFmtId="0" fontId="22" fillId="2" borderId="1" xfId="6" applyFont="1" applyFill="1" applyBorder="1" applyAlignment="1">
      <alignment horizontal="left"/>
    </xf>
    <xf numFmtId="0" fontId="12" fillId="2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vertical="center"/>
    </xf>
    <xf numFmtId="3" fontId="12" fillId="2" borderId="1" xfId="1" applyNumberFormat="1" applyFont="1" applyFill="1" applyBorder="1" applyAlignment="1">
      <alignment vertical="center"/>
    </xf>
    <xf numFmtId="3" fontId="12" fillId="2" borderId="1" xfId="1" applyNumberFormat="1" applyFont="1" applyFill="1" applyBorder="1" applyAlignment="1">
      <alignment horizontal="center" vertical="center"/>
    </xf>
    <xf numFmtId="165" fontId="12" fillId="2" borderId="1" xfId="2" applyNumberFormat="1" applyFont="1" applyFill="1" applyBorder="1"/>
    <xf numFmtId="0" fontId="22" fillId="0" borderId="1" xfId="6" applyFont="1" applyBorder="1" applyAlignment="1">
      <alignment horizontal="left"/>
    </xf>
    <xf numFmtId="0" fontId="22" fillId="0" borderId="1" xfId="3" applyFont="1" applyBorder="1"/>
    <xf numFmtId="165" fontId="22" fillId="0" borderId="1" xfId="4" applyNumberFormat="1" applyFont="1" applyFill="1" applyBorder="1" applyAlignment="1" applyProtection="1">
      <protection locked="0"/>
    </xf>
    <xf numFmtId="165" fontId="22" fillId="2" borderId="1" xfId="5" applyNumberFormat="1" applyFont="1" applyFill="1" applyBorder="1" applyAlignment="1">
      <alignment horizontal="center"/>
    </xf>
    <xf numFmtId="165" fontId="12" fillId="2" borderId="1" xfId="5" applyNumberFormat="1" applyFont="1" applyFill="1" applyBorder="1" applyAlignment="1">
      <alignment horizontal="center"/>
    </xf>
    <xf numFmtId="164" fontId="22" fillId="0" borderId="1" xfId="4" applyFont="1" applyFill="1" applyBorder="1" applyAlignment="1" applyProtection="1">
      <alignment horizontal="center"/>
      <protection locked="0"/>
    </xf>
    <xf numFmtId="0" fontId="22" fillId="2" borderId="1" xfId="3" applyFont="1" applyFill="1" applyBorder="1" applyAlignment="1" applyProtection="1">
      <alignment horizontal="left"/>
      <protection locked="0"/>
    </xf>
    <xf numFmtId="0" fontId="22" fillId="2" borderId="1" xfId="3" applyFont="1" applyFill="1" applyBorder="1" applyAlignment="1">
      <alignment horizontal="left" wrapText="1"/>
    </xf>
    <xf numFmtId="0" fontId="22" fillId="2" borderId="1" xfId="3" applyFont="1" applyFill="1" applyBorder="1"/>
    <xf numFmtId="165" fontId="22" fillId="2" borderId="1" xfId="4" applyNumberFormat="1" applyFont="1" applyFill="1" applyBorder="1" applyAlignment="1" applyProtection="1">
      <protection locked="0"/>
    </xf>
    <xf numFmtId="164" fontId="22" fillId="2" borderId="1" xfId="4" applyFont="1" applyFill="1" applyBorder="1" applyAlignment="1" applyProtection="1">
      <alignment horizontal="center"/>
      <protection locked="0"/>
    </xf>
    <xf numFmtId="165" fontId="22" fillId="2" borderId="1" xfId="2" applyNumberFormat="1" applyFont="1" applyFill="1" applyBorder="1" applyAlignment="1" applyProtection="1">
      <alignment horizontal="left"/>
      <protection locked="0"/>
    </xf>
    <xf numFmtId="0" fontId="22" fillId="0" borderId="7" xfId="6" applyFont="1" applyBorder="1" applyAlignment="1">
      <alignment horizontal="left"/>
    </xf>
    <xf numFmtId="0" fontId="22" fillId="0" borderId="10" xfId="3" applyFont="1" applyBorder="1" applyAlignment="1">
      <alignment horizontal="left" wrapText="1"/>
    </xf>
    <xf numFmtId="3" fontId="12" fillId="0" borderId="57" xfId="1" applyNumberFormat="1" applyFont="1" applyBorder="1" applyAlignment="1">
      <alignment vertical="center"/>
    </xf>
    <xf numFmtId="4" fontId="12" fillId="0" borderId="5" xfId="1" applyNumberFormat="1" applyFont="1" applyBorder="1" applyAlignment="1">
      <alignment vertical="center"/>
    </xf>
    <xf numFmtId="3" fontId="12" fillId="2" borderId="5" xfId="1" applyNumberFormat="1" applyFont="1" applyFill="1" applyBorder="1" applyAlignment="1">
      <alignment horizontal="center" vertical="center"/>
    </xf>
    <xf numFmtId="165" fontId="12" fillId="2" borderId="5" xfId="2" applyNumberFormat="1" applyFont="1" applyFill="1" applyBorder="1"/>
    <xf numFmtId="173" fontId="12" fillId="0" borderId="5" xfId="2" applyNumberFormat="1" applyFont="1" applyBorder="1"/>
    <xf numFmtId="0" fontId="22" fillId="2" borderId="7" xfId="6" applyFont="1" applyFill="1" applyBorder="1" applyAlignment="1">
      <alignment horizontal="left"/>
    </xf>
    <xf numFmtId="0" fontId="22" fillId="2" borderId="10" xfId="3" applyFont="1" applyFill="1" applyBorder="1" applyAlignment="1">
      <alignment horizontal="left" wrapText="1"/>
    </xf>
    <xf numFmtId="165" fontId="12" fillId="0" borderId="5" xfId="2" applyNumberFormat="1" applyFont="1" applyBorder="1"/>
    <xf numFmtId="0" fontId="22" fillId="11" borderId="7" xfId="6" applyFont="1" applyFill="1" applyBorder="1" applyAlignment="1">
      <alignment horizontal="left"/>
    </xf>
    <xf numFmtId="0" fontId="12" fillId="0" borderId="10" xfId="1" applyFont="1" applyBorder="1" applyAlignment="1">
      <alignment horizontal="left" vertical="center"/>
    </xf>
    <xf numFmtId="0" fontId="12" fillId="2" borderId="5" xfId="0" applyFont="1" applyFill="1" applyBorder="1"/>
    <xf numFmtId="0" fontId="22" fillId="11" borderId="28" xfId="6" applyFont="1" applyFill="1" applyBorder="1" applyAlignment="1">
      <alignment horizontal="left"/>
    </xf>
    <xf numFmtId="3" fontId="12" fillId="0" borderId="0" xfId="0" applyNumberFormat="1" applyFont="1"/>
    <xf numFmtId="4" fontId="12" fillId="0" borderId="0" xfId="1" applyNumberFormat="1" applyFont="1" applyAlignment="1">
      <alignment vertical="center"/>
    </xf>
    <xf numFmtId="2" fontId="12" fillId="0" borderId="0" xfId="0" applyNumberFormat="1" applyFont="1"/>
    <xf numFmtId="4" fontId="11" fillId="0" borderId="0" xfId="0" applyNumberFormat="1" applyFont="1"/>
    <xf numFmtId="0" fontId="35" fillId="13" borderId="58" xfId="0" applyFont="1" applyFill="1" applyBorder="1" applyAlignment="1">
      <alignment horizontal="center" vertical="center"/>
    </xf>
    <xf numFmtId="40" fontId="21" fillId="11" borderId="1" xfId="0" applyNumberFormat="1" applyFont="1" applyFill="1" applyBorder="1" applyAlignment="1">
      <alignment vertical="center"/>
    </xf>
    <xf numFmtId="171" fontId="21" fillId="11" borderId="1" xfId="0" applyNumberFormat="1" applyFont="1" applyFill="1" applyBorder="1" applyAlignment="1">
      <alignment vertical="center"/>
    </xf>
    <xf numFmtId="2" fontId="0" fillId="11" borderId="1" xfId="0" applyNumberFormat="1" applyFill="1" applyBorder="1"/>
    <xf numFmtId="2" fontId="21" fillId="11" borderId="1" xfId="0" applyNumberFormat="1" applyFont="1" applyFill="1" applyBorder="1" applyAlignment="1">
      <alignment vertical="center"/>
    </xf>
    <xf numFmtId="49" fontId="10" fillId="11" borderId="1" xfId="2" applyNumberFormat="1" applyFont="1" applyFill="1" applyBorder="1"/>
    <xf numFmtId="4" fontId="10" fillId="11" borderId="1" xfId="6" applyNumberFormat="1" applyFill="1" applyBorder="1"/>
    <xf numFmtId="0" fontId="10" fillId="11" borderId="1" xfId="6" applyFill="1" applyBorder="1"/>
    <xf numFmtId="4" fontId="40" fillId="8" borderId="2" xfId="1" applyNumberFormat="1" applyFont="1" applyFill="1" applyBorder="1" applyAlignment="1">
      <alignment horizontal="right" vertical="center"/>
    </xf>
    <xf numFmtId="4" fontId="40" fillId="8" borderId="19" xfId="1" applyNumberFormat="1" applyFont="1" applyFill="1" applyBorder="1" applyAlignment="1">
      <alignment horizontal="right" vertical="center"/>
    </xf>
    <xf numFmtId="165" fontId="0" fillId="0" borderId="19" xfId="1" applyNumberFormat="1" applyFont="1" applyBorder="1" applyAlignment="1">
      <alignment horizontal="left" vertical="center" wrapText="1"/>
    </xf>
    <xf numFmtId="0" fontId="0" fillId="4" borderId="1" xfId="1" applyFont="1" applyFill="1" applyBorder="1" applyAlignment="1">
      <alignment horizontal="left" vertical="center"/>
    </xf>
    <xf numFmtId="3" fontId="0" fillId="4" borderId="1" xfId="1" applyNumberFormat="1" applyFont="1" applyFill="1" applyBorder="1" applyAlignment="1">
      <alignment horizontal="right" vertical="center"/>
    </xf>
    <xf numFmtId="0" fontId="10" fillId="4" borderId="1" xfId="6" applyFill="1" applyBorder="1"/>
    <xf numFmtId="0" fontId="10" fillId="4" borderId="1" xfId="6" applyFill="1" applyBorder="1" applyAlignment="1">
      <alignment horizontal="left"/>
    </xf>
    <xf numFmtId="0" fontId="0" fillId="4" borderId="19" xfId="1" applyFont="1" applyFill="1" applyBorder="1" applyAlignment="1">
      <alignment horizontal="left" vertical="center" wrapText="1"/>
    </xf>
    <xf numFmtId="0" fontId="10" fillId="4" borderId="1" xfId="6" applyFill="1" applyBorder="1" applyAlignment="1">
      <alignment horizontal="center"/>
    </xf>
    <xf numFmtId="0" fontId="10" fillId="15" borderId="0" xfId="6" applyFill="1"/>
    <xf numFmtId="0" fontId="40" fillId="15" borderId="1" xfId="1" applyFont="1" applyFill="1" applyBorder="1" applyAlignment="1">
      <alignment horizontal="left" vertical="center"/>
    </xf>
    <xf numFmtId="0" fontId="10" fillId="15" borderId="1" xfId="6" applyFill="1" applyBorder="1"/>
    <xf numFmtId="3" fontId="40" fillId="15" borderId="1" xfId="1" applyNumberFormat="1" applyFont="1" applyFill="1" applyBorder="1" applyAlignment="1">
      <alignment horizontal="right" vertical="center"/>
    </xf>
    <xf numFmtId="0" fontId="40" fillId="15" borderId="1" xfId="0" applyFont="1" applyFill="1" applyBorder="1" applyAlignment="1">
      <alignment horizontal="right" vertical="center"/>
    </xf>
    <xf numFmtId="0" fontId="40" fillId="15" borderId="0" xfId="6" applyFont="1" applyFill="1"/>
    <xf numFmtId="3" fontId="0" fillId="15" borderId="1" xfId="1" applyNumberFormat="1" applyFont="1" applyFill="1" applyBorder="1" applyAlignment="1">
      <alignment horizontal="right" vertical="center"/>
    </xf>
    <xf numFmtId="0" fontId="0" fillId="15" borderId="1" xfId="1" applyFont="1" applyFill="1" applyBorder="1" applyAlignment="1">
      <alignment horizontal="left" vertical="center"/>
    </xf>
    <xf numFmtId="0" fontId="10" fillId="15" borderId="1" xfId="6" applyFill="1" applyBorder="1" applyAlignment="1">
      <alignment horizontal="left"/>
    </xf>
    <xf numFmtId="0" fontId="0" fillId="15" borderId="1" xfId="1" applyFont="1" applyFill="1" applyBorder="1" applyAlignment="1">
      <alignment horizontal="center" vertical="center"/>
    </xf>
    <xf numFmtId="0" fontId="0" fillId="18" borderId="1" xfId="1" applyFont="1" applyFill="1" applyBorder="1" applyAlignment="1">
      <alignment horizontal="left" vertical="center"/>
    </xf>
    <xf numFmtId="3" fontId="0" fillId="18" borderId="1" xfId="1" applyNumberFormat="1" applyFont="1" applyFill="1" applyBorder="1" applyAlignment="1">
      <alignment horizontal="right" vertical="center"/>
    </xf>
    <xf numFmtId="0" fontId="10" fillId="18" borderId="1" xfId="6" applyFill="1" applyBorder="1"/>
    <xf numFmtId="0" fontId="10" fillId="18" borderId="1" xfId="6" applyFill="1" applyBorder="1" applyAlignment="1">
      <alignment horizontal="left"/>
    </xf>
    <xf numFmtId="0" fontId="0" fillId="18" borderId="1" xfId="1" applyFont="1" applyFill="1" applyBorder="1" applyAlignment="1">
      <alignment horizontal="center" vertical="center"/>
    </xf>
    <xf numFmtId="0" fontId="40" fillId="19" borderId="0" xfId="6" applyFont="1" applyFill="1"/>
    <xf numFmtId="0" fontId="40" fillId="19" borderId="1" xfId="1" applyFont="1" applyFill="1" applyBorder="1" applyAlignment="1">
      <alignment horizontal="left" vertical="center"/>
    </xf>
    <xf numFmtId="0" fontId="10" fillId="19" borderId="1" xfId="6" applyFill="1" applyBorder="1"/>
    <xf numFmtId="3" fontId="40" fillId="19" borderId="1" xfId="1" applyNumberFormat="1" applyFont="1" applyFill="1" applyBorder="1" applyAlignment="1">
      <alignment horizontal="right" vertical="center"/>
    </xf>
    <xf numFmtId="0" fontId="0" fillId="19" borderId="1" xfId="0" applyFill="1" applyBorder="1"/>
    <xf numFmtId="0" fontId="40" fillId="19" borderId="1" xfId="0" applyFont="1" applyFill="1" applyBorder="1" applyAlignment="1">
      <alignment horizontal="right" vertical="center"/>
    </xf>
    <xf numFmtId="3" fontId="40" fillId="15" borderId="1" xfId="1" applyNumberFormat="1" applyFont="1" applyFill="1" applyBorder="1" applyAlignment="1">
      <alignment vertical="center"/>
    </xf>
    <xf numFmtId="3" fontId="40" fillId="19" borderId="1" xfId="1" applyNumberFormat="1" applyFont="1" applyFill="1" applyBorder="1" applyAlignment="1">
      <alignment vertical="center"/>
    </xf>
    <xf numFmtId="3" fontId="40" fillId="0" borderId="1" xfId="1" applyNumberFormat="1" applyFont="1" applyBorder="1" applyAlignment="1">
      <alignment horizontal="left" vertical="center"/>
    </xf>
    <xf numFmtId="0" fontId="43" fillId="13" borderId="1" xfId="0" applyFont="1" applyFill="1" applyBorder="1"/>
    <xf numFmtId="0" fontId="10" fillId="0" borderId="1" xfId="0" applyFont="1" applyBorder="1" applyAlignment="1">
      <alignment horizontal="left"/>
    </xf>
    <xf numFmtId="0" fontId="40" fillId="2" borderId="1" xfId="0" applyFont="1" applyFill="1" applyBorder="1"/>
    <xf numFmtId="0" fontId="0" fillId="14" borderId="1" xfId="0" applyFill="1" applyBorder="1"/>
    <xf numFmtId="1" fontId="0" fillId="14" borderId="1" xfId="0" applyNumberFormat="1" applyFill="1" applyBorder="1"/>
    <xf numFmtId="0" fontId="0" fillId="14" borderId="0" xfId="0" applyFill="1"/>
    <xf numFmtId="0" fontId="15" fillId="3" borderId="0" xfId="0" applyFont="1" applyFill="1" applyAlignment="1">
      <alignment horizontal="right" vertical="center" wrapText="1"/>
    </xf>
    <xf numFmtId="0" fontId="16" fillId="0" borderId="19" xfId="0" applyFont="1" applyBorder="1"/>
    <xf numFmtId="0" fontId="16" fillId="0" borderId="1" xfId="0" applyFont="1" applyBorder="1"/>
    <xf numFmtId="0" fontId="15" fillId="3" borderId="28" xfId="0" applyFont="1" applyFill="1" applyBorder="1" applyAlignment="1">
      <alignment vertical="center" wrapText="1"/>
    </xf>
    <xf numFmtId="1" fontId="12" fillId="0" borderId="0" xfId="0" applyNumberFormat="1" applyFont="1"/>
    <xf numFmtId="0" fontId="35" fillId="16" borderId="1" xfId="0" applyFont="1" applyFill="1" applyBorder="1" applyAlignment="1">
      <alignment vertical="center" wrapText="1"/>
    </xf>
    <xf numFmtId="0" fontId="12" fillId="0" borderId="19" xfId="0" applyFont="1" applyBorder="1"/>
    <xf numFmtId="0" fontId="12" fillId="15" borderId="1" xfId="0" applyFont="1" applyFill="1" applyBorder="1"/>
    <xf numFmtId="0" fontId="39" fillId="0" borderId="2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9" fontId="10" fillId="0" borderId="20" xfId="0" applyNumberFormat="1" applyFont="1" applyBorder="1" applyAlignment="1">
      <alignment horizontal="left"/>
    </xf>
    <xf numFmtId="9" fontId="0" fillId="0" borderId="47" xfId="0" applyNumberFormat="1" applyBorder="1" applyAlignment="1">
      <alignment horizontal="left"/>
    </xf>
    <xf numFmtId="9" fontId="0" fillId="0" borderId="7" xfId="0" applyNumberFormat="1" applyBorder="1" applyAlignment="1">
      <alignment horizontal="left"/>
    </xf>
    <xf numFmtId="0" fontId="0" fillId="0" borderId="28" xfId="0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39" fillId="0" borderId="7" xfId="1" applyFont="1" applyBorder="1" applyAlignment="1">
      <alignment horizontal="center" vertical="center" wrapText="1"/>
    </xf>
    <xf numFmtId="0" fontId="0" fillId="0" borderId="7" xfId="1" applyFont="1" applyBorder="1" applyAlignment="1">
      <alignment horizontal="left" vertical="center"/>
    </xf>
    <xf numFmtId="0" fontId="0" fillId="0" borderId="56" xfId="1" applyFont="1" applyBorder="1" applyAlignment="1">
      <alignment horizontal="left" vertical="center"/>
    </xf>
    <xf numFmtId="0" fontId="39" fillId="0" borderId="52" xfId="1" applyFont="1" applyBorder="1" applyAlignment="1">
      <alignment horizontal="center" vertical="center" wrapText="1"/>
    </xf>
    <xf numFmtId="0" fontId="10" fillId="0" borderId="41" xfId="0" applyFont="1" applyBorder="1"/>
    <xf numFmtId="0" fontId="0" fillId="0" borderId="41" xfId="0" applyBorder="1"/>
    <xf numFmtId="0" fontId="0" fillId="0" borderId="5" xfId="0" applyBorder="1"/>
    <xf numFmtId="0" fontId="10" fillId="0" borderId="10" xfId="0" applyFont="1" applyBorder="1"/>
    <xf numFmtId="0" fontId="0" fillId="0" borderId="10" xfId="0" applyBorder="1"/>
    <xf numFmtId="0" fontId="44" fillId="0" borderId="1" xfId="0" applyFont="1" applyBorder="1"/>
    <xf numFmtId="0" fontId="44" fillId="11" borderId="1" xfId="0" applyFont="1" applyFill="1" applyBorder="1"/>
    <xf numFmtId="0" fontId="44" fillId="0" borderId="0" xfId="0" applyFont="1"/>
    <xf numFmtId="0" fontId="23" fillId="2" borderId="1" xfId="0" applyFont="1" applyFill="1" applyBorder="1"/>
    <xf numFmtId="0" fontId="23" fillId="2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45" fillId="0" borderId="1" xfId="0" applyFont="1" applyBorder="1"/>
    <xf numFmtId="0" fontId="45" fillId="2" borderId="1" xfId="0" applyFont="1" applyFill="1" applyBorder="1"/>
    <xf numFmtId="0" fontId="45" fillId="2" borderId="1" xfId="0" applyFont="1" applyFill="1" applyBorder="1" applyAlignment="1">
      <alignment horizontal="left"/>
    </xf>
    <xf numFmtId="0" fontId="45" fillId="2" borderId="1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right"/>
    </xf>
    <xf numFmtId="165" fontId="45" fillId="0" borderId="1" xfId="5" applyNumberFormat="1" applyFont="1" applyFill="1" applyBorder="1" applyAlignment="1">
      <alignment horizontal="center"/>
    </xf>
    <xf numFmtId="167" fontId="45" fillId="0" borderId="1" xfId="0" applyNumberFormat="1" applyFont="1" applyBorder="1" applyAlignment="1">
      <alignment horizontal="center"/>
    </xf>
    <xf numFmtId="165" fontId="45" fillId="0" borderId="1" xfId="0" applyNumberFormat="1" applyFont="1" applyBorder="1"/>
    <xf numFmtId="0" fontId="45" fillId="11" borderId="1" xfId="0" applyFont="1" applyFill="1" applyBorder="1"/>
    <xf numFmtId="165" fontId="45" fillId="0" borderId="0" xfId="0" applyNumberFormat="1" applyFont="1"/>
    <xf numFmtId="0" fontId="45" fillId="0" borderId="1" xfId="0" applyFont="1" applyBorder="1" applyAlignment="1">
      <alignment horizontal="center"/>
    </xf>
    <xf numFmtId="0" fontId="45" fillId="0" borderId="1" xfId="3" applyFont="1" applyBorder="1" applyAlignment="1">
      <alignment horizontal="left" wrapText="1"/>
    </xf>
    <xf numFmtId="0" fontId="45" fillId="0" borderId="1" xfId="3" applyFont="1" applyBorder="1" applyAlignment="1" applyProtection="1">
      <alignment horizontal="left"/>
      <protection locked="0"/>
    </xf>
    <xf numFmtId="0" fontId="45" fillId="0" borderId="1" xfId="3" applyFont="1" applyBorder="1" applyAlignment="1">
      <alignment horizontal="center"/>
    </xf>
    <xf numFmtId="165" fontId="45" fillId="0" borderId="1" xfId="4" applyNumberFormat="1" applyFont="1" applyFill="1" applyBorder="1" applyAlignment="1" applyProtection="1">
      <alignment horizontal="right"/>
      <protection locked="0"/>
    </xf>
    <xf numFmtId="165" fontId="45" fillId="0" borderId="1" xfId="4" applyNumberFormat="1" applyFont="1" applyFill="1" applyBorder="1" applyAlignment="1" applyProtection="1">
      <alignment horizontal="center"/>
      <protection locked="0"/>
    </xf>
    <xf numFmtId="167" fontId="45" fillId="2" borderId="1" xfId="0" applyNumberFormat="1" applyFont="1" applyFill="1" applyBorder="1" applyAlignment="1">
      <alignment horizontal="center"/>
    </xf>
    <xf numFmtId="0" fontId="45" fillId="0" borderId="0" xfId="0" applyFont="1"/>
    <xf numFmtId="1" fontId="45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right" vertical="center"/>
    </xf>
    <xf numFmtId="2" fontId="45" fillId="0" borderId="1" xfId="0" applyNumberFormat="1" applyFont="1" applyBorder="1" applyAlignment="1">
      <alignment horizontal="center" vertical="center"/>
    </xf>
    <xf numFmtId="0" fontId="45" fillId="8" borderId="1" xfId="0" applyFont="1" applyFill="1" applyBorder="1"/>
    <xf numFmtId="0" fontId="45" fillId="8" borderId="1" xfId="0" applyFont="1" applyFill="1" applyBorder="1" applyAlignment="1">
      <alignment horizontal="left"/>
    </xf>
    <xf numFmtId="40" fontId="46" fillId="11" borderId="46" xfId="0" applyNumberFormat="1" applyFont="1" applyFill="1" applyBorder="1" applyAlignment="1">
      <alignment vertical="center"/>
    </xf>
    <xf numFmtId="171" fontId="46" fillId="11" borderId="46" xfId="0" applyNumberFormat="1" applyFont="1" applyFill="1" applyBorder="1" applyAlignment="1">
      <alignment vertical="center"/>
    </xf>
    <xf numFmtId="0" fontId="47" fillId="0" borderId="1" xfId="0" applyFont="1" applyBorder="1"/>
    <xf numFmtId="0" fontId="47" fillId="2" borderId="1" xfId="0" applyFont="1" applyFill="1" applyBorder="1"/>
    <xf numFmtId="0" fontId="47" fillId="2" borderId="1" xfId="0" applyFont="1" applyFill="1" applyBorder="1" applyAlignment="1">
      <alignment horizontal="left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11" borderId="1" xfId="0" applyFont="1" applyFill="1" applyBorder="1"/>
    <xf numFmtId="0" fontId="47" fillId="0" borderId="0" xfId="0" applyFont="1"/>
    <xf numFmtId="0" fontId="48" fillId="0" borderId="0" xfId="6" applyFont="1"/>
    <xf numFmtId="0" fontId="48" fillId="0" borderId="1" xfId="1" applyFont="1" applyBorder="1" applyAlignment="1">
      <alignment horizontal="left" vertical="center"/>
    </xf>
    <xf numFmtId="3" fontId="48" fillId="0" borderId="1" xfId="1" applyNumberFormat="1" applyFont="1" applyBorder="1" applyAlignment="1">
      <alignment horizontal="right" vertical="center"/>
    </xf>
    <xf numFmtId="0" fontId="49" fillId="0" borderId="1" xfId="6" applyFont="1" applyBorder="1"/>
    <xf numFmtId="0" fontId="50" fillId="0" borderId="1" xfId="0" applyFont="1" applyBorder="1"/>
    <xf numFmtId="0" fontId="48" fillId="0" borderId="1" xfId="0" applyFont="1" applyBorder="1" applyAlignment="1">
      <alignment horizontal="right" vertical="center"/>
    </xf>
    <xf numFmtId="49" fontId="49" fillId="11" borderId="1" xfId="2" applyNumberFormat="1" applyFont="1" applyFill="1" applyBorder="1"/>
    <xf numFmtId="4" fontId="49" fillId="11" borderId="1" xfId="6" applyNumberFormat="1" applyFont="1" applyFill="1" applyBorder="1"/>
    <xf numFmtId="0" fontId="50" fillId="0" borderId="1" xfId="0" applyFont="1" applyBorder="1" applyAlignment="1">
      <alignment horizontal="center"/>
    </xf>
    <xf numFmtId="1" fontId="48" fillId="0" borderId="1" xfId="6" applyNumberFormat="1" applyFont="1" applyBorder="1"/>
    <xf numFmtId="49" fontId="48" fillId="11" borderId="1" xfId="2" applyNumberFormat="1" applyFont="1" applyFill="1" applyBorder="1" applyAlignment="1">
      <alignment horizontal="right" vertical="center"/>
    </xf>
    <xf numFmtId="4" fontId="48" fillId="11" borderId="1" xfId="1" applyNumberFormat="1" applyFont="1" applyFill="1" applyBorder="1" applyAlignment="1">
      <alignment horizontal="right" vertical="center"/>
    </xf>
    <xf numFmtId="0" fontId="48" fillId="0" borderId="1" xfId="6" applyFont="1" applyBorder="1" applyAlignment="1">
      <alignment horizontal="center"/>
    </xf>
    <xf numFmtId="43" fontId="50" fillId="2" borderId="1" xfId="2" applyFont="1" applyFill="1" applyBorder="1"/>
    <xf numFmtId="43" fontId="50" fillId="0" borderId="1" xfId="2" applyFont="1" applyBorder="1"/>
    <xf numFmtId="2" fontId="50" fillId="0" borderId="1" xfId="0" applyNumberFormat="1" applyFont="1" applyBorder="1"/>
    <xf numFmtId="40" fontId="51" fillId="11" borderId="46" xfId="0" applyNumberFormat="1" applyFont="1" applyFill="1" applyBorder="1" applyAlignment="1">
      <alignment vertical="center"/>
    </xf>
    <xf numFmtId="171" fontId="51" fillId="11" borderId="46" xfId="0" applyNumberFormat="1" applyFont="1" applyFill="1" applyBorder="1" applyAlignment="1">
      <alignment vertical="center"/>
    </xf>
    <xf numFmtId="14" fontId="52" fillId="0" borderId="1" xfId="0" applyNumberFormat="1" applyFont="1" applyBorder="1" applyAlignment="1">
      <alignment horizontal="left"/>
    </xf>
    <xf numFmtId="0" fontId="52" fillId="0" borderId="1" xfId="0" applyFont="1" applyBorder="1"/>
    <xf numFmtId="0" fontId="52" fillId="0" borderId="1" xfId="0" applyFont="1" applyBorder="1" applyAlignment="1">
      <alignment horizontal="left"/>
    </xf>
    <xf numFmtId="165" fontId="52" fillId="0" borderId="1" xfId="2" applyNumberFormat="1" applyFont="1" applyBorder="1" applyAlignment="1">
      <alignment horizontal="left"/>
    </xf>
    <xf numFmtId="0" fontId="52" fillId="0" borderId="1" xfId="0" applyFont="1" applyBorder="1" applyAlignment="1">
      <alignment horizontal="center"/>
    </xf>
    <xf numFmtId="0" fontId="52" fillId="11" borderId="1" xfId="0" applyFont="1" applyFill="1" applyBorder="1"/>
    <xf numFmtId="2" fontId="52" fillId="11" borderId="1" xfId="0" applyNumberFormat="1" applyFont="1" applyFill="1" applyBorder="1"/>
    <xf numFmtId="0" fontId="3" fillId="0" borderId="1" xfId="1" applyFont="1" applyBorder="1" applyAlignment="1">
      <alignment horizontal="center" vertical="center" wrapText="1"/>
    </xf>
    <xf numFmtId="0" fontId="0" fillId="0" borderId="1" xfId="0" quotePrefix="1" applyBorder="1"/>
    <xf numFmtId="0" fontId="1" fillId="0" borderId="1" xfId="1" applyFont="1" applyBorder="1" applyAlignment="1">
      <alignment horizontal="left" vertical="center"/>
    </xf>
    <xf numFmtId="3" fontId="1" fillId="0" borderId="1" xfId="1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quotePrefix="1" applyFont="1" applyBorder="1"/>
    <xf numFmtId="0" fontId="53" fillId="13" borderId="28" xfId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3" fontId="40" fillId="20" borderId="1" xfId="1" applyNumberFormat="1" applyFont="1" applyFill="1" applyBorder="1" applyAlignment="1">
      <alignment horizontal="right" vertical="center"/>
    </xf>
    <xf numFmtId="3" fontId="28" fillId="20" borderId="1" xfId="1" applyNumberFormat="1" applyFont="1" applyFill="1" applyBorder="1" applyAlignment="1">
      <alignment horizontal="right" vertical="center"/>
    </xf>
    <xf numFmtId="0" fontId="10" fillId="20" borderId="1" xfId="6" applyFill="1" applyBorder="1"/>
    <xf numFmtId="0" fontId="40" fillId="20" borderId="1" xfId="0" applyFont="1" applyFill="1" applyBorder="1" applyAlignment="1">
      <alignment horizontal="right" vertical="center"/>
    </xf>
    <xf numFmtId="3" fontId="40" fillId="20" borderId="2" xfId="1" applyNumberFormat="1" applyFont="1" applyFill="1" applyBorder="1" applyAlignment="1">
      <alignment horizontal="right" vertical="center"/>
    </xf>
    <xf numFmtId="14" fontId="12" fillId="17" borderId="1" xfId="0" applyNumberFormat="1" applyFont="1" applyFill="1" applyBorder="1" applyAlignment="1">
      <alignment horizontal="left"/>
    </xf>
    <xf numFmtId="0" fontId="22" fillId="17" borderId="1" xfId="6" applyFont="1" applyFill="1" applyBorder="1" applyAlignment="1">
      <alignment horizontal="left"/>
    </xf>
    <xf numFmtId="0" fontId="12" fillId="17" borderId="1" xfId="1" applyFont="1" applyFill="1" applyBorder="1" applyAlignment="1">
      <alignment horizontal="left" vertical="center"/>
    </xf>
    <xf numFmtId="0" fontId="12" fillId="17" borderId="1" xfId="1" applyFont="1" applyFill="1" applyBorder="1" applyAlignment="1">
      <alignment vertical="center"/>
    </xf>
    <xf numFmtId="3" fontId="12" fillId="17" borderId="1" xfId="1" applyNumberFormat="1" applyFont="1" applyFill="1" applyBorder="1" applyAlignment="1">
      <alignment vertical="center"/>
    </xf>
    <xf numFmtId="4" fontId="12" fillId="17" borderId="1" xfId="1" applyNumberFormat="1" applyFont="1" applyFill="1" applyBorder="1" applyAlignment="1">
      <alignment vertical="center"/>
    </xf>
    <xf numFmtId="3" fontId="12" fillId="17" borderId="1" xfId="1" applyNumberFormat="1" applyFont="1" applyFill="1" applyBorder="1" applyAlignment="1">
      <alignment horizontal="center" vertical="center"/>
    </xf>
    <xf numFmtId="0" fontId="12" fillId="17" borderId="1" xfId="0" applyFont="1" applyFill="1" applyBorder="1"/>
    <xf numFmtId="173" fontId="12" fillId="17" borderId="1" xfId="2" applyNumberFormat="1" applyFont="1" applyFill="1" applyBorder="1"/>
    <xf numFmtId="2" fontId="12" fillId="17" borderId="1" xfId="0" applyNumberFormat="1" applyFont="1" applyFill="1" applyBorder="1"/>
    <xf numFmtId="0" fontId="54" fillId="0" borderId="1" xfId="0" applyFont="1" applyBorder="1"/>
    <xf numFmtId="0" fontId="54" fillId="2" borderId="1" xfId="0" applyFont="1" applyFill="1" applyBorder="1"/>
    <xf numFmtId="0" fontId="54" fillId="2" borderId="1" xfId="0" applyFont="1" applyFill="1" applyBorder="1" applyAlignment="1">
      <alignment horizontal="left"/>
    </xf>
    <xf numFmtId="0" fontId="54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right"/>
    </xf>
    <xf numFmtId="165" fontId="54" fillId="0" borderId="1" xfId="5" applyNumberFormat="1" applyFont="1" applyFill="1" applyBorder="1" applyAlignment="1">
      <alignment horizontal="center"/>
    </xf>
    <xf numFmtId="167" fontId="54" fillId="0" borderId="1" xfId="0" applyNumberFormat="1" applyFont="1" applyBorder="1" applyAlignment="1">
      <alignment horizontal="center"/>
    </xf>
    <xf numFmtId="165" fontId="54" fillId="0" borderId="1" xfId="0" applyNumberFormat="1" applyFont="1" applyBorder="1"/>
    <xf numFmtId="0" fontId="54" fillId="11" borderId="1" xfId="0" applyFont="1" applyFill="1" applyBorder="1"/>
    <xf numFmtId="165" fontId="54" fillId="0" borderId="0" xfId="0" applyNumberFormat="1" applyFont="1"/>
    <xf numFmtId="3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Border="1" applyAlignment="1">
      <alignment vertical="center"/>
    </xf>
    <xf numFmtId="3" fontId="0" fillId="0" borderId="0" xfId="0" applyNumberFormat="1" applyAlignment="1">
      <alignment horizontal="center"/>
    </xf>
    <xf numFmtId="0" fontId="55" fillId="0" borderId="0" xfId="0" applyFont="1"/>
    <xf numFmtId="175" fontId="21" fillId="11" borderId="46" xfId="0" applyNumberFormat="1" applyFont="1" applyFill="1" applyBorder="1" applyAlignment="1">
      <alignment horizontal="center" vertical="center"/>
    </xf>
    <xf numFmtId="175" fontId="21" fillId="11" borderId="53" xfId="0" applyNumberFormat="1" applyFont="1" applyFill="1" applyBorder="1" applyAlignment="1">
      <alignment horizontal="center" vertical="center"/>
    </xf>
    <xf numFmtId="40" fontId="21" fillId="11" borderId="53" xfId="0" applyNumberFormat="1" applyFont="1" applyFill="1" applyBorder="1" applyAlignment="1">
      <alignment vertical="center"/>
    </xf>
    <xf numFmtId="171" fontId="21" fillId="11" borderId="53" xfId="0" applyNumberFormat="1" applyFont="1" applyFill="1" applyBorder="1" applyAlignment="1">
      <alignment vertical="center"/>
    </xf>
    <xf numFmtId="0" fontId="24" fillId="16" borderId="1" xfId="0" applyFont="1" applyFill="1" applyBorder="1" applyAlignment="1">
      <alignment vertical="center" wrapText="1"/>
    </xf>
    <xf numFmtId="175" fontId="13" fillId="11" borderId="46" xfId="0" applyNumberFormat="1" applyFont="1" applyFill="1" applyBorder="1" applyAlignment="1">
      <alignment horizontal="center" vertical="center"/>
    </xf>
    <xf numFmtId="40" fontId="13" fillId="11" borderId="46" xfId="0" applyNumberFormat="1" applyFont="1" applyFill="1" applyBorder="1" applyAlignment="1">
      <alignment vertical="center"/>
    </xf>
    <xf numFmtId="171" fontId="13" fillId="11" borderId="46" xfId="0" applyNumberFormat="1" applyFont="1" applyFill="1" applyBorder="1" applyAlignment="1">
      <alignment vertical="center"/>
    </xf>
    <xf numFmtId="0" fontId="42" fillId="0" borderId="1" xfId="6" applyFont="1" applyBorder="1" applyAlignment="1">
      <alignment horizontal="right"/>
    </xf>
    <xf numFmtId="165" fontId="42" fillId="0" borderId="1" xfId="5" applyNumberFormat="1" applyFont="1" applyFill="1" applyBorder="1" applyAlignment="1">
      <alignment horizontal="center"/>
    </xf>
    <xf numFmtId="0" fontId="22" fillId="0" borderId="1" xfId="6" applyFont="1" applyBorder="1" applyAlignment="1">
      <alignment horizontal="center"/>
    </xf>
    <xf numFmtId="0" fontId="22" fillId="0" borderId="1" xfId="6" applyFont="1" applyBorder="1" applyAlignment="1">
      <alignment horizontal="right"/>
    </xf>
    <xf numFmtId="0" fontId="22" fillId="11" borderId="1" xfId="0" applyFont="1" applyFill="1" applyBorder="1"/>
    <xf numFmtId="0" fontId="22" fillId="0" borderId="1" xfId="7" applyFont="1" applyBorder="1" applyAlignment="1">
      <alignment horizontal="center"/>
    </xf>
    <xf numFmtId="0" fontId="22" fillId="0" borderId="1" xfId="5" applyNumberFormat="1" applyFont="1" applyFill="1" applyBorder="1" applyAlignment="1">
      <alignment horizontal="center"/>
    </xf>
    <xf numFmtId="0" fontId="22" fillId="0" borderId="1" xfId="0" applyFont="1" applyBorder="1" applyAlignment="1">
      <alignment vertical="center"/>
    </xf>
    <xf numFmtId="43" fontId="22" fillId="0" borderId="1" xfId="2" applyFont="1" applyFill="1" applyBorder="1" applyAlignment="1">
      <alignment horizontal="right" vertical="center"/>
    </xf>
    <xf numFmtId="0" fontId="56" fillId="3" borderId="1" xfId="0" applyFont="1" applyFill="1" applyBorder="1" applyAlignment="1">
      <alignment vertical="center" wrapText="1"/>
    </xf>
    <xf numFmtId="0" fontId="56" fillId="3" borderId="7" xfId="0" applyFont="1" applyFill="1" applyBorder="1" applyAlignment="1">
      <alignment vertical="center" wrapText="1"/>
    </xf>
    <xf numFmtId="0" fontId="57" fillId="3" borderId="23" xfId="0" applyFont="1" applyFill="1" applyBorder="1" applyAlignment="1">
      <alignment vertical="center" wrapText="1"/>
    </xf>
    <xf numFmtId="0" fontId="57" fillId="3" borderId="22" xfId="0" applyFont="1" applyFill="1" applyBorder="1" applyAlignment="1">
      <alignment vertical="center" wrapText="1"/>
    </xf>
    <xf numFmtId="0" fontId="57" fillId="3" borderId="43" xfId="0" applyFont="1" applyFill="1" applyBorder="1" applyAlignment="1">
      <alignment vertical="center" wrapText="1"/>
    </xf>
    <xf numFmtId="0" fontId="57" fillId="3" borderId="1" xfId="0" applyFont="1" applyFill="1" applyBorder="1" applyAlignment="1">
      <alignment vertical="center" wrapText="1"/>
    </xf>
    <xf numFmtId="0" fontId="57" fillId="3" borderId="23" xfId="0" applyFont="1" applyFill="1" applyBorder="1" applyAlignment="1">
      <alignment vertical="top" wrapText="1"/>
    </xf>
    <xf numFmtId="0" fontId="44" fillId="3" borderId="23" xfId="0" applyFont="1" applyFill="1" applyBorder="1" applyAlignment="1">
      <alignment vertical="center" wrapText="1"/>
    </xf>
    <xf numFmtId="0" fontId="44" fillId="3" borderId="22" xfId="0" applyFont="1" applyFill="1" applyBorder="1" applyAlignment="1">
      <alignment vertical="center" wrapText="1"/>
    </xf>
    <xf numFmtId="0" fontId="44" fillId="3" borderId="43" xfId="0" applyFont="1" applyFill="1" applyBorder="1" applyAlignment="1">
      <alignment vertical="center" wrapText="1"/>
    </xf>
    <xf numFmtId="0" fontId="44" fillId="3" borderId="1" xfId="0" applyFont="1" applyFill="1" applyBorder="1" applyAlignment="1">
      <alignment vertical="center" wrapText="1"/>
    </xf>
    <xf numFmtId="0" fontId="57" fillId="15" borderId="22" xfId="0" applyFont="1" applyFill="1" applyBorder="1" applyAlignment="1">
      <alignment vertical="center" wrapText="1"/>
    </xf>
    <xf numFmtId="0" fontId="57" fillId="15" borderId="23" xfId="0" applyFont="1" applyFill="1" applyBorder="1" applyAlignment="1">
      <alignment vertical="center" wrapText="1"/>
    </xf>
    <xf numFmtId="0" fontId="57" fillId="15" borderId="23" xfId="0" applyFont="1" applyFill="1" applyBorder="1" applyAlignment="1">
      <alignment vertical="top" wrapText="1"/>
    </xf>
    <xf numFmtId="0" fontId="57" fillId="15" borderId="43" xfId="0" applyFont="1" applyFill="1" applyBorder="1" applyAlignment="1">
      <alignment vertical="center" wrapText="1"/>
    </xf>
    <xf numFmtId="0" fontId="57" fillId="15" borderId="1" xfId="0" applyFont="1" applyFill="1" applyBorder="1" applyAlignment="1">
      <alignment vertical="center" wrapText="1"/>
    </xf>
    <xf numFmtId="0" fontId="12" fillId="20" borderId="1" xfId="0" applyFont="1" applyFill="1" applyBorder="1"/>
    <xf numFmtId="0" fontId="44" fillId="20" borderId="1" xfId="0" applyFont="1" applyFill="1" applyBorder="1"/>
    <xf numFmtId="174" fontId="12" fillId="20" borderId="1" xfId="0" applyNumberFormat="1" applyFont="1" applyFill="1" applyBorder="1"/>
    <xf numFmtId="174" fontId="44" fillId="20" borderId="1" xfId="0" applyNumberFormat="1" applyFont="1" applyFill="1" applyBorder="1"/>
    <xf numFmtId="174" fontId="12" fillId="20" borderId="1" xfId="0" applyNumberFormat="1" applyFont="1" applyFill="1" applyBorder="1" applyAlignment="1">
      <alignment horizontal="right" vertical="center"/>
    </xf>
    <xf numFmtId="175" fontId="13" fillId="20" borderId="1" xfId="0" applyNumberFormat="1" applyFont="1" applyFill="1" applyBorder="1" applyAlignment="1">
      <alignment horizontal="center" vertical="center"/>
    </xf>
    <xf numFmtId="40" fontId="13" fillId="20" borderId="1" xfId="0" applyNumberFormat="1" applyFont="1" applyFill="1" applyBorder="1" applyAlignment="1">
      <alignment vertical="center"/>
    </xf>
    <xf numFmtId="171" fontId="13" fillId="20" borderId="1" xfId="0" applyNumberFormat="1" applyFont="1" applyFill="1" applyBorder="1" applyAlignment="1">
      <alignment vertical="center"/>
    </xf>
    <xf numFmtId="0" fontId="42" fillId="0" borderId="8" xfId="0" applyFont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2" fillId="0" borderId="8" xfId="0" applyFont="1" applyBorder="1" applyAlignment="1">
      <alignment horizontal="center" wrapText="1"/>
    </xf>
    <xf numFmtId="0" fontId="42" fillId="0" borderId="17" xfId="0" applyFont="1" applyBorder="1" applyAlignment="1">
      <alignment horizontal="right"/>
    </xf>
    <xf numFmtId="0" fontId="42" fillId="0" borderId="44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22" fillId="0" borderId="4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41" xfId="0" applyFont="1" applyBorder="1" applyAlignment="1">
      <alignment horizontal="left" wrapText="1"/>
    </xf>
    <xf numFmtId="0" fontId="22" fillId="0" borderId="1" xfId="0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3" fontId="22" fillId="0" borderId="1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41" xfId="0" applyFont="1" applyBorder="1" applyAlignment="1">
      <alignment horizontal="left" wrapText="1"/>
    </xf>
    <xf numFmtId="0" fontId="23" fillId="0" borderId="41" xfId="0" applyFont="1" applyBorder="1" applyAlignment="1">
      <alignment horizontal="center"/>
    </xf>
    <xf numFmtId="0" fontId="23" fillId="0" borderId="1" xfId="0" applyFont="1" applyBorder="1" applyAlignment="1">
      <alignment horizontal="right"/>
    </xf>
    <xf numFmtId="3" fontId="23" fillId="0" borderId="1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42" fillId="0" borderId="17" xfId="6" applyFont="1" applyBorder="1" applyAlignment="1">
      <alignment horizontal="center"/>
    </xf>
    <xf numFmtId="0" fontId="42" fillId="0" borderId="17" xfId="6" applyFont="1" applyBorder="1" applyAlignment="1">
      <alignment horizontal="center" wrapText="1"/>
    </xf>
    <xf numFmtId="0" fontId="42" fillId="0" borderId="8" xfId="6" applyFont="1" applyBorder="1" applyAlignment="1">
      <alignment horizontal="center"/>
    </xf>
    <xf numFmtId="0" fontId="42" fillId="0" borderId="44" xfId="6" applyFont="1" applyBorder="1" applyAlignment="1">
      <alignment horizontal="right"/>
    </xf>
    <xf numFmtId="165" fontId="42" fillId="0" borderId="8" xfId="5" applyNumberFormat="1" applyFont="1" applyFill="1" applyBorder="1" applyAlignment="1">
      <alignment horizontal="center"/>
    </xf>
    <xf numFmtId="0" fontId="42" fillId="0" borderId="44" xfId="6" applyFont="1" applyBorder="1" applyAlignment="1">
      <alignment horizontal="center"/>
    </xf>
    <xf numFmtId="0" fontId="22" fillId="0" borderId="41" xfId="7" applyFont="1" applyBorder="1" applyAlignment="1">
      <alignment horizontal="center"/>
    </xf>
    <xf numFmtId="0" fontId="22" fillId="0" borderId="41" xfId="3" applyFont="1" applyBorder="1" applyAlignment="1">
      <alignment horizontal="center"/>
    </xf>
    <xf numFmtId="165" fontId="22" fillId="0" borderId="41" xfId="4" applyNumberFormat="1" applyFont="1" applyFill="1" applyBorder="1" applyAlignment="1" applyProtection="1">
      <alignment horizontal="center"/>
      <protection locked="0"/>
    </xf>
    <xf numFmtId="165" fontId="22" fillId="0" borderId="7" xfId="5" applyNumberFormat="1" applyFont="1" applyFill="1" applyBorder="1" applyAlignment="1">
      <alignment horizontal="center"/>
    </xf>
    <xf numFmtId="49" fontId="22" fillId="11" borderId="1" xfId="2" applyNumberFormat="1" applyFont="1" applyFill="1" applyBorder="1" applyAlignment="1">
      <alignment horizontal="center"/>
    </xf>
    <xf numFmtId="165" fontId="22" fillId="11" borderId="1" xfId="5" applyNumberFormat="1" applyFont="1" applyFill="1" applyBorder="1" applyAlignment="1">
      <alignment horizontal="center"/>
    </xf>
    <xf numFmtId="165" fontId="22" fillId="2" borderId="1" xfId="4" applyNumberFormat="1" applyFont="1" applyFill="1" applyBorder="1" applyAlignment="1" applyProtection="1">
      <alignment horizontal="right"/>
      <protection locked="0"/>
    </xf>
    <xf numFmtId="165" fontId="22" fillId="2" borderId="41" xfId="4" applyNumberFormat="1" applyFont="1" applyFill="1" applyBorder="1" applyAlignment="1" applyProtection="1">
      <alignment horizontal="center"/>
      <protection locked="0"/>
    </xf>
    <xf numFmtId="165" fontId="22" fillId="2" borderId="7" xfId="5" applyNumberFormat="1" applyFont="1" applyFill="1" applyBorder="1" applyAlignment="1">
      <alignment horizontal="center"/>
    </xf>
    <xf numFmtId="0" fontId="42" fillId="0" borderId="12" xfId="6" applyFont="1" applyBorder="1" applyAlignment="1">
      <alignment horizontal="center"/>
    </xf>
    <xf numFmtId="0" fontId="42" fillId="0" borderId="44" xfId="6" applyFont="1" applyBorder="1" applyAlignment="1">
      <alignment horizontal="center" wrapText="1"/>
    </xf>
    <xf numFmtId="0" fontId="42" fillId="0" borderId="40" xfId="6" applyFont="1" applyBorder="1" applyAlignment="1">
      <alignment horizontal="center"/>
    </xf>
    <xf numFmtId="0" fontId="42" fillId="0" borderId="8" xfId="6" applyFont="1" applyBorder="1" applyAlignment="1">
      <alignment horizontal="right"/>
    </xf>
    <xf numFmtId="165" fontId="42" fillId="0" borderId="17" xfId="5" applyNumberFormat="1" applyFont="1" applyFill="1" applyBorder="1" applyAlignment="1">
      <alignment horizontal="center"/>
    </xf>
    <xf numFmtId="0" fontId="42" fillId="0" borderId="43" xfId="6" applyFont="1" applyBorder="1" applyAlignment="1">
      <alignment horizontal="center"/>
    </xf>
    <xf numFmtId="165" fontId="22" fillId="0" borderId="41" xfId="4" applyNumberFormat="1" applyFont="1" applyFill="1" applyBorder="1" applyAlignment="1" applyProtection="1">
      <alignment horizontal="right"/>
      <protection locked="0"/>
    </xf>
    <xf numFmtId="165" fontId="22" fillId="0" borderId="41" xfId="5" applyNumberFormat="1" applyFont="1" applyFill="1" applyBorder="1" applyAlignment="1">
      <alignment horizontal="center"/>
    </xf>
    <xf numFmtId="0" fontId="42" fillId="0" borderId="1" xfId="1" applyFont="1" applyBorder="1" applyAlignment="1">
      <alignment horizontal="center" vertical="center" wrapText="1"/>
    </xf>
    <xf numFmtId="0" fontId="42" fillId="0" borderId="19" xfId="1" applyFont="1" applyBorder="1" applyAlignment="1">
      <alignment horizontal="center" vertical="center" wrapText="1"/>
    </xf>
    <xf numFmtId="0" fontId="24" fillId="13" borderId="19" xfId="1" applyFont="1" applyFill="1" applyBorder="1" applyAlignment="1">
      <alignment horizontal="center" vertical="center" wrapText="1"/>
    </xf>
    <xf numFmtId="1" fontId="42" fillId="0" borderId="1" xfId="6" applyNumberFormat="1" applyFont="1" applyBorder="1"/>
    <xf numFmtId="0" fontId="42" fillId="0" borderId="0" xfId="6" applyFont="1"/>
    <xf numFmtId="0" fontId="22" fillId="0" borderId="0" xfId="6" applyFont="1"/>
    <xf numFmtId="0" fontId="12" fillId="0" borderId="0" xfId="6" applyFont="1"/>
    <xf numFmtId="0" fontId="22" fillId="0" borderId="1" xfId="6" applyFont="1" applyBorder="1"/>
    <xf numFmtId="1" fontId="22" fillId="0" borderId="1" xfId="6" applyNumberFormat="1" applyFont="1" applyBorder="1"/>
    <xf numFmtId="172" fontId="22" fillId="0" borderId="1" xfId="6" applyNumberFormat="1" applyFont="1" applyBorder="1"/>
    <xf numFmtId="0" fontId="12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22" fillId="11" borderId="0" xfId="6" applyFont="1" applyFill="1" applyAlignment="1">
      <alignment horizontal="center"/>
    </xf>
    <xf numFmtId="0" fontId="23" fillId="0" borderId="1" xfId="6" applyFont="1" applyBorder="1"/>
    <xf numFmtId="0" fontId="23" fillId="0" borderId="0" xfId="6" applyFont="1"/>
    <xf numFmtId="0" fontId="22" fillId="2" borderId="1" xfId="6" applyFont="1" applyFill="1" applyBorder="1"/>
    <xf numFmtId="0" fontId="23" fillId="2" borderId="1" xfId="6" applyFont="1" applyFill="1" applyBorder="1" applyAlignment="1">
      <alignment horizontal="left"/>
    </xf>
    <xf numFmtId="0" fontId="22" fillId="2" borderId="0" xfId="6" applyFont="1" applyFill="1"/>
    <xf numFmtId="0" fontId="22" fillId="2" borderId="1" xfId="6" applyFont="1" applyFill="1" applyBorder="1" applyAlignment="1">
      <alignment horizontal="center"/>
    </xf>
    <xf numFmtId="0" fontId="23" fillId="2" borderId="1" xfId="6" applyFont="1" applyFill="1" applyBorder="1"/>
    <xf numFmtId="0" fontId="23" fillId="2" borderId="1" xfId="1" applyFont="1" applyFill="1" applyBorder="1" applyAlignment="1">
      <alignment horizontal="left" vertical="center"/>
    </xf>
    <xf numFmtId="3" fontId="23" fillId="2" borderId="1" xfId="1" applyNumberFormat="1" applyFont="1" applyFill="1" applyBorder="1" applyAlignment="1">
      <alignment horizontal="right" vertical="center"/>
    </xf>
    <xf numFmtId="169" fontId="23" fillId="2" borderId="1" xfId="1" applyNumberFormat="1" applyFont="1" applyFill="1" applyBorder="1" applyAlignment="1">
      <alignment horizontal="right" vertical="center"/>
    </xf>
    <xf numFmtId="165" fontId="22" fillId="0" borderId="0" xfId="6" applyNumberFormat="1" applyFont="1"/>
    <xf numFmtId="0" fontId="22" fillId="0" borderId="0" xfId="6" applyFont="1" applyAlignment="1">
      <alignment horizontal="center"/>
    </xf>
    <xf numFmtId="1" fontId="22" fillId="0" borderId="0" xfId="6" applyNumberFormat="1" applyFont="1"/>
    <xf numFmtId="172" fontId="22" fillId="0" borderId="0" xfId="6" applyNumberFormat="1" applyFont="1"/>
    <xf numFmtId="0" fontId="12" fillId="0" borderId="19" xfId="1" applyFont="1" applyBorder="1" applyAlignment="1">
      <alignment horizontal="left" vertical="center" wrapText="1"/>
    </xf>
    <xf numFmtId="0" fontId="12" fillId="11" borderId="19" xfId="1" applyFont="1" applyFill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3" fontId="12" fillId="0" borderId="1" xfId="1" applyNumberFormat="1" applyFont="1" applyBorder="1" applyAlignment="1">
      <alignment horizontal="right" vertical="center"/>
    </xf>
    <xf numFmtId="169" fontId="12" fillId="0" borderId="1" xfId="1" applyNumberFormat="1" applyFont="1" applyBorder="1" applyAlignment="1">
      <alignment horizontal="right" vertical="center"/>
    </xf>
    <xf numFmtId="0" fontId="12" fillId="11" borderId="1" xfId="1" applyFont="1" applyFill="1" applyBorder="1" applyAlignment="1">
      <alignment horizontal="center" vertical="center"/>
    </xf>
    <xf numFmtId="3" fontId="12" fillId="2" borderId="1" xfId="1" applyNumberFormat="1" applyFont="1" applyFill="1" applyBorder="1" applyAlignment="1">
      <alignment horizontal="right" vertical="center"/>
    </xf>
    <xf numFmtId="0" fontId="23" fillId="2" borderId="19" xfId="1" applyFont="1" applyFill="1" applyBorder="1" applyAlignment="1">
      <alignment horizontal="left" vertical="center" wrapText="1"/>
    </xf>
    <xf numFmtId="165" fontId="12" fillId="15" borderId="1" xfId="1" applyNumberFormat="1" applyFont="1" applyFill="1" applyBorder="1" applyAlignment="1">
      <alignment horizontal="center" vertical="center" wrapText="1"/>
    </xf>
    <xf numFmtId="169" fontId="12" fillId="2" borderId="1" xfId="1" applyNumberFormat="1" applyFont="1" applyFill="1" applyBorder="1" applyAlignment="1">
      <alignment horizontal="right" vertical="center"/>
    </xf>
    <xf numFmtId="0" fontId="12" fillId="2" borderId="1" xfId="1" applyFont="1" applyFill="1" applyBorder="1" applyAlignment="1">
      <alignment horizontal="center" vertical="center"/>
    </xf>
    <xf numFmtId="1" fontId="0" fillId="0" borderId="0" xfId="0" applyNumberFormat="1"/>
    <xf numFmtId="0" fontId="3" fillId="9" borderId="1" xfId="1" applyFont="1" applyFill="1" applyBorder="1" applyAlignment="1">
      <alignment horizontal="center" vertical="center" wrapText="1"/>
    </xf>
    <xf numFmtId="3" fontId="0" fillId="9" borderId="1" xfId="1" applyNumberFormat="1" applyFont="1" applyFill="1" applyBorder="1" applyAlignment="1">
      <alignment horizontal="left" vertical="center"/>
    </xf>
    <xf numFmtId="3" fontId="0" fillId="9" borderId="0" xfId="0" applyNumberFormat="1" applyFill="1" applyAlignment="1">
      <alignment horizontal="left"/>
    </xf>
    <xf numFmtId="165" fontId="2" fillId="0" borderId="1" xfId="2" applyNumberFormat="1" applyFont="1" applyBorder="1" applyAlignment="1"/>
    <xf numFmtId="165" fontId="1" fillId="4" borderId="1" xfId="2" applyNumberFormat="1" applyFont="1" applyFill="1" applyBorder="1"/>
    <xf numFmtId="0" fontId="58" fillId="3" borderId="1" xfId="0" applyFont="1" applyFill="1" applyBorder="1" applyAlignment="1">
      <alignment vertical="center"/>
    </xf>
    <xf numFmtId="0" fontId="32" fillId="0" borderId="25" xfId="0" applyFont="1" applyBorder="1" applyAlignment="1">
      <alignment vertical="center" wrapText="1"/>
    </xf>
    <xf numFmtId="0" fontId="32" fillId="0" borderId="60" xfId="0" applyFont="1" applyBorder="1" applyAlignment="1">
      <alignment vertical="center" wrapText="1"/>
    </xf>
    <xf numFmtId="0" fontId="59" fillId="0" borderId="62" xfId="0" applyFont="1" applyBorder="1" applyAlignment="1">
      <alignment vertical="center" wrapText="1"/>
    </xf>
    <xf numFmtId="0" fontId="59" fillId="0" borderId="63" xfId="0" applyFont="1" applyBorder="1" applyAlignment="1">
      <alignment vertical="center" wrapText="1"/>
    </xf>
    <xf numFmtId="0" fontId="59" fillId="0" borderId="63" xfId="0" applyFont="1" applyBorder="1" applyAlignment="1">
      <alignment horizontal="right" vertical="center" wrapText="1"/>
    </xf>
    <xf numFmtId="0" fontId="38" fillId="0" borderId="25" xfId="0" applyFont="1" applyBorder="1"/>
    <xf numFmtId="0" fontId="29" fillId="0" borderId="65" xfId="0" applyFont="1" applyBorder="1"/>
    <xf numFmtId="0" fontId="38" fillId="0" borderId="0" xfId="0" applyFont="1"/>
    <xf numFmtId="0" fontId="38" fillId="0" borderId="68" xfId="0" applyFont="1" applyBorder="1"/>
    <xf numFmtId="0" fontId="29" fillId="0" borderId="69" xfId="0" applyFont="1" applyBorder="1"/>
    <xf numFmtId="0" fontId="32" fillId="0" borderId="63" xfId="0" applyFont="1" applyBorder="1" applyAlignment="1">
      <alignment horizontal="right" vertical="center" wrapText="1"/>
    </xf>
    <xf numFmtId="0" fontId="59" fillId="0" borderId="64" xfId="0" applyFont="1" applyBorder="1" applyAlignment="1">
      <alignment horizontal="center" vertical="center" wrapText="1"/>
    </xf>
    <xf numFmtId="0" fontId="60" fillId="0" borderId="62" xfId="0" applyFont="1" applyBorder="1" applyAlignment="1">
      <alignment vertical="center" wrapText="1"/>
    </xf>
    <xf numFmtId="0" fontId="60" fillId="0" borderId="63" xfId="0" applyFont="1" applyBorder="1" applyAlignment="1">
      <alignment vertical="center" wrapText="1"/>
    </xf>
    <xf numFmtId="0" fontId="60" fillId="0" borderId="63" xfId="0" applyFont="1" applyBorder="1" applyAlignment="1">
      <alignment horizontal="right" vertical="center" wrapText="1"/>
    </xf>
    <xf numFmtId="0" fontId="60" fillId="0" borderId="64" xfId="0" applyFont="1" applyBorder="1" applyAlignment="1">
      <alignment horizontal="center" vertical="center" wrapText="1"/>
    </xf>
    <xf numFmtId="0" fontId="29" fillId="0" borderId="54" xfId="0" applyFont="1" applyBorder="1"/>
    <xf numFmtId="0" fontId="29" fillId="0" borderId="25" xfId="0" applyFont="1" applyBorder="1"/>
    <xf numFmtId="0" fontId="29" fillId="0" borderId="30" xfId="0" applyFont="1" applyBorder="1"/>
    <xf numFmtId="0" fontId="29" fillId="0" borderId="36" xfId="0" applyFont="1" applyBorder="1"/>
    <xf numFmtId="0" fontId="29" fillId="0" borderId="66" xfId="0" applyFont="1" applyBorder="1"/>
    <xf numFmtId="0" fontId="29" fillId="0" borderId="21" xfId="0" applyFont="1" applyBorder="1"/>
    <xf numFmtId="0" fontId="29" fillId="0" borderId="22" xfId="0" applyFont="1" applyBorder="1"/>
    <xf numFmtId="0" fontId="29" fillId="0" borderId="9" xfId="0" applyFont="1" applyBorder="1"/>
    <xf numFmtId="0" fontId="29" fillId="0" borderId="67" xfId="0" applyFont="1" applyBorder="1"/>
    <xf numFmtId="0" fontId="29" fillId="0" borderId="68" xfId="0" applyFont="1" applyBorder="1"/>
    <xf numFmtId="0" fontId="32" fillId="0" borderId="70" xfId="0" applyFont="1" applyBorder="1" applyAlignment="1">
      <alignment vertical="center" wrapText="1"/>
    </xf>
    <xf numFmtId="0" fontId="59" fillId="0" borderId="64" xfId="0" applyFont="1" applyBorder="1" applyAlignment="1">
      <alignment vertical="center" wrapText="1"/>
    </xf>
    <xf numFmtId="0" fontId="32" fillId="0" borderId="64" xfId="0" applyFont="1" applyBorder="1" applyAlignment="1">
      <alignment horizontal="right" vertical="center" wrapText="1"/>
    </xf>
    <xf numFmtId="0" fontId="32" fillId="0" borderId="74" xfId="0" applyFont="1" applyBorder="1" applyAlignment="1">
      <alignment vertical="center" wrapText="1"/>
    </xf>
    <xf numFmtId="0" fontId="59" fillId="0" borderId="75" xfId="0" applyFont="1" applyBorder="1" applyAlignment="1">
      <alignment horizontal="center" vertical="center" wrapText="1"/>
    </xf>
    <xf numFmtId="0" fontId="60" fillId="0" borderId="75" xfId="0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59" fillId="0" borderId="72" xfId="0" applyFont="1" applyBorder="1" applyAlignment="1">
      <alignment horizontal="center" vertical="center" wrapText="1"/>
    </xf>
    <xf numFmtId="0" fontId="60" fillId="0" borderId="72" xfId="0" applyFont="1" applyBorder="1" applyAlignment="1">
      <alignment horizontal="center" vertical="center" wrapText="1"/>
    </xf>
    <xf numFmtId="0" fontId="59" fillId="0" borderId="73" xfId="0" applyFont="1" applyBorder="1" applyAlignment="1">
      <alignment horizontal="center" vertical="center" wrapText="1"/>
    </xf>
    <xf numFmtId="0" fontId="32" fillId="0" borderId="73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0" fontId="29" fillId="0" borderId="44" xfId="0" applyFont="1" applyBorder="1"/>
    <xf numFmtId="0" fontId="32" fillId="0" borderId="61" xfId="0" applyFont="1" applyBorder="1" applyAlignment="1">
      <alignment vertical="center" wrapText="1"/>
    </xf>
    <xf numFmtId="0" fontId="29" fillId="11" borderId="1" xfId="0" applyFont="1" applyFill="1" applyBorder="1"/>
    <xf numFmtId="0" fontId="29" fillId="11" borderId="0" xfId="0" applyFont="1" applyFill="1"/>
    <xf numFmtId="0" fontId="29" fillId="11" borderId="2" xfId="0" applyFont="1" applyFill="1" applyBorder="1" applyAlignment="1">
      <alignment horizontal="right"/>
    </xf>
    <xf numFmtId="0" fontId="44" fillId="2" borderId="1" xfId="1" applyFont="1" applyFill="1" applyBorder="1" applyAlignment="1">
      <alignment horizontal="left" vertical="center"/>
    </xf>
    <xf numFmtId="3" fontId="44" fillId="2" borderId="1" xfId="1" applyNumberFormat="1" applyFont="1" applyFill="1" applyBorder="1" applyAlignment="1">
      <alignment horizontal="right" vertical="center"/>
    </xf>
    <xf numFmtId="169" fontId="44" fillId="2" borderId="1" xfId="1" applyNumberFormat="1" applyFont="1" applyFill="1" applyBorder="1" applyAlignment="1">
      <alignment horizontal="right" vertical="center"/>
    </xf>
    <xf numFmtId="0" fontId="44" fillId="2" borderId="1" xfId="1" applyFont="1" applyFill="1" applyBorder="1" applyAlignment="1">
      <alignment horizontal="center" vertical="center"/>
    </xf>
    <xf numFmtId="0" fontId="44" fillId="2" borderId="1" xfId="6" applyFont="1" applyFill="1" applyBorder="1"/>
    <xf numFmtId="1" fontId="44" fillId="0" borderId="1" xfId="6" applyNumberFormat="1" applyFont="1" applyBorder="1"/>
    <xf numFmtId="172" fontId="44" fillId="0" borderId="1" xfId="6" applyNumberFormat="1" applyFont="1" applyBorder="1"/>
    <xf numFmtId="0" fontId="44" fillId="0" borderId="0" xfId="6" applyFont="1"/>
    <xf numFmtId="0" fontId="22" fillId="0" borderId="1" xfId="0" applyFont="1" applyBorder="1"/>
    <xf numFmtId="175" fontId="22" fillId="11" borderId="46" xfId="0" applyNumberFormat="1" applyFont="1" applyFill="1" applyBorder="1" applyAlignment="1">
      <alignment horizontal="center" vertical="center"/>
    </xf>
    <xf numFmtId="40" fontId="22" fillId="11" borderId="46" xfId="0" applyNumberFormat="1" applyFont="1" applyFill="1" applyBorder="1" applyAlignment="1">
      <alignment vertical="center"/>
    </xf>
    <xf numFmtId="171" fontId="22" fillId="11" borderId="46" xfId="0" applyNumberFormat="1" applyFont="1" applyFill="1" applyBorder="1" applyAlignment="1">
      <alignment vertical="center"/>
    </xf>
    <xf numFmtId="0" fontId="22" fillId="0" borderId="0" xfId="0" applyFont="1"/>
    <xf numFmtId="0" fontId="22" fillId="0" borderId="1" xfId="6" applyFont="1" applyBorder="1" applyAlignment="1">
      <alignment horizontal="left" wrapText="1"/>
    </xf>
    <xf numFmtId="0" fontId="35" fillId="16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/>
    </xf>
    <xf numFmtId="40" fontId="21" fillId="11" borderId="46" xfId="0" applyNumberFormat="1" applyFont="1" applyFill="1" applyBorder="1" applyAlignment="1">
      <alignment horizontal="center" vertical="center"/>
    </xf>
    <xf numFmtId="171" fontId="21" fillId="11" borderId="46" xfId="0" applyNumberFormat="1" applyFont="1" applyFill="1" applyBorder="1" applyAlignment="1">
      <alignment horizontal="center" vertical="center"/>
    </xf>
    <xf numFmtId="174" fontId="12" fillId="11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74" fontId="0" fillId="11" borderId="1" xfId="0" applyNumberFormat="1" applyFill="1" applyBorder="1"/>
    <xf numFmtId="0" fontId="12" fillId="15" borderId="1" xfId="1" applyFont="1" applyFill="1" applyBorder="1" applyAlignment="1">
      <alignment horizontal="center" vertical="center" wrapText="1"/>
    </xf>
    <xf numFmtId="0" fontId="22" fillId="15" borderId="1" xfId="6" applyFont="1" applyFill="1" applyBorder="1" applyAlignment="1">
      <alignment horizontal="center"/>
    </xf>
    <xf numFmtId="0" fontId="12" fillId="15" borderId="1" xfId="1" applyFont="1" applyFill="1" applyBorder="1" applyAlignment="1">
      <alignment horizontal="center" vertical="center"/>
    </xf>
    <xf numFmtId="165" fontId="44" fillId="15" borderId="1" xfId="1" applyNumberFormat="1" applyFont="1" applyFill="1" applyBorder="1" applyAlignment="1">
      <alignment horizontal="center" vertical="center" wrapText="1"/>
    </xf>
    <xf numFmtId="0" fontId="44" fillId="15" borderId="1" xfId="1" applyFont="1" applyFill="1" applyBorder="1" applyAlignment="1">
      <alignment horizontal="center" vertical="center"/>
    </xf>
    <xf numFmtId="0" fontId="24" fillId="13" borderId="28" xfId="0" applyFont="1" applyFill="1" applyBorder="1"/>
    <xf numFmtId="0" fontId="61" fillId="0" borderId="62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0" borderId="64" xfId="0" applyFont="1" applyBorder="1" applyAlignment="1">
      <alignment horizontal="center" vertical="center" wrapText="1"/>
    </xf>
    <xf numFmtId="0" fontId="61" fillId="0" borderId="75" xfId="0" applyFont="1" applyBorder="1" applyAlignment="1">
      <alignment horizontal="center" vertical="center" wrapText="1"/>
    </xf>
    <xf numFmtId="0" fontId="61" fillId="0" borderId="72" xfId="0" applyFont="1" applyBorder="1" applyAlignment="1">
      <alignment horizontal="center" vertical="center" wrapText="1"/>
    </xf>
    <xf numFmtId="0" fontId="62" fillId="0" borderId="54" xfId="0" applyFont="1" applyBorder="1"/>
    <xf numFmtId="0" fontId="62" fillId="0" borderId="9" xfId="0" applyFont="1" applyBorder="1"/>
    <xf numFmtId="0" fontId="62" fillId="0" borderId="44" xfId="0" applyFont="1" applyBorder="1"/>
    <xf numFmtId="0" fontId="62" fillId="11" borderId="2" xfId="0" applyFont="1" applyFill="1" applyBorder="1"/>
    <xf numFmtId="0" fontId="22" fillId="0" borderId="0" xfId="6" applyFont="1" applyAlignment="1">
      <alignment horizontal="left"/>
    </xf>
    <xf numFmtId="0" fontId="55" fillId="0" borderId="0" xfId="6" applyFont="1" applyAlignment="1">
      <alignment horizontal="left"/>
    </xf>
    <xf numFmtId="0" fontId="42" fillId="0" borderId="0" xfId="6" applyFont="1" applyAlignment="1">
      <alignment horizontal="left"/>
    </xf>
    <xf numFmtId="0" fontId="29" fillId="0" borderId="0" xfId="0" applyFont="1" applyAlignment="1">
      <alignment horizontal="center"/>
    </xf>
    <xf numFmtId="0" fontId="29" fillId="11" borderId="1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/>
    </xf>
    <xf numFmtId="0" fontId="62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center"/>
    </xf>
    <xf numFmtId="0" fontId="41" fillId="0" borderId="0" xfId="6" applyFont="1"/>
    <xf numFmtId="0" fontId="41" fillId="0" borderId="1" xfId="0" applyFont="1" applyBorder="1" applyAlignment="1">
      <alignment horizontal="left" vertical="center"/>
    </xf>
    <xf numFmtId="3" fontId="41" fillId="0" borderId="1" xfId="0" applyNumberFormat="1" applyFont="1" applyBorder="1" applyAlignment="1">
      <alignment horizontal="right" vertical="center"/>
    </xf>
    <xf numFmtId="49" fontId="41" fillId="11" borderId="1" xfId="2" applyNumberFormat="1" applyFont="1" applyFill="1" applyBorder="1" applyAlignment="1">
      <alignment horizontal="right" vertical="center"/>
    </xf>
    <xf numFmtId="4" fontId="41" fillId="11" borderId="1" xfId="1" applyNumberFormat="1" applyFont="1" applyFill="1" applyBorder="1" applyAlignment="1">
      <alignment horizontal="right" vertical="center"/>
    </xf>
    <xf numFmtId="0" fontId="27" fillId="20" borderId="1" xfId="6" applyFont="1" applyFill="1" applyBorder="1"/>
    <xf numFmtId="1" fontId="41" fillId="0" borderId="1" xfId="6" applyNumberFormat="1" applyFont="1" applyBorder="1"/>
    <xf numFmtId="174" fontId="12" fillId="20" borderId="1" xfId="0" applyNumberFormat="1" applyFont="1" applyFill="1" applyBorder="1" applyAlignment="1">
      <alignment horizontal="right"/>
    </xf>
    <xf numFmtId="0" fontId="63" fillId="0" borderId="0" xfId="0" applyFont="1"/>
    <xf numFmtId="0" fontId="63" fillId="0" borderId="0" xfId="0" applyFont="1" applyAlignment="1">
      <alignment horizontal="center"/>
    </xf>
    <xf numFmtId="0" fontId="64" fillId="0" borderId="1" xfId="0" applyFont="1" applyBorder="1"/>
    <xf numFmtId="0" fontId="63" fillId="0" borderId="1" xfId="0" applyFont="1" applyBorder="1"/>
    <xf numFmtId="0" fontId="64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66" fillId="13" borderId="28" xfId="1" applyFont="1" applyFill="1" applyBorder="1" applyAlignment="1">
      <alignment horizontal="center" vertical="center" wrapText="1"/>
    </xf>
    <xf numFmtId="0" fontId="64" fillId="0" borderId="0" xfId="0" applyFont="1"/>
    <xf numFmtId="0" fontId="67" fillId="16" borderId="1" xfId="0" applyFont="1" applyFill="1" applyBorder="1" applyAlignment="1">
      <alignment vertical="center" wrapText="1"/>
    </xf>
    <xf numFmtId="0" fontId="67" fillId="13" borderId="1" xfId="0" applyFont="1" applyFill="1" applyBorder="1"/>
    <xf numFmtId="0" fontId="63" fillId="0" borderId="1" xfId="0" applyFont="1" applyBorder="1" applyAlignment="1">
      <alignment horizontal="left"/>
    </xf>
    <xf numFmtId="0" fontId="65" fillId="0" borderId="0" xfId="0" applyFont="1"/>
    <xf numFmtId="1" fontId="63" fillId="0" borderId="1" xfId="0" applyNumberFormat="1" applyFont="1" applyBorder="1"/>
    <xf numFmtId="1" fontId="63" fillId="0" borderId="1" xfId="0" applyNumberFormat="1" applyFont="1" applyBorder="1" applyAlignment="1">
      <alignment horizontal="center"/>
    </xf>
    <xf numFmtId="0" fontId="63" fillId="11" borderId="1" xfId="0" applyFont="1" applyFill="1" applyBorder="1"/>
    <xf numFmtId="174" fontId="63" fillId="11" borderId="1" xfId="0" applyNumberFormat="1" applyFont="1" applyFill="1" applyBorder="1"/>
    <xf numFmtId="0" fontId="65" fillId="0" borderId="7" xfId="0" applyFont="1" applyBorder="1"/>
    <xf numFmtId="0" fontId="65" fillId="0" borderId="20" xfId="0" applyFont="1" applyBorder="1"/>
    <xf numFmtId="0" fontId="65" fillId="0" borderId="1" xfId="0" applyFont="1" applyBorder="1"/>
    <xf numFmtId="0" fontId="65" fillId="0" borderId="28" xfId="0" applyFont="1" applyBorder="1"/>
    <xf numFmtId="2" fontId="63" fillId="0" borderId="0" xfId="0" applyNumberFormat="1" applyFont="1"/>
    <xf numFmtId="171" fontId="0" fillId="0" borderId="0" xfId="0" applyNumberFormat="1"/>
    <xf numFmtId="0" fontId="29" fillId="4" borderId="0" xfId="0" applyFont="1" applyFill="1"/>
    <xf numFmtId="176" fontId="29" fillId="0" borderId="0" xfId="0" applyNumberFormat="1" applyFont="1"/>
    <xf numFmtId="43" fontId="22" fillId="0" borderId="0" xfId="6" applyNumberFormat="1" applyFont="1"/>
    <xf numFmtId="165" fontId="22" fillId="0" borderId="0" xfId="6" applyNumberFormat="1" applyFont="1" applyAlignment="1">
      <alignment horizontal="center"/>
    </xf>
    <xf numFmtId="43" fontId="22" fillId="0" borderId="0" xfId="6" applyNumberFormat="1" applyFont="1" applyAlignment="1">
      <alignment horizontal="center"/>
    </xf>
    <xf numFmtId="171" fontId="12" fillId="0" borderId="0" xfId="0" applyNumberFormat="1" applyFont="1"/>
    <xf numFmtId="171" fontId="12" fillId="0" borderId="0" xfId="0" applyNumberFormat="1" applyFont="1" applyAlignment="1">
      <alignment horizontal="center"/>
    </xf>
    <xf numFmtId="0" fontId="0" fillId="11" borderId="19" xfId="0" applyFill="1" applyBorder="1" applyAlignment="1">
      <alignment horizontal="center" vertical="center"/>
    </xf>
    <xf numFmtId="175" fontId="21" fillId="0" borderId="46" xfId="0" applyNumberFormat="1" applyFont="1" applyBorder="1" applyAlignment="1">
      <alignment horizontal="center" vertical="center"/>
    </xf>
    <xf numFmtId="0" fontId="68" fillId="0" borderId="0" xfId="0" applyFont="1"/>
    <xf numFmtId="0" fontId="69" fillId="0" borderId="0" xfId="0" applyFont="1"/>
    <xf numFmtId="175" fontId="8" fillId="0" borderId="1" xfId="0" applyNumberFormat="1" applyFont="1" applyBorder="1" applyAlignment="1">
      <alignment horizontal="center" vertical="center"/>
    </xf>
    <xf numFmtId="174" fontId="29" fillId="0" borderId="1" xfId="0" applyNumberFormat="1" applyFont="1" applyBorder="1"/>
    <xf numFmtId="0" fontId="29" fillId="0" borderId="1" xfId="0" applyFont="1" applyBorder="1"/>
    <xf numFmtId="174" fontId="68" fillId="0" borderId="1" xfId="0" applyNumberFormat="1" applyFont="1" applyBorder="1"/>
    <xf numFmtId="0" fontId="68" fillId="0" borderId="1" xfId="0" applyFont="1" applyBorder="1"/>
    <xf numFmtId="3" fontId="40" fillId="0" borderId="0" xfId="6" applyNumberFormat="1" applyFont="1"/>
    <xf numFmtId="3" fontId="41" fillId="20" borderId="1" xfId="1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70" fillId="15" borderId="1" xfId="0" applyFont="1" applyFill="1" applyBorder="1"/>
    <xf numFmtId="0" fontId="25" fillId="21" borderId="1" xfId="0" applyFont="1" applyFill="1" applyBorder="1" applyAlignment="1">
      <alignment horizontal="left"/>
    </xf>
    <xf numFmtId="0" fontId="11" fillId="15" borderId="1" xfId="0" applyFont="1" applyFill="1" applyBorder="1" applyAlignment="1">
      <alignment horizontal="left"/>
    </xf>
    <xf numFmtId="0" fontId="12" fillId="15" borderId="1" xfId="0" applyFont="1" applyFill="1" applyBorder="1" applyAlignment="1">
      <alignment horizontal="left"/>
    </xf>
    <xf numFmtId="0" fontId="12" fillId="15" borderId="0" xfId="0" applyFont="1" applyFill="1" applyAlignment="1">
      <alignment horizontal="left"/>
    </xf>
    <xf numFmtId="0" fontId="0" fillId="15" borderId="1" xfId="0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15" borderId="1" xfId="0" applyFont="1" applyFill="1" applyBorder="1" applyAlignment="1">
      <alignment horizontal="left"/>
    </xf>
    <xf numFmtId="0" fontId="56" fillId="22" borderId="7" xfId="0" applyFont="1" applyFill="1" applyBorder="1" applyAlignment="1">
      <alignment horizontal="left" vertical="center" wrapText="1"/>
    </xf>
    <xf numFmtId="0" fontId="57" fillId="22" borderId="43" xfId="0" applyFont="1" applyFill="1" applyBorder="1" applyAlignment="1">
      <alignment horizontal="left" vertical="center" wrapText="1"/>
    </xf>
    <xf numFmtId="0" fontId="42" fillId="0" borderId="47" xfId="0" applyFont="1" applyBorder="1" applyAlignment="1">
      <alignment horizontal="center"/>
    </xf>
    <xf numFmtId="0" fontId="42" fillId="10" borderId="1" xfId="0" applyFont="1" applyFill="1" applyBorder="1" applyAlignment="1">
      <alignment horizontal="center"/>
    </xf>
    <xf numFmtId="0" fontId="12" fillId="10" borderId="1" xfId="0" applyFont="1" applyFill="1" applyBorder="1"/>
    <xf numFmtId="0" fontId="12" fillId="10" borderId="1" xfId="0" applyFont="1" applyFill="1" applyBorder="1" applyAlignment="1">
      <alignment horizontal="left"/>
    </xf>
    <xf numFmtId="43" fontId="22" fillId="10" borderId="1" xfId="2" applyFont="1" applyFill="1" applyBorder="1" applyAlignment="1">
      <alignment horizontal="center"/>
    </xf>
    <xf numFmtId="165" fontId="22" fillId="10" borderId="41" xfId="5" applyNumberFormat="1" applyFont="1" applyFill="1" applyBorder="1" applyAlignment="1">
      <alignment horizontal="center"/>
    </xf>
    <xf numFmtId="0" fontId="42" fillId="0" borderId="1" xfId="6" applyFont="1" applyBorder="1" applyAlignment="1">
      <alignment horizontal="left"/>
    </xf>
    <xf numFmtId="0" fontId="0" fillId="10" borderId="1" xfId="0" applyFill="1" applyBorder="1"/>
    <xf numFmtId="0" fontId="59" fillId="10" borderId="64" xfId="0" applyFont="1" applyFill="1" applyBorder="1" applyAlignment="1">
      <alignment horizontal="left" vertical="center" wrapText="1"/>
    </xf>
    <xf numFmtId="3" fontId="0" fillId="10" borderId="1" xfId="1" applyNumberFormat="1" applyFont="1" applyFill="1" applyBorder="1" applyAlignment="1">
      <alignment horizontal="left" vertical="center"/>
    </xf>
    <xf numFmtId="0" fontId="3" fillId="0" borderId="28" xfId="0" applyFont="1" applyBorder="1"/>
    <xf numFmtId="0" fontId="0" fillId="10" borderId="7" xfId="1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/>
    </xf>
    <xf numFmtId="0" fontId="63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10" borderId="0" xfId="0" applyFont="1" applyFill="1" applyAlignment="1">
      <alignment horizontal="left"/>
    </xf>
    <xf numFmtId="0" fontId="65" fillId="10" borderId="7" xfId="0" applyFont="1" applyFill="1" applyBorder="1" applyAlignment="1">
      <alignment horizontal="left"/>
    </xf>
    <xf numFmtId="165" fontId="0" fillId="10" borderId="1" xfId="2" applyNumberFormat="1" applyFont="1" applyFill="1" applyBorder="1"/>
    <xf numFmtId="0" fontId="30" fillId="0" borderId="49" xfId="4" applyNumberFormat="1" applyFont="1" applyBorder="1" applyAlignment="1">
      <alignment horizontal="left"/>
    </xf>
    <xf numFmtId="167" fontId="31" fillId="10" borderId="41" xfId="4" applyNumberFormat="1" applyFont="1" applyFill="1" applyBorder="1"/>
    <xf numFmtId="0" fontId="12" fillId="10" borderId="19" xfId="1" applyFont="1" applyFill="1" applyBorder="1" applyAlignment="1">
      <alignment horizontal="left" vertical="center" wrapText="1"/>
    </xf>
    <xf numFmtId="0" fontId="12" fillId="10" borderId="1" xfId="1" applyFont="1" applyFill="1" applyBorder="1" applyAlignment="1">
      <alignment horizontal="left" vertical="center"/>
    </xf>
    <xf numFmtId="0" fontId="0" fillId="0" borderId="19" xfId="1" applyFont="1" applyBorder="1" applyAlignment="1">
      <alignment horizontal="left" vertical="center"/>
    </xf>
    <xf numFmtId="0" fontId="10" fillId="4" borderId="19" xfId="6" applyFill="1" applyBorder="1" applyAlignment="1">
      <alignment horizontal="left"/>
    </xf>
    <xf numFmtId="0" fontId="17" fillId="0" borderId="0" xfId="6" applyFont="1" applyAlignment="1">
      <alignment horizontal="left" wrapText="1"/>
    </xf>
    <xf numFmtId="3" fontId="40" fillId="10" borderId="1" xfId="1" applyNumberFormat="1" applyFont="1" applyFill="1" applyBorder="1" applyAlignment="1">
      <alignment horizontal="left" vertical="center"/>
    </xf>
    <xf numFmtId="0" fontId="10" fillId="0" borderId="0" xfId="6" applyAlignment="1">
      <alignment horizontal="left"/>
    </xf>
    <xf numFmtId="0" fontId="35" fillId="13" borderId="76" xfId="0" applyFont="1" applyFill="1" applyBorder="1" applyAlignment="1">
      <alignment horizontal="center" vertical="center"/>
    </xf>
    <xf numFmtId="171" fontId="21" fillId="11" borderId="77" xfId="0" applyNumberFormat="1" applyFont="1" applyFill="1" applyBorder="1" applyAlignment="1">
      <alignment vertical="center"/>
    </xf>
    <xf numFmtId="171" fontId="51" fillId="11" borderId="77" xfId="0" applyNumberFormat="1" applyFont="1" applyFill="1" applyBorder="1" applyAlignment="1">
      <alignment vertical="center"/>
    </xf>
    <xf numFmtId="170" fontId="3" fillId="0" borderId="0" xfId="0" applyNumberFormat="1" applyFont="1"/>
    <xf numFmtId="0" fontId="0" fillId="23" borderId="1" xfId="0" applyFill="1" applyBorder="1"/>
    <xf numFmtId="0" fontId="0" fillId="23" borderId="1" xfId="0" applyFill="1" applyBorder="1" applyAlignment="1">
      <alignment horizontal="left"/>
    </xf>
    <xf numFmtId="1" fontId="12" fillId="23" borderId="1" xfId="0" applyNumberFormat="1" applyFont="1" applyFill="1" applyBorder="1" applyAlignment="1">
      <alignment horizontal="center"/>
    </xf>
    <xf numFmtId="1" fontId="22" fillId="23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left"/>
    </xf>
    <xf numFmtId="0" fontId="45" fillId="9" borderId="1" xfId="0" applyFont="1" applyFill="1" applyBorder="1" applyAlignment="1">
      <alignment horizontal="left"/>
    </xf>
    <xf numFmtId="0" fontId="23" fillId="9" borderId="1" xfId="0" applyFont="1" applyFill="1" applyBorder="1" applyAlignment="1">
      <alignment horizontal="left"/>
    </xf>
    <xf numFmtId="0" fontId="47" fillId="9" borderId="1" xfId="0" applyFont="1" applyFill="1" applyBorder="1" applyAlignment="1">
      <alignment horizontal="left"/>
    </xf>
    <xf numFmtId="0" fontId="3" fillId="23" borderId="0" xfId="0" applyFont="1" applyFill="1"/>
    <xf numFmtId="177" fontId="12" fillId="0" borderId="0" xfId="0" applyNumberFormat="1" applyFont="1"/>
    <xf numFmtId="171" fontId="21" fillId="11" borderId="77" xfId="0" applyNumberFormat="1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/>
    </xf>
    <xf numFmtId="177" fontId="12" fillId="0" borderId="1" xfId="0" applyNumberFormat="1" applyFont="1" applyBorder="1"/>
    <xf numFmtId="0" fontId="16" fillId="9" borderId="30" xfId="0" applyFont="1" applyFill="1" applyBorder="1" applyAlignment="1">
      <alignment horizontal="center" vertical="center"/>
    </xf>
    <xf numFmtId="0" fontId="16" fillId="9" borderId="65" xfId="0" applyFont="1" applyFill="1" applyBorder="1" applyAlignment="1">
      <alignment horizontal="center" vertical="center"/>
    </xf>
    <xf numFmtId="0" fontId="16" fillId="9" borderId="44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0" fontId="16" fillId="7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71" fillId="3" borderId="1" xfId="0" applyFont="1" applyFill="1" applyBorder="1" applyAlignment="1">
      <alignment vertical="center" wrapText="1"/>
    </xf>
    <xf numFmtId="0" fontId="71" fillId="3" borderId="1" xfId="0" applyFont="1" applyFill="1" applyBorder="1" applyAlignment="1">
      <alignment horizontal="left" vertical="center" wrapText="1"/>
    </xf>
    <xf numFmtId="0" fontId="72" fillId="5" borderId="1" xfId="0" applyFont="1" applyFill="1" applyBorder="1" applyAlignment="1">
      <alignment vertical="center" wrapText="1"/>
    </xf>
    <xf numFmtId="0" fontId="73" fillId="3" borderId="1" xfId="0" applyFont="1" applyFill="1" applyBorder="1" applyAlignment="1">
      <alignment horizontal="left" vertical="center" wrapText="1"/>
    </xf>
    <xf numFmtId="0" fontId="38" fillId="0" borderId="1" xfId="0" applyFont="1" applyBorder="1"/>
    <xf numFmtId="0" fontId="74" fillId="3" borderId="1" xfId="0" applyFont="1" applyFill="1" applyBorder="1" applyAlignment="1">
      <alignment vertical="center" wrapText="1"/>
    </xf>
    <xf numFmtId="0" fontId="74" fillId="3" borderId="1" xfId="0" applyFont="1" applyFill="1" applyBorder="1" applyAlignment="1">
      <alignment horizontal="center" vertical="center" wrapText="1"/>
    </xf>
    <xf numFmtId="0" fontId="75" fillId="3" borderId="1" xfId="0" applyFont="1" applyFill="1" applyBorder="1" applyAlignment="1">
      <alignment vertical="center" wrapText="1"/>
    </xf>
    <xf numFmtId="0" fontId="75" fillId="3" borderId="1" xfId="0" applyFont="1" applyFill="1" applyBorder="1" applyAlignment="1">
      <alignment horizontal="center" vertical="center" wrapText="1"/>
    </xf>
    <xf numFmtId="0" fontId="76" fillId="5" borderId="1" xfId="0" applyFont="1" applyFill="1" applyBorder="1" applyAlignment="1">
      <alignment vertical="center" wrapText="1"/>
    </xf>
    <xf numFmtId="0" fontId="73" fillId="3" borderId="1" xfId="0" applyFont="1" applyFill="1" applyBorder="1" applyAlignment="1">
      <alignment horizontal="center" vertical="center" wrapText="1"/>
    </xf>
    <xf numFmtId="2" fontId="12" fillId="4" borderId="0" xfId="0" applyNumberFormat="1" applyFont="1" applyFill="1"/>
    <xf numFmtId="0" fontId="0" fillId="0" borderId="7" xfId="0" applyBorder="1"/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16" fillId="2" borderId="46" xfId="0" applyFont="1" applyFill="1" applyBorder="1"/>
    <xf numFmtId="0" fontId="16" fillId="2" borderId="46" xfId="0" applyFont="1" applyFill="1" applyBorder="1" applyAlignment="1">
      <alignment horizontal="center"/>
    </xf>
    <xf numFmtId="0" fontId="0" fillId="0" borderId="46" xfId="0" applyBorder="1" applyAlignment="1">
      <alignment horizontal="left"/>
    </xf>
    <xf numFmtId="0" fontId="0" fillId="0" borderId="46" xfId="0" applyBorder="1"/>
    <xf numFmtId="0" fontId="16" fillId="2" borderId="46" xfId="0" applyFont="1" applyFill="1" applyBorder="1" applyAlignment="1">
      <alignment horizontal="left"/>
    </xf>
    <xf numFmtId="170" fontId="16" fillId="2" borderId="46" xfId="0" applyNumberFormat="1" applyFont="1" applyFill="1" applyBorder="1" applyAlignment="1">
      <alignment horizontal="left"/>
    </xf>
    <xf numFmtId="0" fontId="3" fillId="0" borderId="46" xfId="0" applyFont="1" applyBorder="1" applyAlignment="1">
      <alignment horizontal="left"/>
    </xf>
    <xf numFmtId="0" fontId="3" fillId="0" borderId="46" xfId="0" applyFont="1" applyBorder="1"/>
    <xf numFmtId="2" fontId="15" fillId="2" borderId="46" xfId="0" applyNumberFormat="1" applyFont="1" applyFill="1" applyBorder="1" applyAlignment="1">
      <alignment horizontal="left"/>
    </xf>
    <xf numFmtId="0" fontId="3" fillId="0" borderId="28" xfId="0" applyFont="1" applyBorder="1" applyAlignment="1">
      <alignment horizontal="left"/>
    </xf>
    <xf numFmtId="2" fontId="3" fillId="0" borderId="46" xfId="0" applyNumberFormat="1" applyFont="1" applyBorder="1" applyAlignment="1">
      <alignment horizontal="left"/>
    </xf>
    <xf numFmtId="0" fontId="0" fillId="0" borderId="77" xfId="0" applyBorder="1"/>
    <xf numFmtId="0" fontId="15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center"/>
    </xf>
    <xf numFmtId="0" fontId="77" fillId="0" borderId="1" xfId="0" applyFont="1" applyBorder="1"/>
    <xf numFmtId="0" fontId="78" fillId="2" borderId="1" xfId="0" applyFont="1" applyFill="1" applyBorder="1" applyAlignment="1">
      <alignment horizontal="center"/>
    </xf>
    <xf numFmtId="0" fontId="77" fillId="2" borderId="1" xfId="0" applyFont="1" applyFill="1" applyBorder="1"/>
    <xf numFmtId="164" fontId="79" fillId="2" borderId="1" xfId="4" applyFont="1" applyFill="1" applyBorder="1"/>
    <xf numFmtId="0" fontId="81" fillId="2" borderId="47" xfId="0" applyFont="1" applyFill="1" applyBorder="1" applyAlignment="1">
      <alignment horizontal="center"/>
    </xf>
    <xf numFmtId="0" fontId="82" fillId="2" borderId="28" xfId="0" applyFont="1" applyFill="1" applyBorder="1" applyAlignment="1">
      <alignment horizontal="center"/>
    </xf>
    <xf numFmtId="165" fontId="82" fillId="2" borderId="0" xfId="4" applyNumberFormat="1" applyFont="1" applyFill="1" applyBorder="1"/>
    <xf numFmtId="165" fontId="82" fillId="2" borderId="28" xfId="4" applyNumberFormat="1" applyFont="1" applyFill="1" applyBorder="1"/>
    <xf numFmtId="165" fontId="82" fillId="2" borderId="52" xfId="4" applyNumberFormat="1" applyFont="1" applyFill="1" applyBorder="1"/>
    <xf numFmtId="0" fontId="83" fillId="2" borderId="0" xfId="0" applyFont="1" applyFill="1"/>
    <xf numFmtId="0" fontId="81" fillId="0" borderId="0" xfId="0" applyFont="1"/>
    <xf numFmtId="0" fontId="81" fillId="0" borderId="1" xfId="0" applyFont="1" applyBorder="1"/>
    <xf numFmtId="0" fontId="84" fillId="0" borderId="41" xfId="0" applyFont="1" applyBorder="1"/>
    <xf numFmtId="0" fontId="84" fillId="0" borderId="0" xfId="0" applyFont="1"/>
    <xf numFmtId="0" fontId="85" fillId="0" borderId="0" xfId="0" applyFont="1"/>
    <xf numFmtId="175" fontId="35" fillId="13" borderId="46" xfId="0" applyNumberFormat="1" applyFont="1" applyFill="1" applyBorder="1" applyAlignment="1">
      <alignment horizontal="center" vertical="center"/>
    </xf>
    <xf numFmtId="0" fontId="35" fillId="13" borderId="53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16" fillId="2" borderId="53" xfId="0" applyFont="1" applyFill="1" applyBorder="1"/>
    <xf numFmtId="0" fontId="16" fillId="2" borderId="53" xfId="0" applyFont="1" applyFill="1" applyBorder="1" applyAlignment="1">
      <alignment horizontal="center"/>
    </xf>
    <xf numFmtId="0" fontId="0" fillId="0" borderId="53" xfId="0" applyBorder="1" applyAlignment="1">
      <alignment horizontal="left"/>
    </xf>
    <xf numFmtId="0" fontId="0" fillId="0" borderId="53" xfId="0" applyBorder="1"/>
    <xf numFmtId="0" fontId="16" fillId="2" borderId="53" xfId="0" applyFont="1" applyFill="1" applyBorder="1" applyAlignment="1">
      <alignment horizontal="left"/>
    </xf>
    <xf numFmtId="170" fontId="16" fillId="2" borderId="53" xfId="0" applyNumberFormat="1" applyFont="1" applyFill="1" applyBorder="1" applyAlignment="1">
      <alignment horizontal="left"/>
    </xf>
    <xf numFmtId="0" fontId="0" fillId="0" borderId="78" xfId="0" applyBorder="1"/>
    <xf numFmtId="0" fontId="0" fillId="0" borderId="19" xfId="0" applyBorder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171" fontId="34" fillId="0" borderId="46" xfId="0" applyNumberFormat="1" applyFont="1" applyBorder="1" applyAlignment="1">
      <alignment vertical="center"/>
    </xf>
    <xf numFmtId="4" fontId="3" fillId="0" borderId="0" xfId="0" applyNumberFormat="1" applyFont="1"/>
    <xf numFmtId="3" fontId="42" fillId="0" borderId="0" xfId="6" applyNumberFormat="1" applyFont="1"/>
    <xf numFmtId="3" fontId="39" fillId="0" borderId="1" xfId="1" applyNumberFormat="1" applyFont="1" applyBorder="1" applyAlignment="1">
      <alignment horizontal="right" vertical="center"/>
    </xf>
    <xf numFmtId="3" fontId="11" fillId="0" borderId="1" xfId="1" applyNumberFormat="1" applyFont="1" applyBorder="1" applyAlignment="1">
      <alignment vertical="center"/>
    </xf>
    <xf numFmtId="165" fontId="5" fillId="0" borderId="1" xfId="2" applyNumberFormat="1" applyFont="1" applyBorder="1" applyAlignment="1">
      <alignment horizontal="left"/>
    </xf>
    <xf numFmtId="171" fontId="11" fillId="0" borderId="0" xfId="0" applyNumberFormat="1" applyFont="1"/>
    <xf numFmtId="165" fontId="55" fillId="0" borderId="1" xfId="5" applyNumberFormat="1" applyFont="1" applyFill="1" applyBorder="1" applyAlignment="1">
      <alignment horizontal="center"/>
    </xf>
    <xf numFmtId="2" fontId="11" fillId="0" borderId="0" xfId="0" applyNumberFormat="1" applyFont="1"/>
    <xf numFmtId="2" fontId="38" fillId="0" borderId="0" xfId="0" applyNumberFormat="1" applyFont="1"/>
    <xf numFmtId="2" fontId="64" fillId="0" borderId="0" xfId="0" applyNumberFormat="1" applyFont="1"/>
    <xf numFmtId="2" fontId="42" fillId="0" borderId="0" xfId="6" applyNumberFormat="1" applyFont="1"/>
    <xf numFmtId="2" fontId="39" fillId="0" borderId="1" xfId="1" applyNumberFormat="1" applyFont="1" applyBorder="1" applyAlignment="1">
      <alignment horizontal="right" vertical="center"/>
    </xf>
    <xf numFmtId="2" fontId="11" fillId="0" borderId="1" xfId="1" applyNumberFormat="1" applyFont="1" applyBorder="1" applyAlignment="1">
      <alignment vertical="center"/>
    </xf>
    <xf numFmtId="2" fontId="5" fillId="0" borderId="1" xfId="2" applyNumberFormat="1" applyFont="1" applyBorder="1" applyAlignment="1">
      <alignment horizontal="left"/>
    </xf>
    <xf numFmtId="2" fontId="42" fillId="0" borderId="1" xfId="5" applyNumberFormat="1" applyFont="1" applyFill="1" applyBorder="1" applyAlignment="1">
      <alignment horizontal="center"/>
    </xf>
    <xf numFmtId="2" fontId="11" fillId="0" borderId="1" xfId="0" applyNumberFormat="1" applyFont="1" applyBorder="1"/>
    <xf numFmtId="0" fontId="40" fillId="0" borderId="7" xfId="1" applyFont="1" applyBorder="1" applyAlignment="1">
      <alignment horizontal="left" vertical="center"/>
    </xf>
    <xf numFmtId="3" fontId="12" fillId="2" borderId="7" xfId="1" applyNumberFormat="1" applyFont="1" applyFill="1" applyBorder="1" applyAlignment="1">
      <alignment vertical="center"/>
    </xf>
    <xf numFmtId="165" fontId="22" fillId="0" borderId="7" xfId="4" applyNumberFormat="1" applyFont="1" applyFill="1" applyBorder="1" applyAlignment="1" applyProtection="1">
      <protection locked="0"/>
    </xf>
    <xf numFmtId="165" fontId="22" fillId="2" borderId="7" xfId="4" applyNumberFormat="1" applyFont="1" applyFill="1" applyBorder="1" applyAlignment="1" applyProtection="1">
      <protection locked="0"/>
    </xf>
    <xf numFmtId="0" fontId="4" fillId="0" borderId="7" xfId="0" applyFont="1" applyBorder="1" applyAlignment="1">
      <alignment horizontal="left"/>
    </xf>
    <xf numFmtId="0" fontId="12" fillId="2" borderId="7" xfId="0" applyFont="1" applyFill="1" applyBorder="1" applyAlignment="1">
      <alignment horizontal="center"/>
    </xf>
    <xf numFmtId="0" fontId="54" fillId="2" borderId="7" xfId="0" applyFont="1" applyFill="1" applyBorder="1" applyAlignment="1">
      <alignment horizontal="center"/>
    </xf>
    <xf numFmtId="0" fontId="12" fillId="0" borderId="7" xfId="0" applyFont="1" applyBorder="1"/>
    <xf numFmtId="3" fontId="40" fillId="0" borderId="10" xfId="1" applyNumberFormat="1" applyFont="1" applyBorder="1" applyAlignment="1">
      <alignment horizontal="right" vertical="center"/>
    </xf>
    <xf numFmtId="3" fontId="12" fillId="2" borderId="10" xfId="1" applyNumberFormat="1" applyFont="1" applyFill="1" applyBorder="1" applyAlignment="1">
      <alignment horizontal="center" vertical="center"/>
    </xf>
    <xf numFmtId="165" fontId="12" fillId="2" borderId="10" xfId="5" applyNumberFormat="1" applyFont="1" applyFill="1" applyBorder="1" applyAlignment="1">
      <alignment horizontal="center"/>
    </xf>
    <xf numFmtId="0" fontId="4" fillId="0" borderId="10" xfId="0" applyFont="1" applyBorder="1"/>
    <xf numFmtId="167" fontId="12" fillId="2" borderId="10" xfId="0" applyNumberFormat="1" applyFont="1" applyFill="1" applyBorder="1" applyAlignment="1">
      <alignment horizontal="center"/>
    </xf>
    <xf numFmtId="167" fontId="54" fillId="0" borderId="10" xfId="0" applyNumberFormat="1" applyFont="1" applyBorder="1" applyAlignment="1">
      <alignment horizontal="center"/>
    </xf>
    <xf numFmtId="0" fontId="12" fillId="0" borderId="10" xfId="0" applyFont="1" applyBorder="1"/>
    <xf numFmtId="3" fontId="40" fillId="0" borderId="2" xfId="1" applyNumberFormat="1" applyFont="1" applyBorder="1" applyAlignment="1">
      <alignment horizontal="right" vertical="center"/>
    </xf>
    <xf numFmtId="165" fontId="22" fillId="2" borderId="2" xfId="4" applyNumberFormat="1" applyFont="1" applyFill="1" applyBorder="1" applyAlignment="1" applyProtection="1">
      <protection locked="0"/>
    </xf>
    <xf numFmtId="3" fontId="12" fillId="0" borderId="2" xfId="1" applyNumberFormat="1" applyFont="1" applyBorder="1" applyAlignment="1">
      <alignment vertical="center"/>
    </xf>
    <xf numFmtId="4" fontId="12" fillId="0" borderId="2" xfId="1" applyNumberFormat="1" applyFont="1" applyBorder="1" applyAlignment="1">
      <alignment vertical="center"/>
    </xf>
    <xf numFmtId="165" fontId="22" fillId="2" borderId="2" xfId="5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165" fontId="4" fillId="0" borderId="2" xfId="2" applyNumberFormat="1" applyFont="1" applyBorder="1" applyAlignment="1">
      <alignment horizontal="left"/>
    </xf>
    <xf numFmtId="0" fontId="4" fillId="0" borderId="2" xfId="0" applyFont="1" applyBorder="1"/>
    <xf numFmtId="0" fontId="4" fillId="15" borderId="2" xfId="0" applyFont="1" applyFill="1" applyBorder="1" applyAlignment="1">
      <alignment horizontal="left"/>
    </xf>
    <xf numFmtId="165" fontId="45" fillId="0" borderId="2" xfId="5" applyNumberFormat="1" applyFont="1" applyFill="1" applyBorder="1" applyAlignment="1">
      <alignment horizontal="center"/>
    </xf>
    <xf numFmtId="0" fontId="45" fillId="2" borderId="2" xfId="0" applyFont="1" applyFill="1" applyBorder="1" applyAlignment="1">
      <alignment horizontal="center"/>
    </xf>
    <xf numFmtId="0" fontId="45" fillId="0" borderId="2" xfId="0" applyFont="1" applyBorder="1"/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3" fontId="40" fillId="0" borderId="19" xfId="1" applyNumberFormat="1" applyFont="1" applyBorder="1" applyAlignment="1">
      <alignment horizontal="right" vertical="center"/>
    </xf>
    <xf numFmtId="3" fontId="12" fillId="2" borderId="19" xfId="1" applyNumberFormat="1" applyFont="1" applyFill="1" applyBorder="1" applyAlignment="1">
      <alignment vertical="center"/>
    </xf>
    <xf numFmtId="3" fontId="12" fillId="0" borderId="19" xfId="1" applyNumberFormat="1" applyFont="1" applyBorder="1" applyAlignment="1">
      <alignment vertical="center"/>
    </xf>
    <xf numFmtId="4" fontId="12" fillId="0" borderId="19" xfId="1" applyNumberFormat="1" applyFont="1" applyBorder="1" applyAlignment="1">
      <alignment vertical="center"/>
    </xf>
    <xf numFmtId="3" fontId="12" fillId="2" borderId="19" xfId="1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/>
    </xf>
    <xf numFmtId="165" fontId="4" fillId="0" borderId="19" xfId="2" applyNumberFormat="1" applyFont="1" applyBorder="1" applyAlignment="1">
      <alignment horizontal="left"/>
    </xf>
    <xf numFmtId="0" fontId="4" fillId="0" borderId="19" xfId="0" applyFont="1" applyBorder="1"/>
    <xf numFmtId="0" fontId="4" fillId="15" borderId="19" xfId="0" applyFont="1" applyFill="1" applyBorder="1" applyAlignment="1">
      <alignment horizontal="left"/>
    </xf>
    <xf numFmtId="165" fontId="54" fillId="0" borderId="19" xfId="5" applyNumberFormat="1" applyFont="1" applyFill="1" applyBorder="1" applyAlignment="1">
      <alignment horizontal="center"/>
    </xf>
    <xf numFmtId="0" fontId="54" fillId="2" borderId="19" xfId="0" applyFont="1" applyFill="1" applyBorder="1" applyAlignment="1">
      <alignment horizontal="center"/>
    </xf>
    <xf numFmtId="0" fontId="54" fillId="0" borderId="19" xfId="0" applyFont="1" applyBorder="1"/>
    <xf numFmtId="0" fontId="47" fillId="0" borderId="19" xfId="0" applyFont="1" applyBorder="1"/>
    <xf numFmtId="0" fontId="47" fillId="0" borderId="19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3" fontId="40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165" fontId="22" fillId="2" borderId="1" xfId="4" applyNumberFormat="1" applyFont="1" applyFill="1" applyBorder="1" applyAlignment="1" applyProtection="1">
      <alignment horizontal="center"/>
      <protection locked="0"/>
    </xf>
    <xf numFmtId="165" fontId="4" fillId="0" borderId="1" xfId="2" applyNumberFormat="1" applyFont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9" fillId="0" borderId="64" xfId="0" applyFont="1" applyBorder="1" applyAlignment="1">
      <alignment horizontal="right" vertical="center" wrapText="1"/>
    </xf>
    <xf numFmtId="0" fontId="60" fillId="0" borderId="64" xfId="0" applyFont="1" applyBorder="1" applyAlignment="1">
      <alignment horizontal="right" vertical="center" wrapText="1"/>
    </xf>
    <xf numFmtId="0" fontId="61" fillId="0" borderId="64" xfId="0" applyFont="1" applyBorder="1" applyAlignment="1">
      <alignment horizontal="right" vertical="center" wrapText="1"/>
    </xf>
    <xf numFmtId="0" fontId="39" fillId="0" borderId="0" xfId="1" applyFont="1" applyAlignment="1">
      <alignment horizontal="center" vertical="center" wrapText="1"/>
    </xf>
    <xf numFmtId="167" fontId="31" fillId="10" borderId="0" xfId="4" applyNumberFormat="1" applyFont="1" applyFill="1" applyBorder="1"/>
    <xf numFmtId="167" fontId="31" fillId="10" borderId="5" xfId="4" applyNumberFormat="1" applyFont="1" applyFill="1" applyBorder="1"/>
    <xf numFmtId="165" fontId="22" fillId="0" borderId="57" xfId="4" applyNumberFormat="1" applyFont="1" applyFill="1" applyBorder="1" applyAlignment="1" applyProtection="1">
      <protection locked="0"/>
    </xf>
    <xf numFmtId="165" fontId="22" fillId="2" borderId="57" xfId="4" applyNumberFormat="1" applyFont="1" applyFill="1" applyBorder="1" applyAlignment="1" applyProtection="1">
      <protection locked="0"/>
    </xf>
    <xf numFmtId="0" fontId="42" fillId="0" borderId="4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79" xfId="0" applyFont="1" applyBorder="1" applyAlignment="1">
      <alignment horizontal="center"/>
    </xf>
    <xf numFmtId="0" fontId="0" fillId="2" borderId="0" xfId="0" applyFill="1" applyAlignment="1">
      <alignment horizontal="left"/>
    </xf>
    <xf numFmtId="0" fontId="12" fillId="2" borderId="1" xfId="1" applyFont="1" applyFill="1" applyBorder="1" applyAlignment="1">
      <alignment horizontal="right" vertical="center"/>
    </xf>
    <xf numFmtId="0" fontId="40" fillId="0" borderId="1" xfId="1" applyFont="1" applyBorder="1" applyAlignment="1">
      <alignment horizontal="right" vertical="center"/>
    </xf>
    <xf numFmtId="164" fontId="12" fillId="0" borderId="0" xfId="0" applyNumberFormat="1" applyFont="1"/>
    <xf numFmtId="164" fontId="0" fillId="0" borderId="0" xfId="0" applyNumberFormat="1"/>
    <xf numFmtId="0" fontId="23" fillId="2" borderId="1" xfId="1" applyFont="1" applyFill="1" applyBorder="1" applyAlignment="1">
      <alignment horizontal="right" vertical="center"/>
    </xf>
    <xf numFmtId="40" fontId="34" fillId="0" borderId="53" xfId="0" applyNumberFormat="1" applyFont="1" applyBorder="1" applyAlignment="1">
      <alignment horizontal="center" vertical="center"/>
    </xf>
    <xf numFmtId="1" fontId="12" fillId="0" borderId="1" xfId="0" applyNumberFormat="1" applyFont="1" applyBorder="1"/>
    <xf numFmtId="0" fontId="0" fillId="0" borderId="28" xfId="2" applyNumberFormat="1" applyFont="1" applyBorder="1"/>
    <xf numFmtId="0" fontId="1" fillId="0" borderId="8" xfId="2" applyNumberFormat="1" applyFont="1" applyBorder="1"/>
    <xf numFmtId="0" fontId="1" fillId="0" borderId="0" xfId="2" applyNumberFormat="1" applyFont="1"/>
    <xf numFmtId="0" fontId="38" fillId="0" borderId="7" xfId="0" applyFont="1" applyBorder="1"/>
    <xf numFmtId="0" fontId="87" fillId="2" borderId="80" xfId="0" applyFont="1" applyFill="1" applyBorder="1" applyAlignment="1">
      <alignment horizontal="center"/>
    </xf>
    <xf numFmtId="0" fontId="88" fillId="2" borderId="81" xfId="0" applyFont="1" applyFill="1" applyBorder="1" applyAlignment="1">
      <alignment horizontal="center"/>
    </xf>
    <xf numFmtId="0" fontId="88" fillId="2" borderId="82" xfId="0" applyFont="1" applyFill="1" applyBorder="1" applyAlignment="1">
      <alignment horizontal="center"/>
    </xf>
    <xf numFmtId="0" fontId="88" fillId="2" borderId="1" xfId="0" applyFont="1" applyFill="1" applyBorder="1" applyAlignment="1">
      <alignment horizontal="center"/>
    </xf>
    <xf numFmtId="0" fontId="88" fillId="2" borderId="4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89" fillId="2" borderId="47" xfId="0" applyFont="1" applyFill="1" applyBorder="1" applyAlignment="1">
      <alignment horizontal="center"/>
    </xf>
    <xf numFmtId="0" fontId="90" fillId="2" borderId="2" xfId="0" applyFont="1" applyFill="1" applyBorder="1" applyAlignment="1">
      <alignment horizontal="center"/>
    </xf>
    <xf numFmtId="0" fontId="90" fillId="2" borderId="83" xfId="0" applyFont="1" applyFill="1" applyBorder="1" applyAlignment="1">
      <alignment horizontal="center"/>
    </xf>
    <xf numFmtId="0" fontId="90" fillId="2" borderId="84" xfId="0" applyFont="1" applyFill="1" applyBorder="1" applyAlignment="1">
      <alignment horizontal="center"/>
    </xf>
    <xf numFmtId="14" fontId="0" fillId="0" borderId="7" xfId="0" applyNumberFormat="1" applyBorder="1" applyAlignment="1">
      <alignment horizontal="left"/>
    </xf>
    <xf numFmtId="0" fontId="89" fillId="2" borderId="7" xfId="0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0" fontId="90" fillId="2" borderId="10" xfId="0" applyFont="1" applyFill="1" applyBorder="1" applyAlignment="1">
      <alignment horizontal="center"/>
    </xf>
    <xf numFmtId="0" fontId="90" fillId="2" borderId="41" xfId="0" applyFont="1" applyFill="1" applyBorder="1" applyAlignment="1">
      <alignment horizontal="center"/>
    </xf>
    <xf numFmtId="0" fontId="90" fillId="2" borderId="28" xfId="0" applyFont="1" applyFill="1" applyBorder="1" applyAlignment="1">
      <alignment horizontal="center"/>
    </xf>
    <xf numFmtId="0" fontId="90" fillId="2" borderId="52" xfId="0" applyFont="1" applyFill="1" applyBorder="1" applyAlignment="1">
      <alignment horizontal="center"/>
    </xf>
    <xf numFmtId="0" fontId="90" fillId="2" borderId="0" xfId="0" applyFont="1" applyFill="1" applyAlignment="1">
      <alignment horizontal="center"/>
    </xf>
    <xf numFmtId="14" fontId="0" fillId="0" borderId="41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90" fillId="2" borderId="57" xfId="0" applyFont="1" applyFill="1" applyBorder="1" applyAlignment="1">
      <alignment horizontal="center"/>
    </xf>
    <xf numFmtId="0" fontId="90" fillId="2" borderId="7" xfId="0" applyFont="1" applyFill="1" applyBorder="1" applyAlignment="1">
      <alignment horizontal="center"/>
    </xf>
    <xf numFmtId="0" fontId="90" fillId="2" borderId="47" xfId="0" applyFont="1" applyFill="1" applyBorder="1" applyAlignment="1">
      <alignment horizontal="center"/>
    </xf>
    <xf numFmtId="14" fontId="0" fillId="0" borderId="5" xfId="0" applyNumberFormat="1" applyBorder="1" applyAlignment="1">
      <alignment horizontal="left"/>
    </xf>
    <xf numFmtId="0" fontId="29" fillId="0" borderId="2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29" fillId="0" borderId="41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52" xfId="0" applyFont="1" applyBorder="1" applyAlignment="1">
      <alignment horizontal="center"/>
    </xf>
    <xf numFmtId="0" fontId="29" fillId="0" borderId="59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90" fillId="2" borderId="59" xfId="0" applyFont="1" applyFill="1" applyBorder="1" applyAlignment="1">
      <alignment horizontal="center"/>
    </xf>
    <xf numFmtId="0" fontId="88" fillId="2" borderId="7" xfId="0" applyFont="1" applyFill="1" applyBorder="1" applyAlignment="1">
      <alignment horizontal="center"/>
    </xf>
    <xf numFmtId="0" fontId="90" fillId="2" borderId="85" xfId="0" applyFont="1" applyFill="1" applyBorder="1" applyAlignment="1">
      <alignment horizontal="center"/>
    </xf>
    <xf numFmtId="0" fontId="90" fillId="2" borderId="56" xfId="0" applyFont="1" applyFill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3" fillId="0" borderId="10" xfId="0" applyFont="1" applyBorder="1"/>
    <xf numFmtId="0" fontId="87" fillId="2" borderId="1" xfId="0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/>
    </xf>
    <xf numFmtId="0" fontId="89" fillId="2" borderId="1" xfId="0" applyFont="1" applyFill="1" applyBorder="1" applyAlignment="1">
      <alignment horizontal="center"/>
    </xf>
    <xf numFmtId="14" fontId="77" fillId="2" borderId="1" xfId="0" applyNumberFormat="1" applyFont="1" applyFill="1" applyBorder="1" applyAlignment="1">
      <alignment horizontal="left"/>
    </xf>
    <xf numFmtId="0" fontId="77" fillId="2" borderId="1" xfId="0" applyFont="1" applyFill="1" applyBorder="1" applyAlignment="1">
      <alignment horizontal="left"/>
    </xf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7" fillId="2" borderId="0" xfId="0" applyFont="1" applyFill="1"/>
    <xf numFmtId="14" fontId="81" fillId="0" borderId="28" xfId="0" applyNumberFormat="1" applyFont="1" applyBorder="1" applyAlignment="1">
      <alignment horizontal="left"/>
    </xf>
    <xf numFmtId="0" fontId="0" fillId="2" borderId="0" xfId="0" applyFill="1"/>
    <xf numFmtId="0" fontId="82" fillId="2" borderId="1" xfId="0" applyFont="1" applyFill="1" applyBorder="1" applyAlignment="1">
      <alignment horizontal="center"/>
    </xf>
    <xf numFmtId="0" fontId="91" fillId="7" borderId="5" xfId="0" applyFont="1" applyFill="1" applyBorder="1" applyAlignment="1">
      <alignment horizontal="center"/>
    </xf>
    <xf numFmtId="0" fontId="91" fillId="7" borderId="1" xfId="0" applyFont="1" applyFill="1" applyBorder="1" applyAlignment="1">
      <alignment horizontal="center" vertical="center"/>
    </xf>
    <xf numFmtId="0" fontId="91" fillId="7" borderId="1" xfId="0" applyFont="1" applyFill="1" applyBorder="1" applyAlignment="1">
      <alignment horizontal="center"/>
    </xf>
    <xf numFmtId="0" fontId="91" fillId="7" borderId="41" xfId="0" applyFont="1" applyFill="1" applyBorder="1" applyAlignment="1">
      <alignment horizontal="center"/>
    </xf>
    <xf numFmtId="0" fontId="91" fillId="7" borderId="19" xfId="0" applyFont="1" applyFill="1" applyBorder="1" applyAlignment="1">
      <alignment horizontal="center" vertical="center"/>
    </xf>
    <xf numFmtId="0" fontId="91" fillId="7" borderId="19" xfId="0" applyFont="1" applyFill="1" applyBorder="1" applyAlignment="1">
      <alignment horizontal="center"/>
    </xf>
    <xf numFmtId="0" fontId="91" fillId="7" borderId="59" xfId="0" applyFont="1" applyFill="1" applyBorder="1" applyAlignment="1">
      <alignment horizontal="center"/>
    </xf>
    <xf numFmtId="1" fontId="89" fillId="2" borderId="2" xfId="0" applyNumberFormat="1" applyFont="1" applyFill="1" applyBorder="1" applyAlignment="1">
      <alignment horizontal="center"/>
    </xf>
    <xf numFmtId="0" fontId="92" fillId="7" borderId="1" xfId="0" applyFont="1" applyFill="1" applyBorder="1" applyAlignment="1">
      <alignment horizontal="center"/>
    </xf>
    <xf numFmtId="0" fontId="92" fillId="7" borderId="1" xfId="0" applyFont="1" applyFill="1" applyBorder="1"/>
    <xf numFmtId="164" fontId="79" fillId="2" borderId="1" xfId="4" applyFont="1" applyFill="1" applyBorder="1" applyAlignment="1">
      <alignment horizontal="center"/>
    </xf>
    <xf numFmtId="164" fontId="79" fillId="2" borderId="7" xfId="4" applyFont="1" applyFill="1" applyBorder="1" applyAlignment="1">
      <alignment horizontal="center"/>
    </xf>
    <xf numFmtId="164" fontId="82" fillId="2" borderId="1" xfId="4" applyFont="1" applyFill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77" fillId="15" borderId="1" xfId="0" applyFont="1" applyFill="1" applyBorder="1"/>
    <xf numFmtId="14" fontId="0" fillId="0" borderId="1" xfId="0" applyNumberFormat="1" applyBorder="1" applyAlignment="1">
      <alignment horizontal="left"/>
    </xf>
    <xf numFmtId="0" fontId="88" fillId="2" borderId="87" xfId="0" applyFont="1" applyFill="1" applyBorder="1" applyAlignment="1">
      <alignment horizontal="center"/>
    </xf>
    <xf numFmtId="1" fontId="90" fillId="2" borderId="1" xfId="0" applyNumberFormat="1" applyFont="1" applyFill="1" applyBorder="1" applyAlignment="1">
      <alignment horizontal="center"/>
    </xf>
    <xf numFmtId="0" fontId="93" fillId="2" borderId="1" xfId="0" applyFont="1" applyFill="1" applyBorder="1" applyAlignment="1">
      <alignment horizontal="center"/>
    </xf>
    <xf numFmtId="0" fontId="94" fillId="2" borderId="1" xfId="0" applyFont="1" applyFill="1" applyBorder="1" applyAlignment="1">
      <alignment horizontal="center"/>
    </xf>
    <xf numFmtId="1" fontId="94" fillId="2" borderId="1" xfId="0" applyNumberFormat="1" applyFont="1" applyFill="1" applyBorder="1" applyAlignment="1">
      <alignment horizontal="center"/>
    </xf>
    <xf numFmtId="0" fontId="93" fillId="2" borderId="28" xfId="0" applyFont="1" applyFill="1" applyBorder="1" applyAlignment="1">
      <alignment horizontal="center"/>
    </xf>
    <xf numFmtId="0" fontId="94" fillId="2" borderId="28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15" borderId="1" xfId="0" applyFont="1" applyFill="1" applyBorder="1"/>
    <xf numFmtId="0" fontId="29" fillId="15" borderId="1" xfId="0" applyFont="1" applyFill="1" applyBorder="1"/>
    <xf numFmtId="0" fontId="91" fillId="7" borderId="1" xfId="0" applyFont="1" applyFill="1" applyBorder="1"/>
    <xf numFmtId="0" fontId="92" fillId="2" borderId="1" xfId="0" applyFont="1" applyFill="1" applyBorder="1"/>
    <xf numFmtId="0" fontId="91" fillId="2" borderId="1" xfId="0" applyFont="1" applyFill="1" applyBorder="1" applyAlignment="1">
      <alignment horizontal="center"/>
    </xf>
    <xf numFmtId="0" fontId="92" fillId="0" borderId="1" xfId="0" applyFont="1" applyBorder="1"/>
    <xf numFmtId="0" fontId="92" fillId="0" borderId="0" xfId="0" applyFont="1"/>
    <xf numFmtId="14" fontId="92" fillId="0" borderId="1" xfId="0" applyNumberFormat="1" applyFont="1" applyBorder="1" applyAlignment="1">
      <alignment horizontal="left"/>
    </xf>
    <xf numFmtId="0" fontId="92" fillId="2" borderId="7" xfId="0" applyFont="1" applyFill="1" applyBorder="1" applyAlignment="1">
      <alignment horizontal="center"/>
    </xf>
    <xf numFmtId="165" fontId="91" fillId="2" borderId="41" xfId="4" applyNumberFormat="1" applyFont="1" applyFill="1" applyBorder="1"/>
    <xf numFmtId="14" fontId="92" fillId="0" borderId="10" xfId="0" applyNumberFormat="1" applyFont="1" applyBorder="1" applyAlignment="1">
      <alignment horizontal="left"/>
    </xf>
    <xf numFmtId="14" fontId="92" fillId="0" borderId="0" xfId="0" applyNumberFormat="1" applyFont="1" applyAlignment="1">
      <alignment horizontal="left"/>
    </xf>
    <xf numFmtId="0" fontId="92" fillId="2" borderId="47" xfId="0" applyFont="1" applyFill="1" applyBorder="1" applyAlignment="1">
      <alignment horizontal="center"/>
    </xf>
    <xf numFmtId="0" fontId="91" fillId="2" borderId="28" xfId="0" applyFont="1" applyFill="1" applyBorder="1" applyAlignment="1">
      <alignment horizontal="center"/>
    </xf>
    <xf numFmtId="165" fontId="91" fillId="2" borderId="0" xfId="4" applyNumberFormat="1" applyFont="1" applyFill="1" applyBorder="1"/>
    <xf numFmtId="14" fontId="92" fillId="2" borderId="20" xfId="0" applyNumberFormat="1" applyFont="1" applyFill="1" applyBorder="1" applyAlignment="1">
      <alignment horizontal="left"/>
    </xf>
    <xf numFmtId="0" fontId="92" fillId="2" borderId="59" xfId="0" applyFont="1" applyFill="1" applyBorder="1" applyAlignment="1">
      <alignment horizontal="center"/>
    </xf>
    <xf numFmtId="0" fontId="92" fillId="2" borderId="19" xfId="0" applyFont="1" applyFill="1" applyBorder="1" applyAlignment="1">
      <alignment horizontal="center"/>
    </xf>
    <xf numFmtId="0" fontId="96" fillId="2" borderId="59" xfId="0" applyFont="1" applyFill="1" applyBorder="1"/>
    <xf numFmtId="0" fontId="92" fillId="15" borderId="1" xfId="0" applyFont="1" applyFill="1" applyBorder="1"/>
    <xf numFmtId="14" fontId="92" fillId="2" borderId="7" xfId="0" applyNumberFormat="1" applyFont="1" applyFill="1" applyBorder="1" applyAlignment="1">
      <alignment horizontal="left"/>
    </xf>
    <xf numFmtId="0" fontId="92" fillId="2" borderId="41" xfId="0" applyFont="1" applyFill="1" applyBorder="1" applyAlignment="1">
      <alignment horizontal="center"/>
    </xf>
    <xf numFmtId="0" fontId="92" fillId="2" borderId="1" xfId="0" applyFont="1" applyFill="1" applyBorder="1" applyAlignment="1">
      <alignment horizontal="center"/>
    </xf>
    <xf numFmtId="0" fontId="96" fillId="2" borderId="41" xfId="0" applyFont="1" applyFill="1" applyBorder="1"/>
    <xf numFmtId="14" fontId="92" fillId="2" borderId="0" xfId="0" applyNumberFormat="1" applyFont="1" applyFill="1" applyAlignment="1">
      <alignment horizontal="left"/>
    </xf>
    <xf numFmtId="0" fontId="92" fillId="2" borderId="0" xfId="0" applyFont="1" applyFill="1" applyAlignment="1">
      <alignment horizontal="center"/>
    </xf>
    <xf numFmtId="0" fontId="92" fillId="2" borderId="28" xfId="0" applyFont="1" applyFill="1" applyBorder="1" applyAlignment="1">
      <alignment horizontal="center"/>
    </xf>
    <xf numFmtId="0" fontId="96" fillId="2" borderId="0" xfId="0" applyFont="1" applyFill="1"/>
    <xf numFmtId="0" fontId="91" fillId="2" borderId="1" xfId="0" applyFont="1" applyFill="1" applyBorder="1"/>
    <xf numFmtId="0" fontId="92" fillId="23" borderId="1" xfId="0" applyFont="1" applyFill="1" applyBorder="1"/>
    <xf numFmtId="0" fontId="92" fillId="2" borderId="0" xfId="0" applyFont="1" applyFill="1"/>
    <xf numFmtId="165" fontId="91" fillId="2" borderId="10" xfId="4" applyNumberFormat="1" applyFont="1" applyFill="1" applyBorder="1" applyAlignment="1">
      <alignment horizontal="center"/>
    </xf>
    <xf numFmtId="165" fontId="91" fillId="2" borderId="52" xfId="4" applyNumberFormat="1" applyFont="1" applyFill="1" applyBorder="1" applyAlignment="1">
      <alignment horizontal="center"/>
    </xf>
    <xf numFmtId="14" fontId="92" fillId="2" borderId="1" xfId="0" applyNumberFormat="1" applyFont="1" applyFill="1" applyBorder="1" applyAlignment="1">
      <alignment horizontal="left"/>
    </xf>
    <xf numFmtId="0" fontId="97" fillId="2" borderId="1" xfId="0" applyFont="1" applyFill="1" applyBorder="1"/>
    <xf numFmtId="0" fontId="98" fillId="2" borderId="1" xfId="0" applyFont="1" applyFill="1" applyBorder="1" applyAlignment="1">
      <alignment horizontal="center"/>
    </xf>
    <xf numFmtId="164" fontId="98" fillId="2" borderId="1" xfId="4" applyFont="1" applyFill="1" applyBorder="1"/>
    <xf numFmtId="164" fontId="98" fillId="2" borderId="7" xfId="4" applyFont="1" applyFill="1" applyBorder="1"/>
    <xf numFmtId="0" fontId="97" fillId="0" borderId="1" xfId="0" applyFont="1" applyBorder="1"/>
    <xf numFmtId="0" fontId="97" fillId="0" borderId="0" xfId="0" applyFont="1"/>
    <xf numFmtId="1" fontId="29" fillId="2" borderId="1" xfId="0" applyNumberFormat="1" applyFont="1" applyFill="1" applyBorder="1" applyAlignment="1">
      <alignment horizontal="center"/>
    </xf>
    <xf numFmtId="0" fontId="89" fillId="0" borderId="28" xfId="0" applyFont="1" applyBorder="1" applyAlignment="1">
      <alignment horizontal="center"/>
    </xf>
    <xf numFmtId="0" fontId="89" fillId="0" borderId="1" xfId="0" applyFont="1" applyBorder="1" applyAlignment="1">
      <alignment horizontal="center"/>
    </xf>
    <xf numFmtId="0" fontId="98" fillId="0" borderId="7" xfId="0" applyFont="1" applyBorder="1"/>
    <xf numFmtId="0" fontId="88" fillId="5" borderId="1" xfId="0" applyFont="1" applyFill="1" applyBorder="1" applyAlignment="1">
      <alignment horizontal="center"/>
    </xf>
    <xf numFmtId="0" fontId="88" fillId="5" borderId="87" xfId="0" applyFont="1" applyFill="1" applyBorder="1" applyAlignment="1">
      <alignment horizontal="center"/>
    </xf>
    <xf numFmtId="0" fontId="88" fillId="5" borderId="82" xfId="0" applyFont="1" applyFill="1" applyBorder="1" applyAlignment="1">
      <alignment horizontal="center"/>
    </xf>
    <xf numFmtId="0" fontId="88" fillId="5" borderId="41" xfId="0" applyFont="1" applyFill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90" fillId="5" borderId="1" xfId="0" applyFont="1" applyFill="1" applyBorder="1" applyAlignment="1">
      <alignment horizontal="center"/>
    </xf>
    <xf numFmtId="0" fontId="91" fillId="0" borderId="1" xfId="0" applyFont="1" applyBorder="1" applyAlignment="1">
      <alignment horizontal="center"/>
    </xf>
    <xf numFmtId="0" fontId="15" fillId="0" borderId="88" xfId="0" applyFont="1" applyBorder="1"/>
    <xf numFmtId="0" fontId="100" fillId="2" borderId="1" xfId="0" applyFont="1" applyFill="1" applyBorder="1"/>
    <xf numFmtId="0" fontId="101" fillId="2" borderId="1" xfId="0" applyFont="1" applyFill="1" applyBorder="1" applyAlignment="1">
      <alignment horizontal="center"/>
    </xf>
    <xf numFmtId="164" fontId="101" fillId="2" borderId="1" xfId="4" applyFont="1" applyFill="1" applyBorder="1"/>
    <xf numFmtId="0" fontId="100" fillId="0" borderId="1" xfId="0" applyFont="1" applyBorder="1"/>
    <xf numFmtId="164" fontId="101" fillId="2" borderId="7" xfId="4" applyFont="1" applyFill="1" applyBorder="1"/>
    <xf numFmtId="0" fontId="91" fillId="7" borderId="41" xfId="0" applyFont="1" applyFill="1" applyBorder="1" applyAlignment="1">
      <alignment horizontal="left"/>
    </xf>
    <xf numFmtId="0" fontId="38" fillId="0" borderId="51" xfId="0" applyFont="1" applyBorder="1"/>
    <xf numFmtId="14" fontId="29" fillId="0" borderId="59" xfId="0" applyNumberFormat="1" applyFont="1" applyBorder="1"/>
    <xf numFmtId="0" fontId="89" fillId="2" borderId="80" xfId="0" applyFont="1" applyFill="1" applyBorder="1" applyAlignment="1">
      <alignment horizontal="center"/>
    </xf>
    <xf numFmtId="0" fontId="87" fillId="2" borderId="51" xfId="0" applyFont="1" applyFill="1" applyBorder="1" applyAlignment="1">
      <alignment horizontal="center"/>
    </xf>
    <xf numFmtId="0" fontId="90" fillId="2" borderId="81" xfId="0" applyFont="1" applyFill="1" applyBorder="1" applyAlignment="1">
      <alignment horizontal="center"/>
    </xf>
    <xf numFmtId="0" fontId="88" fillId="2" borderId="51" xfId="0" applyFont="1" applyFill="1" applyBorder="1" applyAlignment="1">
      <alignment horizontal="center"/>
    </xf>
    <xf numFmtId="0" fontId="90" fillId="2" borderId="82" xfId="0" applyFont="1" applyFill="1" applyBorder="1" applyAlignment="1">
      <alignment horizontal="center"/>
    </xf>
    <xf numFmtId="0" fontId="88" fillId="2" borderId="86" xfId="0" applyFont="1" applyFill="1" applyBorder="1" applyAlignment="1">
      <alignment horizontal="center"/>
    </xf>
    <xf numFmtId="0" fontId="91" fillId="7" borderId="57" xfId="0" applyFont="1" applyFill="1" applyBorder="1" applyAlignment="1">
      <alignment horizontal="center"/>
    </xf>
    <xf numFmtId="0" fontId="91" fillId="7" borderId="10" xfId="0" applyFont="1" applyFill="1" applyBorder="1" applyAlignment="1">
      <alignment horizontal="center"/>
    </xf>
    <xf numFmtId="0" fontId="88" fillId="2" borderId="5" xfId="0" applyFont="1" applyFill="1" applyBorder="1" applyAlignment="1">
      <alignment horizontal="center"/>
    </xf>
    <xf numFmtId="0" fontId="92" fillId="7" borderId="56" xfId="0" applyFont="1" applyFill="1" applyBorder="1" applyAlignment="1">
      <alignment horizontal="center"/>
    </xf>
    <xf numFmtId="0" fontId="92" fillId="7" borderId="7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38" fillId="0" borderId="7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88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1" fillId="0" borderId="1" xfId="0" applyFont="1" applyBorder="1" applyAlignment="1">
      <alignment vertical="center"/>
    </xf>
    <xf numFmtId="175" fontId="21" fillId="0" borderId="1" xfId="0" applyNumberFormat="1" applyFont="1" applyBorder="1" applyAlignment="1">
      <alignment horizontal="center" vertical="center"/>
    </xf>
    <xf numFmtId="171" fontId="21" fillId="0" borderId="1" xfId="0" applyNumberFormat="1" applyFont="1" applyBorder="1" applyAlignment="1">
      <alignment vertical="center"/>
    </xf>
    <xf numFmtId="40" fontId="21" fillId="0" borderId="1" xfId="0" applyNumberFormat="1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34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4" fillId="0" borderId="12" xfId="0" applyFont="1" applyBorder="1" applyAlignment="1">
      <alignment horizontal="center" vertical="center"/>
    </xf>
    <xf numFmtId="175" fontId="34" fillId="0" borderId="12" xfId="0" applyNumberFormat="1" applyFont="1" applyBorder="1" applyAlignment="1">
      <alignment horizontal="center" vertical="center"/>
    </xf>
    <xf numFmtId="0" fontId="0" fillId="0" borderId="44" xfId="0" applyBorder="1"/>
    <xf numFmtId="0" fontId="0" fillId="0" borderId="65" xfId="0" applyBorder="1"/>
    <xf numFmtId="0" fontId="21" fillId="0" borderId="14" xfId="0" applyFont="1" applyBorder="1" applyAlignment="1">
      <alignment vertical="center"/>
    </xf>
    <xf numFmtId="0" fontId="0" fillId="0" borderId="69" xfId="0" applyBorder="1"/>
    <xf numFmtId="0" fontId="0" fillId="0" borderId="42" xfId="0" applyBorder="1"/>
    <xf numFmtId="40" fontId="0" fillId="0" borderId="0" xfId="0" applyNumberFormat="1"/>
    <xf numFmtId="0" fontId="0" fillId="0" borderId="21" xfId="0" applyBorder="1"/>
    <xf numFmtId="0" fontId="0" fillId="0" borderId="43" xfId="0" applyBorder="1"/>
    <xf numFmtId="0" fontId="0" fillId="0" borderId="23" xfId="0" applyBorder="1"/>
    <xf numFmtId="0" fontId="0" fillId="4" borderId="44" xfId="0" applyFill="1" applyBorder="1"/>
    <xf numFmtId="0" fontId="34" fillId="24" borderId="12" xfId="0" applyFont="1" applyFill="1" applyBorder="1" applyAlignment="1">
      <alignment horizontal="center" vertical="center"/>
    </xf>
    <xf numFmtId="0" fontId="34" fillId="0" borderId="90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/>
    </xf>
    <xf numFmtId="175" fontId="34" fillId="0" borderId="91" xfId="0" applyNumberFormat="1" applyFont="1" applyBorder="1" applyAlignment="1">
      <alignment horizontal="center" vertical="center"/>
    </xf>
    <xf numFmtId="0" fontId="34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vertical="center"/>
    </xf>
    <xf numFmtId="40" fontId="3" fillId="0" borderId="0" xfId="0" applyNumberFormat="1" applyFont="1"/>
    <xf numFmtId="178" fontId="3" fillId="0" borderId="43" xfId="2" applyNumberFormat="1" applyFont="1" applyBorder="1"/>
    <xf numFmtId="0" fontId="3" fillId="0" borderId="43" xfId="0" applyFont="1" applyBorder="1"/>
    <xf numFmtId="0" fontId="3" fillId="0" borderId="69" xfId="0" applyFont="1" applyBorder="1"/>
    <xf numFmtId="0" fontId="3" fillId="0" borderId="23" xfId="0" applyFont="1" applyBorder="1"/>
    <xf numFmtId="0" fontId="102" fillId="0" borderId="29" xfId="0" applyFont="1" applyBorder="1"/>
    <xf numFmtId="0" fontId="102" fillId="0" borderId="94" xfId="0" applyFont="1" applyBorder="1"/>
    <xf numFmtId="43" fontId="102" fillId="0" borderId="94" xfId="2" applyFont="1" applyBorder="1"/>
    <xf numFmtId="0" fontId="91" fillId="7" borderId="5" xfId="0" applyFont="1" applyFill="1" applyBorder="1" applyAlignment="1">
      <alignment horizontal="left"/>
    </xf>
    <xf numFmtId="0" fontId="92" fillId="7" borderId="2" xfId="0" applyFont="1" applyFill="1" applyBorder="1"/>
    <xf numFmtId="0" fontId="92" fillId="7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91" fillId="7" borderId="2" xfId="0" applyFont="1" applyFill="1" applyBorder="1"/>
    <xf numFmtId="0" fontId="91" fillId="7" borderId="1" xfId="0" applyFont="1" applyFill="1" applyBorder="1" applyAlignment="1">
      <alignment horizontal="left"/>
    </xf>
    <xf numFmtId="0" fontId="91" fillId="7" borderId="2" xfId="0" applyFont="1" applyFill="1" applyBorder="1" applyAlignment="1">
      <alignment horizontal="center" vertical="center"/>
    </xf>
    <xf numFmtId="0" fontId="91" fillId="7" borderId="2" xfId="0" applyFont="1" applyFill="1" applyBorder="1" applyAlignment="1">
      <alignment horizontal="center"/>
    </xf>
    <xf numFmtId="0" fontId="91" fillId="7" borderId="19" xfId="0" applyFont="1" applyFill="1" applyBorder="1" applyAlignment="1">
      <alignment horizontal="left"/>
    </xf>
    <xf numFmtId="0" fontId="92" fillId="7" borderId="19" xfId="0" applyFont="1" applyFill="1" applyBorder="1" applyAlignment="1">
      <alignment horizontal="center"/>
    </xf>
    <xf numFmtId="0" fontId="92" fillId="7" borderId="19" xfId="0" applyFont="1" applyFill="1" applyBorder="1"/>
    <xf numFmtId="0" fontId="0" fillId="2" borderId="19" xfId="0" applyFill="1" applyBorder="1"/>
    <xf numFmtId="1" fontId="89" fillId="2" borderId="19" xfId="0" applyNumberFormat="1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91" fillId="7" borderId="19" xfId="0" applyFont="1" applyFill="1" applyBorder="1"/>
    <xf numFmtId="0" fontId="91" fillId="7" borderId="66" xfId="0" applyFont="1" applyFill="1" applyBorder="1" applyAlignment="1">
      <alignment horizontal="left"/>
    </xf>
    <xf numFmtId="0" fontId="91" fillId="7" borderId="44" xfId="0" applyFont="1" applyFill="1" applyBorder="1" applyAlignment="1">
      <alignment horizontal="center" vertical="center"/>
    </xf>
    <xf numFmtId="0" fontId="91" fillId="7" borderId="44" xfId="0" applyFont="1" applyFill="1" applyBorder="1" applyAlignment="1">
      <alignment horizontal="center"/>
    </xf>
    <xf numFmtId="0" fontId="92" fillId="7" borderId="44" xfId="0" applyFont="1" applyFill="1" applyBorder="1" applyAlignment="1">
      <alignment horizontal="center"/>
    </xf>
    <xf numFmtId="0" fontId="92" fillId="7" borderId="44" xfId="0" applyFont="1" applyFill="1" applyBorder="1"/>
    <xf numFmtId="0" fontId="0" fillId="2" borderId="44" xfId="0" applyFill="1" applyBorder="1"/>
    <xf numFmtId="1" fontId="89" fillId="2" borderId="44" xfId="0" applyNumberFormat="1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91" fillId="7" borderId="21" xfId="0" applyFont="1" applyFill="1" applyBorder="1" applyAlignment="1">
      <alignment horizontal="left"/>
    </xf>
    <xf numFmtId="0" fontId="91" fillId="7" borderId="43" xfId="0" applyFont="1" applyFill="1" applyBorder="1" applyAlignment="1">
      <alignment horizontal="center" vertical="center"/>
    </xf>
    <xf numFmtId="0" fontId="91" fillId="7" borderId="43" xfId="0" applyFont="1" applyFill="1" applyBorder="1" applyAlignment="1">
      <alignment horizontal="center"/>
    </xf>
    <xf numFmtId="0" fontId="92" fillId="7" borderId="43" xfId="0" applyFont="1" applyFill="1" applyBorder="1" applyAlignment="1">
      <alignment horizontal="center"/>
    </xf>
    <xf numFmtId="0" fontId="92" fillId="7" borderId="43" xfId="0" applyFont="1" applyFill="1" applyBorder="1"/>
    <xf numFmtId="0" fontId="0" fillId="2" borderId="43" xfId="0" applyFill="1" applyBorder="1"/>
    <xf numFmtId="1" fontId="89" fillId="2" borderId="43" xfId="0" applyNumberFormat="1" applyFon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91" fillId="7" borderId="44" xfId="0" applyFont="1" applyFill="1" applyBorder="1"/>
    <xf numFmtId="0" fontId="91" fillId="7" borderId="43" xfId="0" applyFont="1" applyFill="1" applyBorder="1"/>
    <xf numFmtId="0" fontId="0" fillId="15" borderId="2" xfId="0" applyFill="1" applyBorder="1"/>
    <xf numFmtId="0" fontId="0" fillId="15" borderId="19" xfId="0" applyFill="1" applyBorder="1"/>
    <xf numFmtId="0" fontId="0" fillId="15" borderId="66" xfId="0" applyFill="1" applyBorder="1"/>
    <xf numFmtId="0" fontId="0" fillId="15" borderId="44" xfId="0" applyFill="1" applyBorder="1"/>
    <xf numFmtId="0" fontId="0" fillId="15" borderId="21" xfId="0" applyFill="1" applyBorder="1"/>
    <xf numFmtId="0" fontId="0" fillId="15" borderId="43" xfId="0" applyFill="1" applyBorder="1"/>
    <xf numFmtId="0" fontId="0" fillId="2" borderId="23" xfId="0" applyFill="1" applyBorder="1"/>
    <xf numFmtId="0" fontId="91" fillId="7" borderId="2" xfId="0" applyFont="1" applyFill="1" applyBorder="1" applyAlignment="1">
      <alignment horizontal="left"/>
    </xf>
    <xf numFmtId="0" fontId="0" fillId="0" borderId="66" xfId="0" applyBorder="1"/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97" fillId="7" borderId="44" xfId="0" applyFont="1" applyFill="1" applyBorder="1" applyAlignment="1">
      <alignment horizontal="center"/>
    </xf>
    <xf numFmtId="0" fontId="0" fillId="0" borderId="95" xfId="0" applyBorder="1"/>
    <xf numFmtId="0" fontId="0" fillId="0" borderId="96" xfId="0" applyBorder="1"/>
    <xf numFmtId="1" fontId="0" fillId="0" borderId="10" xfId="0" applyNumberFormat="1" applyBorder="1"/>
    <xf numFmtId="14" fontId="77" fillId="2" borderId="0" xfId="0" applyNumberFormat="1" applyFont="1" applyFill="1" applyAlignment="1">
      <alignment horizontal="left"/>
    </xf>
    <xf numFmtId="0" fontId="77" fillId="2" borderId="0" xfId="0" applyFont="1" applyFill="1" applyAlignment="1">
      <alignment horizontal="center"/>
    </xf>
    <xf numFmtId="0" fontId="78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2" fontId="0" fillId="2" borderId="65" xfId="0" applyNumberFormat="1" applyFill="1" applyBorder="1"/>
    <xf numFmtId="165" fontId="91" fillId="2" borderId="41" xfId="4" applyNumberFormat="1" applyFont="1" applyFill="1" applyBorder="1" applyAlignment="1"/>
    <xf numFmtId="165" fontId="91" fillId="2" borderId="1" xfId="4" applyNumberFormat="1" applyFont="1" applyFill="1" applyBorder="1" applyAlignment="1"/>
    <xf numFmtId="165" fontId="91" fillId="2" borderId="0" xfId="4" applyNumberFormat="1" applyFont="1" applyFill="1" applyBorder="1" applyAlignment="1"/>
    <xf numFmtId="165" fontId="91" fillId="2" borderId="28" xfId="4" applyNumberFormat="1" applyFont="1" applyFill="1" applyBorder="1" applyAlignment="1"/>
    <xf numFmtId="0" fontId="92" fillId="2" borderId="19" xfId="0" applyFont="1" applyFill="1" applyBorder="1"/>
    <xf numFmtId="0" fontId="92" fillId="2" borderId="59" xfId="0" applyFont="1" applyFill="1" applyBorder="1"/>
    <xf numFmtId="0" fontId="92" fillId="2" borderId="41" xfId="0" applyFont="1" applyFill="1" applyBorder="1"/>
    <xf numFmtId="0" fontId="92" fillId="2" borderId="28" xfId="0" applyFont="1" applyFill="1" applyBorder="1"/>
    <xf numFmtId="0" fontId="103" fillId="0" borderId="97" xfId="0" applyFont="1" applyBorder="1"/>
    <xf numFmtId="0" fontId="103" fillId="0" borderId="98" xfId="0" applyFont="1" applyBorder="1" applyAlignment="1">
      <alignment horizontal="center"/>
    </xf>
    <xf numFmtId="168" fontId="103" fillId="0" borderId="98" xfId="2" applyNumberFormat="1" applyFont="1" applyBorder="1" applyAlignment="1">
      <alignment horizontal="right"/>
    </xf>
    <xf numFmtId="0" fontId="103" fillId="0" borderId="99" xfId="0" applyFont="1" applyBorder="1"/>
    <xf numFmtId="0" fontId="104" fillId="2" borderId="100" xfId="0" applyFont="1" applyFill="1" applyBorder="1"/>
    <xf numFmtId="0" fontId="104" fillId="2" borderId="101" xfId="0" applyFont="1" applyFill="1" applyBorder="1" applyAlignment="1">
      <alignment horizontal="center"/>
    </xf>
    <xf numFmtId="165" fontId="104" fillId="2" borderId="101" xfId="2" applyNumberFormat="1" applyFont="1" applyFill="1" applyBorder="1"/>
    <xf numFmtId="0" fontId="105" fillId="0" borderId="102" xfId="0" applyFont="1" applyBorder="1" applyAlignment="1">
      <alignment horizontal="center"/>
    </xf>
    <xf numFmtId="0" fontId="104" fillId="2" borderId="103" xfId="0" applyFont="1" applyFill="1" applyBorder="1"/>
    <xf numFmtId="0" fontId="104" fillId="2" borderId="104" xfId="0" applyFont="1" applyFill="1" applyBorder="1" applyAlignment="1">
      <alignment horizontal="center"/>
    </xf>
    <xf numFmtId="165" fontId="104" fillId="2" borderId="104" xfId="2" applyNumberFormat="1" applyFont="1" applyFill="1" applyBorder="1"/>
    <xf numFmtId="0" fontId="105" fillId="0" borderId="105" xfId="0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2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7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2" borderId="1" xfId="2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0" fontId="2" fillId="0" borderId="1" xfId="2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91" fillId="0" borderId="106" xfId="0" applyFont="1" applyBorder="1" applyAlignment="1">
      <alignment horizontal="left"/>
    </xf>
    <xf numFmtId="0" fontId="91" fillId="0" borderId="106" xfId="0" applyFont="1" applyBorder="1" applyAlignment="1">
      <alignment horizontal="center" vertical="center"/>
    </xf>
    <xf numFmtId="0" fontId="91" fillId="0" borderId="59" xfId="0" applyFont="1" applyBorder="1" applyAlignment="1">
      <alignment horizontal="center"/>
    </xf>
    <xf numFmtId="0" fontId="91" fillId="0" borderId="107" xfId="0" applyFont="1" applyBorder="1" applyAlignment="1">
      <alignment horizontal="center"/>
    </xf>
    <xf numFmtId="0" fontId="91" fillId="0" borderId="106" xfId="0" applyFont="1" applyBorder="1" applyAlignment="1">
      <alignment horizontal="center"/>
    </xf>
    <xf numFmtId="0" fontId="91" fillId="0" borderId="0" xfId="0" applyFont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99" fillId="0" borderId="1" xfId="0" applyFont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14" fontId="77" fillId="0" borderId="1" xfId="0" applyNumberFormat="1" applyFont="1" applyBorder="1" applyAlignment="1">
      <alignment horizontal="center"/>
    </xf>
    <xf numFmtId="165" fontId="79" fillId="2" borderId="1" xfId="4" applyNumberFormat="1" applyFont="1" applyFill="1" applyBorder="1" applyAlignment="1">
      <alignment horizontal="center"/>
    </xf>
    <xf numFmtId="0" fontId="80" fillId="2" borderId="1" xfId="0" applyFont="1" applyFill="1" applyBorder="1" applyAlignment="1">
      <alignment horizontal="center"/>
    </xf>
    <xf numFmtId="14" fontId="77" fillId="2" borderId="1" xfId="0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/>
    </xf>
    <xf numFmtId="1" fontId="77" fillId="2" borderId="1" xfId="0" applyNumberFormat="1" applyFont="1" applyFill="1" applyBorder="1" applyAlignment="1">
      <alignment horizontal="center"/>
    </xf>
    <xf numFmtId="1" fontId="7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7" fillId="0" borderId="80" xfId="0" applyFont="1" applyBorder="1"/>
    <xf numFmtId="0" fontId="107" fillId="0" borderId="81" xfId="0" applyFont="1" applyBorder="1" applyAlignment="1">
      <alignment horizontal="center"/>
    </xf>
    <xf numFmtId="0" fontId="107" fillId="0" borderId="81" xfId="0" applyFont="1" applyBorder="1" applyAlignment="1">
      <alignment horizontal="right"/>
    </xf>
    <xf numFmtId="0" fontId="107" fillId="25" borderId="82" xfId="0" applyFont="1" applyFill="1" applyBorder="1" applyAlignment="1">
      <alignment horizontal="right"/>
    </xf>
    <xf numFmtId="0" fontId="107" fillId="25" borderId="41" xfId="0" applyFont="1" applyFill="1" applyBorder="1" applyAlignment="1">
      <alignment horizontal="right"/>
    </xf>
    <xf numFmtId="0" fontId="107" fillId="0" borderId="1" xfId="0" applyFont="1" applyBorder="1" applyAlignment="1">
      <alignment horizontal="center"/>
    </xf>
    <xf numFmtId="0" fontId="104" fillId="5" borderId="109" xfId="0" applyFont="1" applyFill="1" applyBorder="1"/>
    <xf numFmtId="3" fontId="0" fillId="0" borderId="0" xfId="0" applyNumberFormat="1"/>
    <xf numFmtId="0" fontId="107" fillId="0" borderId="1" xfId="0" applyFont="1" applyBorder="1"/>
    <xf numFmtId="0" fontId="107" fillId="0" borderId="1" xfId="0" applyFont="1" applyBorder="1" applyAlignment="1">
      <alignment horizontal="right"/>
    </xf>
    <xf numFmtId="0" fontId="107" fillId="25" borderId="1" xfId="0" applyFont="1" applyFill="1" applyBorder="1" applyAlignment="1">
      <alignment horizontal="right"/>
    </xf>
    <xf numFmtId="1" fontId="0" fillId="4" borderId="1" xfId="0" applyNumberFormat="1" applyFill="1" applyBorder="1"/>
    <xf numFmtId="0" fontId="4" fillId="0" borderId="0" xfId="0" applyFont="1"/>
    <xf numFmtId="43" fontId="0" fillId="0" borderId="0" xfId="2" applyFont="1" applyAlignment="1">
      <alignment horizontal="center"/>
    </xf>
    <xf numFmtId="43" fontId="69" fillId="0" borderId="0" xfId="2" applyFont="1"/>
    <xf numFmtId="0" fontId="103" fillId="0" borderId="47" xfId="0" applyFont="1" applyBorder="1"/>
    <xf numFmtId="14" fontId="103" fillId="0" borderId="0" xfId="0" applyNumberFormat="1" applyFont="1" applyAlignment="1">
      <alignment horizontal="left"/>
    </xf>
    <xf numFmtId="0" fontId="105" fillId="0" borderId="0" xfId="0" applyFont="1"/>
    <xf numFmtId="167" fontId="105" fillId="0" borderId="0" xfId="2" applyNumberFormat="1" applyFont="1" applyBorder="1"/>
    <xf numFmtId="167" fontId="103" fillId="0" borderId="0" xfId="2" applyNumberFormat="1" applyFont="1" applyBorder="1"/>
    <xf numFmtId="0" fontId="105" fillId="0" borderId="52" xfId="0" applyFont="1" applyBorder="1"/>
    <xf numFmtId="0" fontId="103" fillId="0" borderId="80" xfId="0" applyFont="1" applyBorder="1"/>
    <xf numFmtId="0" fontId="103" fillId="0" borderId="81" xfId="0" applyFont="1" applyBorder="1" applyAlignment="1">
      <alignment horizontal="center"/>
    </xf>
    <xf numFmtId="0" fontId="103" fillId="0" borderId="81" xfId="2" applyNumberFormat="1" applyFont="1" applyBorder="1" applyAlignment="1">
      <alignment horizontal="right"/>
    </xf>
    <xf numFmtId="0" fontId="103" fillId="11" borderId="81" xfId="2" applyNumberFormat="1" applyFont="1" applyFill="1" applyBorder="1" applyAlignment="1">
      <alignment horizontal="right"/>
    </xf>
    <xf numFmtId="167" fontId="103" fillId="0" borderId="81" xfId="2" applyNumberFormat="1" applyFont="1" applyBorder="1" applyAlignment="1">
      <alignment horizontal="right"/>
    </xf>
    <xf numFmtId="0" fontId="103" fillId="0" borderId="110" xfId="0" applyFont="1" applyBorder="1" applyAlignment="1">
      <alignment horizontal="right"/>
    </xf>
    <xf numFmtId="0" fontId="104" fillId="2" borderId="112" xfId="0" applyFont="1" applyFill="1" applyBorder="1" applyAlignment="1">
      <alignment horizontal="center"/>
    </xf>
    <xf numFmtId="165" fontId="104" fillId="0" borderId="112" xfId="2" applyNumberFormat="1" applyFont="1" applyBorder="1"/>
    <xf numFmtId="43" fontId="104" fillId="0" borderId="113" xfId="2" applyFont="1" applyBorder="1"/>
    <xf numFmtId="165" fontId="104" fillId="0" borderId="101" xfId="2" applyNumberFormat="1" applyFont="1" applyBorder="1"/>
    <xf numFmtId="0" fontId="109" fillId="0" borderId="1" xfId="3" applyFont="1" applyBorder="1" applyAlignment="1">
      <alignment horizontal="center"/>
    </xf>
    <xf numFmtId="0" fontId="109" fillId="0" borderId="5" xfId="6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110" fillId="0" borderId="0" xfId="0" applyFont="1"/>
    <xf numFmtId="0" fontId="111" fillId="0" borderId="1" xfId="0" applyFont="1" applyBorder="1"/>
    <xf numFmtId="0" fontId="111" fillId="15" borderId="1" xfId="0" applyFont="1" applyFill="1" applyBorder="1"/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3" fillId="15" borderId="1" xfId="0" applyFont="1" applyFill="1" applyBorder="1"/>
    <xf numFmtId="1" fontId="112" fillId="0" borderId="1" xfId="0" applyNumberFormat="1" applyFont="1" applyBorder="1" applyAlignment="1">
      <alignment horizontal="center"/>
    </xf>
    <xf numFmtId="1" fontId="3" fillId="0" borderId="0" xfId="0" applyNumberFormat="1" applyFont="1"/>
    <xf numFmtId="43" fontId="3" fillId="0" borderId="0" xfId="2" applyFont="1"/>
    <xf numFmtId="0" fontId="77" fillId="24" borderId="1" xfId="0" applyFont="1" applyFill="1" applyBorder="1" applyAlignment="1">
      <alignment horizontal="center"/>
    </xf>
    <xf numFmtId="0" fontId="109" fillId="0" borderId="1" xfId="3" applyFont="1" applyBorder="1" applyAlignment="1" applyProtection="1">
      <alignment horizontal="center"/>
      <protection locked="0"/>
    </xf>
    <xf numFmtId="0" fontId="35" fillId="26" borderId="46" xfId="0" applyFont="1" applyFill="1" applyBorder="1" applyAlignment="1">
      <alignment horizontal="center" vertical="center"/>
    </xf>
    <xf numFmtId="175" fontId="35" fillId="26" borderId="46" xfId="0" applyNumberFormat="1" applyFont="1" applyFill="1" applyBorder="1" applyAlignment="1">
      <alignment horizontal="center" vertical="center"/>
    </xf>
    <xf numFmtId="0" fontId="21" fillId="0" borderId="46" xfId="0" applyFont="1" applyBorder="1" applyAlignment="1">
      <alignment vertical="center" wrapText="1"/>
    </xf>
    <xf numFmtId="0" fontId="36" fillId="26" borderId="0" xfId="0" applyFont="1" applyFill="1" applyAlignment="1">
      <alignment horizontal="center"/>
    </xf>
    <xf numFmtId="171" fontId="36" fillId="26" borderId="0" xfId="0" applyNumberFormat="1" applyFont="1" applyFill="1" applyAlignment="1">
      <alignment horizontal="right"/>
    </xf>
    <xf numFmtId="171" fontId="113" fillId="26" borderId="0" xfId="0" applyNumberFormat="1" applyFont="1" applyFill="1"/>
    <xf numFmtId="0" fontId="104" fillId="2" borderId="111" xfId="0" applyFont="1" applyFill="1" applyBorder="1" applyAlignment="1">
      <alignment horizontal="center"/>
    </xf>
    <xf numFmtId="165" fontId="104" fillId="2" borderId="112" xfId="2" applyNumberFormat="1" applyFont="1" applyFill="1" applyBorder="1" applyAlignment="1">
      <alignment horizontal="center"/>
    </xf>
    <xf numFmtId="0" fontId="103" fillId="2" borderId="81" xfId="2" applyNumberFormat="1" applyFont="1" applyFill="1" applyBorder="1" applyAlignment="1">
      <alignment horizontal="center"/>
    </xf>
    <xf numFmtId="0" fontId="103" fillId="2" borderId="84" xfId="2" applyNumberFormat="1" applyFont="1" applyFill="1" applyBorder="1" applyAlignment="1">
      <alignment horizontal="center"/>
    </xf>
    <xf numFmtId="165" fontId="108" fillId="2" borderId="112" xfId="2" applyNumberFormat="1" applyFont="1" applyFill="1" applyBorder="1" applyAlignment="1">
      <alignment horizontal="center"/>
    </xf>
    <xf numFmtId="0" fontId="104" fillId="2" borderId="100" xfId="0" applyFont="1" applyFill="1" applyBorder="1" applyAlignment="1">
      <alignment horizontal="center"/>
    </xf>
    <xf numFmtId="165" fontId="104" fillId="2" borderId="101" xfId="2" applyNumberFormat="1" applyFont="1" applyFill="1" applyBorder="1" applyAlignment="1">
      <alignment horizontal="center"/>
    </xf>
    <xf numFmtId="165" fontId="108" fillId="2" borderId="101" xfId="2" applyNumberFormat="1" applyFont="1" applyFill="1" applyBorder="1" applyAlignment="1">
      <alignment horizontal="center"/>
    </xf>
    <xf numFmtId="0" fontId="105" fillId="2" borderId="101" xfId="2" applyNumberFormat="1" applyFont="1" applyFill="1" applyBorder="1" applyAlignment="1">
      <alignment horizontal="center"/>
    </xf>
    <xf numFmtId="165" fontId="0" fillId="0" borderId="0" xfId="2" applyNumberFormat="1" applyFont="1"/>
    <xf numFmtId="165" fontId="0" fillId="0" borderId="1" xfId="0" applyNumberFormat="1" applyBorder="1"/>
    <xf numFmtId="4" fontId="112" fillId="0" borderId="1" xfId="0" applyNumberFormat="1" applyFont="1" applyBorder="1"/>
    <xf numFmtId="0" fontId="77" fillId="27" borderId="1" xfId="0" applyFont="1" applyFill="1" applyBorder="1" applyAlignment="1">
      <alignment horizontal="center"/>
    </xf>
    <xf numFmtId="0" fontId="77" fillId="27" borderId="7" xfId="0" applyFont="1" applyFill="1" applyBorder="1" applyAlignment="1">
      <alignment horizontal="center"/>
    </xf>
    <xf numFmtId="0" fontId="103" fillId="0" borderId="1" xfId="0" applyFont="1" applyBorder="1" applyAlignment="1">
      <alignment horizontal="right"/>
    </xf>
    <xf numFmtId="167" fontId="0" fillId="0" borderId="1" xfId="0" applyNumberFormat="1" applyBorder="1" applyAlignment="1">
      <alignment vertical="center"/>
    </xf>
    <xf numFmtId="0" fontId="4" fillId="5" borderId="100" xfId="0" applyFont="1" applyFill="1" applyBorder="1"/>
    <xf numFmtId="0" fontId="4" fillId="5" borderId="101" xfId="0" applyFont="1" applyFill="1" applyBorder="1" applyAlignment="1">
      <alignment horizontal="center"/>
    </xf>
    <xf numFmtId="3" fontId="4" fillId="5" borderId="101" xfId="0" applyNumberFormat="1" applyFont="1" applyFill="1" applyBorder="1"/>
    <xf numFmtId="0" fontId="5" fillId="25" borderId="108" xfId="0" applyFont="1" applyFill="1" applyBorder="1"/>
    <xf numFmtId="0" fontId="5" fillId="25" borderId="1" xfId="0" applyFont="1" applyFill="1" applyBorder="1"/>
    <xf numFmtId="0" fontId="4" fillId="5" borderId="1" xfId="0" applyFont="1" applyFill="1" applyBorder="1" applyAlignment="1">
      <alignment horizontal="center"/>
    </xf>
    <xf numFmtId="170" fontId="0" fillId="0" borderId="1" xfId="0" applyNumberFormat="1" applyBorder="1"/>
    <xf numFmtId="1" fontId="3" fillId="0" borderId="1" xfId="0" applyNumberFormat="1" applyFont="1" applyBorder="1"/>
    <xf numFmtId="0" fontId="4" fillId="0" borderId="0" xfId="0" applyFont="1" applyAlignment="1">
      <alignment horizontal="left"/>
    </xf>
    <xf numFmtId="0" fontId="103" fillId="25" borderId="101" xfId="0" applyFont="1" applyFill="1" applyBorder="1"/>
    <xf numFmtId="165" fontId="108" fillId="0" borderId="101" xfId="2" applyNumberFormat="1" applyFont="1" applyBorder="1"/>
    <xf numFmtId="43" fontId="108" fillId="2" borderId="10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14" fillId="3" borderId="1" xfId="0" applyFont="1" applyFill="1" applyBorder="1" applyAlignment="1">
      <alignment horizontal="center" vertical="center" wrapText="1"/>
    </xf>
    <xf numFmtId="3" fontId="114" fillId="2" borderId="1" xfId="0" applyNumberFormat="1" applyFont="1" applyFill="1" applyBorder="1" applyAlignment="1">
      <alignment horizontal="center" vertical="center" wrapText="1"/>
    </xf>
    <xf numFmtId="0" fontId="114" fillId="2" borderId="1" xfId="0" applyFont="1" applyFill="1" applyBorder="1" applyAlignment="1">
      <alignment horizontal="center" vertical="center" wrapText="1"/>
    </xf>
    <xf numFmtId="0" fontId="3" fillId="11" borderId="1" xfId="0" applyFont="1" applyFill="1" applyBorder="1"/>
    <xf numFmtId="0" fontId="15" fillId="0" borderId="25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right" vertical="center"/>
    </xf>
    <xf numFmtId="0" fontId="15" fillId="28" borderId="9" xfId="0" applyFont="1" applyFill="1" applyBorder="1" applyAlignment="1">
      <alignment horizontal="right" vertical="center"/>
    </xf>
    <xf numFmtId="0" fontId="115" fillId="0" borderId="22" xfId="0" applyFont="1" applyBorder="1" applyAlignment="1">
      <alignment vertical="center"/>
    </xf>
    <xf numFmtId="0" fontId="115" fillId="0" borderId="23" xfId="0" applyFont="1" applyBorder="1" applyAlignment="1">
      <alignment horizontal="center" vertical="center"/>
    </xf>
    <xf numFmtId="0" fontId="115" fillId="0" borderId="23" xfId="0" applyFont="1" applyBorder="1" applyAlignment="1">
      <alignment vertical="center"/>
    </xf>
    <xf numFmtId="0" fontId="116" fillId="0" borderId="23" xfId="0" applyFont="1" applyBorder="1" applyAlignment="1">
      <alignment vertical="center"/>
    </xf>
    <xf numFmtId="0" fontId="3" fillId="0" borderId="54" xfId="0" applyFont="1" applyBorder="1"/>
    <xf numFmtId="0" fontId="3" fillId="0" borderId="9" xfId="0" applyFont="1" applyBorder="1"/>
    <xf numFmtId="0" fontId="3" fillId="11" borderId="26" xfId="0" applyFont="1" applyFill="1" applyBorder="1"/>
    <xf numFmtId="0" fontId="3" fillId="11" borderId="20" xfId="0" applyFont="1" applyFill="1" applyBorder="1"/>
    <xf numFmtId="0" fontId="3" fillId="0" borderId="8" xfId="0" applyFont="1" applyBorder="1"/>
    <xf numFmtId="0" fontId="69" fillId="0" borderId="0" xfId="0" applyFont="1" applyAlignment="1">
      <alignment horizontal="left"/>
    </xf>
    <xf numFmtId="0" fontId="3" fillId="14" borderId="1" xfId="0" applyFont="1" applyFill="1" applyBorder="1"/>
    <xf numFmtId="0" fontId="111" fillId="14" borderId="1" xfId="0" applyFont="1" applyFill="1" applyBorder="1"/>
    <xf numFmtId="0" fontId="117" fillId="0" borderId="1" xfId="0" applyFont="1" applyBorder="1" applyAlignment="1">
      <alignment horizontal="left"/>
    </xf>
    <xf numFmtId="0" fontId="117" fillId="0" borderId="1" xfId="0" applyFont="1" applyBorder="1"/>
    <xf numFmtId="0" fontId="117" fillId="0" borderId="1" xfId="0" applyFont="1" applyBorder="1" applyAlignment="1">
      <alignment horizontal="center"/>
    </xf>
    <xf numFmtId="0" fontId="117" fillId="0" borderId="1" xfId="2" applyNumberFormat="1" applyFont="1" applyBorder="1" applyAlignment="1">
      <alignment horizontal="right"/>
    </xf>
    <xf numFmtId="167" fontId="117" fillId="2" borderId="1" xfId="2" applyNumberFormat="1" applyFont="1" applyFill="1" applyBorder="1" applyAlignment="1">
      <alignment horizontal="right"/>
    </xf>
    <xf numFmtId="0" fontId="69" fillId="0" borderId="1" xfId="0" applyFont="1" applyBorder="1"/>
    <xf numFmtId="0" fontId="117" fillId="25" borderId="1" xfId="0" applyFont="1" applyFill="1" applyBorder="1" applyAlignment="1">
      <alignment horizontal="right"/>
    </xf>
    <xf numFmtId="14" fontId="117" fillId="0" borderId="1" xfId="0" applyNumberFormat="1" applyFont="1" applyBorder="1" applyAlignment="1">
      <alignment horizontal="left"/>
    </xf>
    <xf numFmtId="0" fontId="118" fillId="2" borderId="1" xfId="0" applyFont="1" applyFill="1" applyBorder="1"/>
    <xf numFmtId="0" fontId="118" fillId="2" borderId="1" xfId="0" applyFont="1" applyFill="1" applyBorder="1" applyAlignment="1">
      <alignment horizontal="center"/>
    </xf>
    <xf numFmtId="165" fontId="118" fillId="2" borderId="1" xfId="2" applyNumberFormat="1" applyFont="1" applyFill="1" applyBorder="1"/>
    <xf numFmtId="43" fontId="2" fillId="0" borderId="1" xfId="0" applyNumberFormat="1" applyFont="1" applyBorder="1"/>
    <xf numFmtId="0" fontId="117" fillId="25" borderId="1" xfId="0" applyFont="1" applyFill="1" applyBorder="1"/>
    <xf numFmtId="0" fontId="118" fillId="5" borderId="1" xfId="0" applyFont="1" applyFill="1" applyBorder="1"/>
    <xf numFmtId="0" fontId="118" fillId="5" borderId="1" xfId="0" applyFont="1" applyFill="1" applyBorder="1" applyAlignment="1">
      <alignment horizontal="center"/>
    </xf>
    <xf numFmtId="0" fontId="118" fillId="2" borderId="97" xfId="0" applyFont="1" applyFill="1" applyBorder="1"/>
    <xf numFmtId="0" fontId="118" fillId="2" borderId="98" xfId="0" applyFont="1" applyFill="1" applyBorder="1" applyAlignment="1">
      <alignment horizontal="center"/>
    </xf>
    <xf numFmtId="165" fontId="118" fillId="2" borderId="98" xfId="2" applyNumberFormat="1" applyFont="1" applyFill="1" applyBorder="1"/>
    <xf numFmtId="0" fontId="2" fillId="0" borderId="0" xfId="0" applyFont="1" applyAlignment="1">
      <alignment horizontal="left"/>
    </xf>
    <xf numFmtId="43" fontId="69" fillId="0" borderId="0" xfId="0" applyNumberFormat="1" applyFont="1"/>
    <xf numFmtId="165" fontId="69" fillId="0" borderId="0" xfId="0" applyNumberFormat="1" applyFont="1"/>
    <xf numFmtId="2" fontId="69" fillId="0" borderId="0" xfId="0" applyNumberFormat="1" applyFont="1"/>
    <xf numFmtId="0" fontId="117" fillId="25" borderId="101" xfId="0" applyFont="1" applyFill="1" applyBorder="1"/>
    <xf numFmtId="14" fontId="85" fillId="0" borderId="1" xfId="0" applyNumberFormat="1" applyFont="1" applyBorder="1" applyAlignment="1">
      <alignment horizontal="center"/>
    </xf>
    <xf numFmtId="0" fontId="119" fillId="2" borderId="1" xfId="0" applyFont="1" applyFill="1" applyBorder="1" applyAlignment="1">
      <alignment horizontal="center"/>
    </xf>
    <xf numFmtId="165" fontId="119" fillId="2" borderId="1" xfId="4" applyNumberFormat="1" applyFont="1" applyFill="1" applyBorder="1" applyAlignment="1"/>
    <xf numFmtId="0" fontId="85" fillId="0" borderId="1" xfId="0" applyFont="1" applyBorder="1" applyAlignment="1">
      <alignment horizontal="center"/>
    </xf>
    <xf numFmtId="14" fontId="85" fillId="2" borderId="1" xfId="0" applyNumberFormat="1" applyFont="1" applyFill="1" applyBorder="1" applyAlignment="1">
      <alignment horizontal="center"/>
    </xf>
    <xf numFmtId="0" fontId="85" fillId="2" borderId="1" xfId="0" applyFont="1" applyFill="1" applyBorder="1" applyAlignment="1">
      <alignment horizontal="center"/>
    </xf>
    <xf numFmtId="0" fontId="85" fillId="2" borderId="1" xfId="0" applyFont="1" applyFill="1" applyBorder="1"/>
    <xf numFmtId="0" fontId="85" fillId="15" borderId="1" xfId="0" applyFont="1" applyFill="1" applyBorder="1" applyAlignment="1">
      <alignment horizontal="center"/>
    </xf>
    <xf numFmtId="14" fontId="95" fillId="8" borderId="0" xfId="0" applyNumberFormat="1" applyFont="1" applyFill="1" applyAlignment="1">
      <alignment horizontal="center"/>
    </xf>
    <xf numFmtId="0" fontId="120" fillId="29" borderId="1" xfId="0" applyFont="1" applyFill="1" applyBorder="1"/>
    <xf numFmtId="0" fontId="120" fillId="29" borderId="41" xfId="0" applyFont="1" applyFill="1" applyBorder="1" applyAlignment="1">
      <alignment horizontal="left"/>
    </xf>
    <xf numFmtId="0" fontId="120" fillId="29" borderId="1" xfId="0" applyFont="1" applyFill="1" applyBorder="1" applyAlignment="1">
      <alignment horizontal="left"/>
    </xf>
    <xf numFmtId="0" fontId="85" fillId="8" borderId="0" xfId="0" applyFont="1" applyFill="1"/>
    <xf numFmtId="0" fontId="85" fillId="8" borderId="1" xfId="0" applyFont="1" applyFill="1" applyBorder="1" applyAlignment="1">
      <alignment horizontal="center"/>
    </xf>
    <xf numFmtId="0" fontId="95" fillId="8" borderId="0" xfId="0" applyFont="1" applyFill="1" applyAlignment="1">
      <alignment horizontal="center"/>
    </xf>
    <xf numFmtId="0" fontId="79" fillId="2" borderId="1" xfId="0" applyFont="1" applyFill="1" applyBorder="1" applyAlignment="1">
      <alignment horizontal="left"/>
    </xf>
    <xf numFmtId="0" fontId="119" fillId="2" borderId="1" xfId="0" applyFont="1" applyFill="1" applyBorder="1" applyAlignment="1">
      <alignment horizontal="left"/>
    </xf>
    <xf numFmtId="0" fontId="85" fillId="2" borderId="1" xfId="0" applyFont="1" applyFill="1" applyBorder="1" applyAlignment="1">
      <alignment horizontal="left"/>
    </xf>
    <xf numFmtId="175" fontId="34" fillId="0" borderId="91" xfId="0" applyNumberFormat="1" applyFont="1" applyBorder="1" applyAlignment="1">
      <alignment horizontal="left" vertical="center"/>
    </xf>
    <xf numFmtId="175" fontId="21" fillId="0" borderId="46" xfId="0" applyNumberFormat="1" applyFont="1" applyBorder="1" applyAlignment="1">
      <alignment horizontal="left" vertical="center"/>
    </xf>
    <xf numFmtId="0" fontId="0" fillId="0" borderId="43" xfId="0" applyBorder="1" applyAlignment="1">
      <alignment horizontal="left"/>
    </xf>
    <xf numFmtId="0" fontId="121" fillId="29" borderId="1" xfId="0" applyFont="1" applyFill="1" applyBorder="1" applyAlignment="1">
      <alignment horizontal="center"/>
    </xf>
    <xf numFmtId="0" fontId="120" fillId="29" borderId="1" xfId="0" applyFont="1" applyFill="1" applyBorder="1" applyAlignment="1">
      <alignment horizontal="center"/>
    </xf>
    <xf numFmtId="165" fontId="119" fillId="2" borderId="1" xfId="4" applyNumberFormat="1" applyFont="1" applyFill="1" applyBorder="1" applyAlignment="1">
      <alignment horizontal="center"/>
    </xf>
    <xf numFmtId="0" fontId="120" fillId="29" borderId="41" xfId="0" applyFont="1" applyFill="1" applyBorder="1" applyAlignment="1">
      <alignment horizontal="center"/>
    </xf>
    <xf numFmtId="0" fontId="91" fillId="2" borderId="1" xfId="0" applyFont="1" applyFill="1" applyBorder="1" applyAlignment="1">
      <alignment horizontal="left"/>
    </xf>
    <xf numFmtId="0" fontId="122" fillId="2" borderId="1" xfId="0" applyFont="1" applyFill="1" applyBorder="1"/>
    <xf numFmtId="0" fontId="122" fillId="0" borderId="0" xfId="0" applyFont="1"/>
    <xf numFmtId="0" fontId="122" fillId="2" borderId="0" xfId="0" applyFont="1" applyFill="1"/>
    <xf numFmtId="0" fontId="0" fillId="30" borderId="1" xfId="0" applyFill="1" applyBorder="1"/>
    <xf numFmtId="0" fontId="98" fillId="0" borderId="0" xfId="0" applyFont="1" applyAlignment="1">
      <alignment horizontal="center"/>
    </xf>
    <xf numFmtId="0" fontId="111" fillId="0" borderId="7" xfId="0" applyFont="1" applyBorder="1"/>
    <xf numFmtId="0" fontId="3" fillId="0" borderId="1" xfId="10" applyFont="1" applyBorder="1" applyAlignment="1">
      <alignment horizontal="center"/>
    </xf>
    <xf numFmtId="0" fontId="3" fillId="0" borderId="2" xfId="10" applyFont="1" applyBorder="1" applyAlignment="1">
      <alignment horizontal="center"/>
    </xf>
    <xf numFmtId="0" fontId="3" fillId="0" borderId="28" xfId="10" applyFont="1" applyBorder="1" applyAlignment="1">
      <alignment horizontal="center"/>
    </xf>
    <xf numFmtId="165" fontId="0" fillId="0" borderId="1" xfId="11" applyNumberFormat="1" applyFont="1" applyBorder="1"/>
    <xf numFmtId="165" fontId="0" fillId="0" borderId="0" xfId="11" applyNumberFormat="1" applyFont="1"/>
    <xf numFmtId="0" fontId="124" fillId="0" borderId="0" xfId="10"/>
    <xf numFmtId="0" fontId="124" fillId="0" borderId="1" xfId="10" applyBorder="1" applyAlignment="1">
      <alignment horizontal="center"/>
    </xf>
    <xf numFmtId="0" fontId="3" fillId="0" borderId="1" xfId="10" applyFont="1" applyBorder="1"/>
    <xf numFmtId="170" fontId="124" fillId="0" borderId="1" xfId="10" applyNumberFormat="1" applyBorder="1"/>
    <xf numFmtId="0" fontId="1" fillId="0" borderId="0" xfId="10" applyFont="1"/>
    <xf numFmtId="0" fontId="3" fillId="0" borderId="0" xfId="10" applyFont="1"/>
    <xf numFmtId="2" fontId="3" fillId="0" borderId="1" xfId="10" applyNumberFormat="1" applyFont="1" applyBorder="1" applyAlignment="1">
      <alignment horizontal="center"/>
    </xf>
    <xf numFmtId="165" fontId="3" fillId="0" borderId="0" xfId="11" applyNumberFormat="1" applyFont="1"/>
    <xf numFmtId="14" fontId="122" fillId="8" borderId="1" xfId="0" applyNumberFormat="1" applyFont="1" applyFill="1" applyBorder="1" applyAlignment="1">
      <alignment horizontal="left"/>
    </xf>
    <xf numFmtId="0" fontId="123" fillId="8" borderId="1" xfId="0" applyFont="1" applyFill="1" applyBorder="1" applyAlignment="1">
      <alignment horizontal="left" vertical="center"/>
    </xf>
    <xf numFmtId="0" fontId="122" fillId="8" borderId="1" xfId="0" applyFont="1" applyFill="1" applyBorder="1"/>
    <xf numFmtId="0" fontId="123" fillId="8" borderId="1" xfId="0" applyFont="1" applyFill="1" applyBorder="1" applyAlignment="1">
      <alignment horizontal="center" vertical="center"/>
    </xf>
    <xf numFmtId="0" fontId="123" fillId="8" borderId="1" xfId="0" applyFont="1" applyFill="1" applyBorder="1" applyAlignment="1">
      <alignment horizontal="right" vertical="center"/>
    </xf>
    <xf numFmtId="43" fontId="77" fillId="0" borderId="1" xfId="2" applyFont="1" applyBorder="1"/>
    <xf numFmtId="43" fontId="3" fillId="0" borderId="22" xfId="0" applyNumberFormat="1" applyFont="1" applyBorder="1"/>
    <xf numFmtId="1" fontId="3" fillId="0" borderId="21" xfId="0" applyNumberFormat="1" applyFont="1" applyBorder="1"/>
    <xf numFmtId="0" fontId="3" fillId="0" borderId="65" xfId="0" applyFont="1" applyBorder="1"/>
    <xf numFmtId="179" fontId="3" fillId="0" borderId="1" xfId="0" applyNumberFormat="1" applyFont="1" applyBorder="1"/>
    <xf numFmtId="0" fontId="0" fillId="14" borderId="7" xfId="0" applyFill="1" applyBorder="1"/>
    <xf numFmtId="0" fontId="52" fillId="0" borderId="0" xfId="0" applyFont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42" xfId="0" applyFont="1" applyBorder="1"/>
    <xf numFmtId="0" fontId="112" fillId="2" borderId="1" xfId="0" applyFont="1" applyFill="1" applyBorder="1"/>
    <xf numFmtId="0" fontId="3" fillId="2" borderId="1" xfId="0" applyFont="1" applyFill="1" applyBorder="1"/>
    <xf numFmtId="1" fontId="112" fillId="2" borderId="1" xfId="0" applyNumberFormat="1" applyFont="1" applyFill="1" applyBorder="1" applyAlignment="1">
      <alignment horizontal="center"/>
    </xf>
    <xf numFmtId="165" fontId="3" fillId="0" borderId="1" xfId="11" applyNumberFormat="1" applyFont="1" applyBorder="1"/>
    <xf numFmtId="165" fontId="3" fillId="8" borderId="1" xfId="11" applyNumberFormat="1" applyFont="1" applyFill="1" applyBorder="1"/>
    <xf numFmtId="0" fontId="3" fillId="8" borderId="1" xfId="10" applyFont="1" applyFill="1" applyBorder="1"/>
    <xf numFmtId="165" fontId="0" fillId="8" borderId="1" xfId="11" applyNumberFormat="1" applyFont="1" applyFill="1" applyBorder="1"/>
    <xf numFmtId="165" fontId="124" fillId="8" borderId="1" xfId="10" applyNumberFormat="1" applyFill="1" applyBorder="1"/>
    <xf numFmtId="165" fontId="0" fillId="8" borderId="0" xfId="11" applyNumberFormat="1" applyFont="1" applyFill="1"/>
    <xf numFmtId="0" fontId="124" fillId="8" borderId="0" xfId="10" applyFill="1"/>
    <xf numFmtId="0" fontId="125" fillId="0" borderId="1" xfId="0" applyFont="1" applyBorder="1" applyAlignment="1">
      <alignment horizontal="left" vertical="center" wrapText="1" indent="2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left" vertical="center" wrapText="1" indent="1"/>
    </xf>
    <xf numFmtId="0" fontId="125" fillId="0" borderId="1" xfId="0" applyFont="1" applyBorder="1" applyAlignment="1">
      <alignment horizontal="right" vertical="center" wrapText="1"/>
    </xf>
    <xf numFmtId="0" fontId="12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180" fontId="127" fillId="0" borderId="1" xfId="0" applyNumberFormat="1" applyFont="1" applyBorder="1" applyAlignment="1">
      <alignment horizontal="right" vertical="top" shrinkToFit="1"/>
    </xf>
    <xf numFmtId="0" fontId="128" fillId="0" borderId="1" xfId="0" applyFont="1" applyBorder="1" applyAlignment="1">
      <alignment horizontal="center" vertical="top" wrapText="1"/>
    </xf>
    <xf numFmtId="1" fontId="127" fillId="0" borderId="1" xfId="0" applyNumberFormat="1" applyFont="1" applyBorder="1" applyAlignment="1">
      <alignment horizontal="right" vertical="top" shrinkToFit="1"/>
    </xf>
    <xf numFmtId="0" fontId="128" fillId="0" borderId="1" xfId="0" applyFont="1" applyBorder="1" applyAlignment="1">
      <alignment horizontal="right" vertical="center" wrapText="1"/>
    </xf>
    <xf numFmtId="0" fontId="129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128" fillId="0" borderId="1" xfId="0" applyFont="1" applyBorder="1" applyAlignment="1">
      <alignment horizontal="right" vertical="top" wrapText="1" indent="1"/>
    </xf>
    <xf numFmtId="3" fontId="127" fillId="0" borderId="1" xfId="0" applyNumberFormat="1" applyFont="1" applyBorder="1" applyAlignment="1">
      <alignment horizontal="right" vertical="top" shrinkToFit="1"/>
    </xf>
    <xf numFmtId="0" fontId="129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3" fontId="0" fillId="0" borderId="1" xfId="0" applyNumberFormat="1" applyBorder="1"/>
    <xf numFmtId="0" fontId="3" fillId="2" borderId="1" xfId="10" applyFont="1" applyFill="1" applyBorder="1" applyAlignment="1">
      <alignment horizontal="left"/>
    </xf>
    <xf numFmtId="165" fontId="0" fillId="2" borderId="1" xfId="11" applyNumberFormat="1" applyFont="1" applyFill="1" applyBorder="1" applyAlignment="1">
      <alignment horizontal="left"/>
    </xf>
    <xf numFmtId="0" fontId="3" fillId="2" borderId="1" xfId="10" applyFont="1" applyFill="1" applyBorder="1" applyAlignment="1">
      <alignment horizontal="right"/>
    </xf>
    <xf numFmtId="170" fontId="124" fillId="2" borderId="1" xfId="10" applyNumberFormat="1" applyFill="1" applyBorder="1" applyAlignment="1">
      <alignment horizontal="right"/>
    </xf>
    <xf numFmtId="0" fontId="10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124" fillId="0" borderId="114" xfId="10" applyBorder="1" applyAlignment="1">
      <alignment horizontal="center"/>
    </xf>
    <xf numFmtId="0" fontId="124" fillId="0" borderId="101" xfId="10" applyBorder="1" applyAlignment="1">
      <alignment horizontal="center"/>
    </xf>
    <xf numFmtId="0" fontId="124" fillId="0" borderId="102" xfId="10" applyBorder="1" applyAlignment="1">
      <alignment horizontal="center"/>
    </xf>
    <xf numFmtId="0" fontId="0" fillId="2" borderId="1" xfId="2" applyNumberFormat="1" applyFont="1" applyFill="1" applyBorder="1" applyAlignment="1">
      <alignment horizontal="center"/>
    </xf>
    <xf numFmtId="43" fontId="0" fillId="0" borderId="0" xfId="2" applyFont="1"/>
    <xf numFmtId="165" fontId="0" fillId="0" borderId="9" xfId="11" applyNumberFormat="1" applyFont="1" applyBorder="1"/>
    <xf numFmtId="43" fontId="5" fillId="0" borderId="25" xfId="2" applyFont="1" applyBorder="1"/>
    <xf numFmtId="0" fontId="124" fillId="0" borderId="9" xfId="10" applyBorder="1"/>
    <xf numFmtId="43" fontId="124" fillId="0" borderId="54" xfId="2" applyFont="1" applyBorder="1"/>
    <xf numFmtId="43" fontId="0" fillId="0" borderId="54" xfId="2" applyFont="1" applyBorder="1"/>
    <xf numFmtId="0" fontId="124" fillId="0" borderId="25" xfId="10" applyBorder="1"/>
    <xf numFmtId="43" fontId="0" fillId="2" borderId="0" xfId="2" applyFont="1" applyFill="1" applyBorder="1"/>
    <xf numFmtId="1" fontId="3" fillId="4" borderId="0" xfId="0" applyNumberFormat="1" applyFont="1" applyFill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43" fontId="124" fillId="0" borderId="0" xfId="2" applyFont="1"/>
    <xf numFmtId="43" fontId="124" fillId="0" borderId="25" xfId="2" applyFont="1" applyBorder="1"/>
    <xf numFmtId="43" fontId="0" fillId="0" borderId="25" xfId="2" applyFont="1" applyBorder="1"/>
    <xf numFmtId="165" fontId="0" fillId="0" borderId="22" xfId="2" applyNumberFormat="1" applyFont="1" applyBorder="1"/>
    <xf numFmtId="0" fontId="3" fillId="4" borderId="1" xfId="10" applyFont="1" applyFill="1" applyBorder="1"/>
    <xf numFmtId="43" fontId="124" fillId="4" borderId="0" xfId="2" applyFont="1" applyFill="1"/>
    <xf numFmtId="0" fontId="77" fillId="31" borderId="7" xfId="0" applyFon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/>
    <xf numFmtId="0" fontId="77" fillId="0" borderId="7" xfId="0" applyFont="1" applyBorder="1"/>
    <xf numFmtId="0" fontId="77" fillId="0" borderId="41" xfId="0" applyFont="1" applyBorder="1"/>
    <xf numFmtId="164" fontId="98" fillId="2" borderId="2" xfId="4" applyFont="1" applyFill="1" applyBorder="1"/>
    <xf numFmtId="43" fontId="0" fillId="0" borderId="33" xfId="2" applyFont="1" applyBorder="1"/>
    <xf numFmtId="43" fontId="0" fillId="0" borderId="34" xfId="2" applyFont="1" applyBorder="1"/>
    <xf numFmtId="43" fontId="0" fillId="0" borderId="37" xfId="2" applyFont="1" applyBorder="1"/>
    <xf numFmtId="43" fontId="21" fillId="0" borderId="46" xfId="2" applyFont="1" applyBorder="1" applyAlignment="1">
      <alignment vertical="center"/>
    </xf>
    <xf numFmtId="0" fontId="0" fillId="32" borderId="33" xfId="0" applyFill="1" applyBorder="1"/>
    <xf numFmtId="0" fontId="0" fillId="32" borderId="32" xfId="0" applyFill="1" applyBorder="1"/>
    <xf numFmtId="0" fontId="0" fillId="32" borderId="22" xfId="0" applyFill="1" applyBorder="1"/>
    <xf numFmtId="0" fontId="0" fillId="33" borderId="33" xfId="0" applyFill="1" applyBorder="1"/>
    <xf numFmtId="0" fontId="0" fillId="33" borderId="34" xfId="0" applyFill="1" applyBorder="1"/>
    <xf numFmtId="0" fontId="3" fillId="0" borderId="57" xfId="0" applyFont="1" applyBorder="1" applyAlignment="1">
      <alignment horizontal="center"/>
    </xf>
    <xf numFmtId="165" fontId="0" fillId="2" borderId="1" xfId="2" applyNumberFormat="1" applyFont="1" applyFill="1" applyBorder="1" applyAlignment="1"/>
    <xf numFmtId="172" fontId="0" fillId="0" borderId="1" xfId="0" applyNumberFormat="1" applyBorder="1"/>
    <xf numFmtId="0" fontId="0" fillId="0" borderId="54" xfId="0" applyBorder="1"/>
    <xf numFmtId="43" fontId="0" fillId="2" borderId="2" xfId="2" applyFont="1" applyFill="1" applyBorder="1"/>
    <xf numFmtId="43" fontId="3" fillId="0" borderId="54" xfId="2" applyFont="1" applyBorder="1"/>
    <xf numFmtId="43" fontId="3" fillId="0" borderId="9" xfId="2" applyFont="1" applyBorder="1"/>
    <xf numFmtId="43" fontId="0" fillId="0" borderId="29" xfId="0" applyNumberFormat="1" applyBorder="1"/>
    <xf numFmtId="43" fontId="0" fillId="0" borderId="94" xfId="0" applyNumberFormat="1" applyBorder="1"/>
    <xf numFmtId="0" fontId="3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43" fontId="3" fillId="0" borderId="11" xfId="2" applyFont="1" applyBorder="1" applyAlignment="1">
      <alignment horizontal="center"/>
    </xf>
    <xf numFmtId="43" fontId="3" fillId="0" borderId="12" xfId="2" applyFont="1" applyBorder="1" applyAlignment="1">
      <alignment horizontal="center"/>
    </xf>
    <xf numFmtId="0" fontId="130" fillId="0" borderId="1" xfId="10" applyFont="1" applyBorder="1"/>
    <xf numFmtId="0" fontId="130" fillId="0" borderId="0" xfId="10" applyFont="1"/>
    <xf numFmtId="0" fontId="124" fillId="2" borderId="0" xfId="10" applyFill="1"/>
    <xf numFmtId="0" fontId="130" fillId="0" borderId="1" xfId="10" applyFont="1" applyBorder="1" applyAlignment="1">
      <alignment horizontal="center"/>
    </xf>
    <xf numFmtId="0" fontId="124" fillId="0" borderId="1" xfId="10" applyBorder="1"/>
    <xf numFmtId="1" fontId="124" fillId="0" borderId="1" xfId="1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right" vertical="center"/>
    </xf>
    <xf numFmtId="49" fontId="40" fillId="8" borderId="2" xfId="2" applyNumberFormat="1" applyFont="1" applyFill="1" applyBorder="1" applyAlignment="1">
      <alignment horizontal="right" vertical="center"/>
    </xf>
    <xf numFmtId="49" fontId="40" fillId="8" borderId="19" xfId="2" applyNumberFormat="1" applyFont="1" applyFill="1" applyBorder="1" applyAlignment="1">
      <alignment horizontal="right" vertical="center"/>
    </xf>
    <xf numFmtId="4" fontId="40" fillId="8" borderId="2" xfId="1" applyNumberFormat="1" applyFont="1" applyFill="1" applyBorder="1" applyAlignment="1">
      <alignment horizontal="right" vertical="center"/>
    </xf>
    <xf numFmtId="4" fontId="40" fillId="8" borderId="19" xfId="1" applyNumberFormat="1" applyFont="1" applyFill="1" applyBorder="1" applyAlignment="1">
      <alignment horizontal="right" vertical="center"/>
    </xf>
    <xf numFmtId="165" fontId="0" fillId="4" borderId="2" xfId="1" applyNumberFormat="1" applyFont="1" applyFill="1" applyBorder="1" applyAlignment="1">
      <alignment horizontal="center" vertical="center" wrapText="1"/>
    </xf>
    <xf numFmtId="165" fontId="0" fillId="4" borderId="28" xfId="1" applyNumberFormat="1" applyFont="1" applyFill="1" applyBorder="1" applyAlignment="1">
      <alignment horizontal="center" vertical="center" wrapText="1"/>
    </xf>
    <xf numFmtId="165" fontId="0" fillId="4" borderId="19" xfId="1" applyNumberFormat="1" applyFont="1" applyFill="1" applyBorder="1" applyAlignment="1">
      <alignment horizontal="center" vertical="center" wrapText="1"/>
    </xf>
    <xf numFmtId="165" fontId="0" fillId="15" borderId="2" xfId="1" applyNumberFormat="1" applyFont="1" applyFill="1" applyBorder="1" applyAlignment="1">
      <alignment horizontal="center" vertical="center" wrapText="1"/>
    </xf>
    <xf numFmtId="165" fontId="0" fillId="15" borderId="28" xfId="1" applyNumberFormat="1" applyFont="1" applyFill="1" applyBorder="1" applyAlignment="1">
      <alignment horizontal="center" vertical="center" wrapText="1"/>
    </xf>
    <xf numFmtId="165" fontId="0" fillId="15" borderId="19" xfId="1" applyNumberFormat="1" applyFont="1" applyFill="1" applyBorder="1" applyAlignment="1">
      <alignment horizontal="center" vertical="center" wrapText="1"/>
    </xf>
    <xf numFmtId="165" fontId="0" fillId="18" borderId="2" xfId="1" applyNumberFormat="1" applyFont="1" applyFill="1" applyBorder="1" applyAlignment="1">
      <alignment horizontal="center" vertical="center" wrapText="1"/>
    </xf>
    <xf numFmtId="165" fontId="0" fillId="18" borderId="28" xfId="1" applyNumberFormat="1" applyFont="1" applyFill="1" applyBorder="1" applyAlignment="1">
      <alignment horizontal="center" vertical="center" wrapText="1"/>
    </xf>
    <xf numFmtId="165" fontId="0" fillId="18" borderId="19" xfId="1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75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59" xfId="0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59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8" fillId="0" borderId="59" xfId="0" applyFont="1" applyBorder="1" applyAlignment="1">
      <alignment horizontal="center"/>
    </xf>
    <xf numFmtId="0" fontId="0" fillId="0" borderId="0" xfId="0" applyBorder="1"/>
    <xf numFmtId="43" fontId="77" fillId="0" borderId="0" xfId="2" applyFont="1" applyBorder="1"/>
    <xf numFmtId="0" fontId="109" fillId="0" borderId="1" xfId="6" applyFont="1" applyBorder="1" applyAlignment="1">
      <alignment horizontal="left"/>
    </xf>
    <xf numFmtId="0" fontId="0" fillId="33" borderId="1" xfId="0" applyFill="1" applyBorder="1"/>
    <xf numFmtId="165" fontId="77" fillId="2" borderId="0" xfId="0" applyNumberFormat="1" applyFont="1" applyFill="1" applyAlignment="1">
      <alignment horizontal="center"/>
    </xf>
  </cellXfs>
  <cellStyles count="12">
    <cellStyle name="Comma" xfId="2" builtinId="3"/>
    <cellStyle name="Comma 2" xfId="11" xr:uid="{477C5131-9B3C-43DE-8E96-209E29464E3A}"/>
    <cellStyle name="Comma 2 2" xfId="5" xr:uid="{545BEBF3-5129-431F-84E1-2C59CCF700CB}"/>
    <cellStyle name="Comma 2 2 2" xfId="9" xr:uid="{1ABDF46E-D74A-485D-845B-3B22714F0A2D}"/>
    <cellStyle name="Comma 3 2 2" xfId="4" xr:uid="{3C511125-7A84-42D1-BA09-4EB851B4020E}"/>
    <cellStyle name="Comma 3 2 2 2" xfId="8" xr:uid="{6792CC07-EC7C-4AB6-9356-915EBBAF255D}"/>
    <cellStyle name="Normal" xfId="0" builtinId="0"/>
    <cellStyle name="Normal 2" xfId="6" xr:uid="{5C8C3C06-42BF-4B06-BDD3-629BEB55169E}"/>
    <cellStyle name="Normal 2 2" xfId="3" xr:uid="{C8AF0E0B-1079-409E-96C1-C858AD22B18F}"/>
    <cellStyle name="Normal 3" xfId="7" xr:uid="{3923CCEE-DC9D-4778-A971-BAB53DF72094}"/>
    <cellStyle name="Normal 4" xfId="10" xr:uid="{078A2E38-0A17-4080-BB68-D710C41A73C7}"/>
    <cellStyle name="RowLevel_4" xfId="1" builtinId="1" iLevel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4.xml"/><Relationship Id="rId75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d\AppData\Local\Microsoft\Windows\INetCache\Content.Outlook\W05LHC1X\GIKANDA%20OFFERS.xlsx" TargetMode="External"/><Relationship Id="rId1" Type="http://schemas.openxmlformats.org/officeDocument/2006/relationships/externalLinkPath" Target="file:///C:\Users\jad\AppData\Local\Microsoft\Windows\INetCache\Content.Outlook\W05LHC1X\GIKANDA%20OFFE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kg2017-my.sharepoint.com/personal/daniel_magu_nkg_coffee/Documents/Documents/BARAGWI%20FCS%20DSS%20OFFER%20SAMPLES%20%2030.03.2026.xlsx" TargetMode="External"/><Relationship Id="rId1" Type="http://schemas.openxmlformats.org/officeDocument/2006/relationships/externalLinkPath" Target="https://nkg2017-my.sharepoint.com/personal/daniel_magu_nkg_coffee/Documents/Documents/BARAGWI%20FCS%20DSS%20OFFER%20SAMPLES%20%2030.03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kg2017-my.sharepoint.com/personal/bramwel_ofuya_nkg_coffee/Documents/Downloads/XBS%20-%20Stock%20Delivery%20Status%20-%2031-Jul-2026%20%20-%20%20103857.xlsx" TargetMode="External"/><Relationship Id="rId1" Type="http://schemas.openxmlformats.org/officeDocument/2006/relationships/externalLinkPath" Target="https://nkg2017-my.sharepoint.com/personal/bramwel_ofuya_nkg_coffee/Documents/Downloads/XBS%20-%20Stock%20Delivery%20Status%20-%2031-Jul-2026%20%20-%20%2010385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fuya\AppData\Local\Microsoft\Windows\INetCache\Content.Outlook\YCQ8J9XP\BARAGWI%20FCS%20CONFIRMED%20LIST%2016072026.xlsx" TargetMode="External"/><Relationship Id="rId1" Type="http://schemas.openxmlformats.org/officeDocument/2006/relationships/externalLinkPath" Target="file:///C:\Users\bofuya\AppData\Local\Microsoft\Windows\INetCache\Content.Outlook\YCQ8J9XP\BARAGWI%20FCS%20CONFIRMED%20LIST%201607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kg2017-my.sharepoint.com/personal/bramwel_ofuya_nkg_coffee/Documents/Downloads/XBS%20-%20Stock%20Delivery%20Status%20-%2012-Aug-2026%20%20-%20%20154923.xlsx" TargetMode="External"/><Relationship Id="rId1" Type="http://schemas.openxmlformats.org/officeDocument/2006/relationships/externalLinkPath" Target="https://nkg2017-my.sharepoint.com/personal/bramwel_ofuya_nkg_coffee/Documents/Downloads/XBS%20-%20Stock%20Delivery%20Status%20-%2012-Aug-2026%20%20-%20%201549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KANDA FCS "/>
    </sheetNames>
    <sheetDataSet>
      <sheetData sheetId="0" refreshError="1">
        <row r="1">
          <cell r="H1" t="str">
            <v>KG</v>
          </cell>
          <cell r="I1" t="str">
            <v>60kg bags</v>
          </cell>
          <cell r="J1" t="str">
            <v>COUNTER OFFER</v>
          </cell>
          <cell r="K1" t="str">
            <v>NEW OFFER</v>
          </cell>
        </row>
        <row r="2">
          <cell r="H2">
            <v>5157</v>
          </cell>
          <cell r="I2">
            <v>85.95</v>
          </cell>
          <cell r="J2" t="e">
            <v>#N/A</v>
          </cell>
          <cell r="K2">
            <v>350</v>
          </cell>
        </row>
        <row r="3">
          <cell r="H3">
            <v>4328</v>
          </cell>
          <cell r="I3">
            <v>72.13333333333334</v>
          </cell>
          <cell r="J3" t="e">
            <v>#N/A</v>
          </cell>
          <cell r="K3">
            <v>330</v>
          </cell>
        </row>
        <row r="4">
          <cell r="H4">
            <v>4041</v>
          </cell>
          <cell r="I4">
            <v>67.349999999999994</v>
          </cell>
          <cell r="J4" t="e">
            <v>#N/A</v>
          </cell>
          <cell r="K4">
            <v>250</v>
          </cell>
        </row>
        <row r="5">
          <cell r="H5">
            <v>6549</v>
          </cell>
          <cell r="I5">
            <v>109.15</v>
          </cell>
          <cell r="J5" t="e">
            <v>#N/A</v>
          </cell>
          <cell r="K5">
            <v>325</v>
          </cell>
        </row>
        <row r="6">
          <cell r="H6">
            <v>1153</v>
          </cell>
          <cell r="I6">
            <v>19.216666666666665</v>
          </cell>
          <cell r="J6" t="e">
            <v>#N/A</v>
          </cell>
          <cell r="K6">
            <v>250</v>
          </cell>
        </row>
        <row r="7">
          <cell r="H7">
            <v>4782</v>
          </cell>
          <cell r="I7">
            <v>79.7</v>
          </cell>
          <cell r="J7" t="e">
            <v>#N/A</v>
          </cell>
          <cell r="K7">
            <v>330</v>
          </cell>
        </row>
        <row r="8">
          <cell r="H8">
            <v>5731</v>
          </cell>
          <cell r="I8">
            <v>95.516666666666666</v>
          </cell>
          <cell r="J8" t="e">
            <v>#N/A</v>
          </cell>
          <cell r="K8">
            <v>250</v>
          </cell>
        </row>
        <row r="9">
          <cell r="H9">
            <v>5663</v>
          </cell>
          <cell r="I9">
            <v>94.38333333333334</v>
          </cell>
          <cell r="J9" t="e">
            <v>#N/A</v>
          </cell>
          <cell r="K9">
            <v>350</v>
          </cell>
        </row>
        <row r="10">
          <cell r="H10">
            <v>5504</v>
          </cell>
          <cell r="I10">
            <v>91.733333333333334</v>
          </cell>
          <cell r="J10" t="e">
            <v>#N/A</v>
          </cell>
          <cell r="K10">
            <v>330</v>
          </cell>
        </row>
        <row r="11">
          <cell r="H11">
            <v>764</v>
          </cell>
          <cell r="I11">
            <v>12.733333333333333</v>
          </cell>
          <cell r="J11" t="e">
            <v>#N/A</v>
          </cell>
          <cell r="K11">
            <v>310</v>
          </cell>
        </row>
        <row r="12">
          <cell r="H12">
            <v>2083</v>
          </cell>
          <cell r="I12">
            <v>34.716666666666669</v>
          </cell>
          <cell r="J12" t="e">
            <v>#N/A</v>
          </cell>
          <cell r="K12">
            <v>350</v>
          </cell>
        </row>
        <row r="13">
          <cell r="H13">
            <v>2015</v>
          </cell>
          <cell r="I13">
            <v>33.583333333333336</v>
          </cell>
          <cell r="J13" t="e">
            <v>#N/A</v>
          </cell>
          <cell r="K13">
            <v>330</v>
          </cell>
        </row>
        <row r="14">
          <cell r="H14">
            <v>3048</v>
          </cell>
          <cell r="I14">
            <v>50.8</v>
          </cell>
          <cell r="J14" t="e">
            <v>#N/A</v>
          </cell>
          <cell r="K14">
            <v>350</v>
          </cell>
        </row>
        <row r="15">
          <cell r="H15">
            <v>487</v>
          </cell>
          <cell r="I15">
            <v>8.1166666666666671</v>
          </cell>
          <cell r="J15" t="e">
            <v>#N/A</v>
          </cell>
          <cell r="K15">
            <v>310</v>
          </cell>
        </row>
        <row r="16">
          <cell r="H16">
            <v>711</v>
          </cell>
          <cell r="I16">
            <v>11.85</v>
          </cell>
          <cell r="J16" t="e">
            <v>#N/A</v>
          </cell>
          <cell r="K16">
            <v>330</v>
          </cell>
        </row>
        <row r="17">
          <cell r="H17">
            <v>6932</v>
          </cell>
          <cell r="I17">
            <v>115.53333333333333</v>
          </cell>
          <cell r="J17" t="e">
            <v>#N/A</v>
          </cell>
          <cell r="K17">
            <v>350</v>
          </cell>
        </row>
        <row r="18">
          <cell r="H18">
            <v>5957</v>
          </cell>
          <cell r="I18">
            <v>99.283333333333331</v>
          </cell>
          <cell r="J18" t="e">
            <v>#N/A</v>
          </cell>
          <cell r="K18">
            <v>330</v>
          </cell>
        </row>
        <row r="19">
          <cell r="H19">
            <v>549</v>
          </cell>
          <cell r="I19">
            <v>9.15</v>
          </cell>
          <cell r="J19" t="e">
            <v>#N/A</v>
          </cell>
          <cell r="K19">
            <v>310</v>
          </cell>
        </row>
        <row r="20">
          <cell r="H20">
            <v>923</v>
          </cell>
          <cell r="I20">
            <v>15.383333333333333</v>
          </cell>
          <cell r="J20" t="e">
            <v>#N/A</v>
          </cell>
          <cell r="K20">
            <v>330</v>
          </cell>
        </row>
        <row r="21">
          <cell r="H21">
            <v>752</v>
          </cell>
          <cell r="I21">
            <v>12.533333333333333</v>
          </cell>
          <cell r="J21" t="e">
            <v>#N/A</v>
          </cell>
          <cell r="K21">
            <v>250</v>
          </cell>
        </row>
        <row r="22">
          <cell r="H22">
            <v>1198</v>
          </cell>
          <cell r="I22">
            <v>19.966666666666665</v>
          </cell>
          <cell r="J22" t="e">
            <v>#N/A</v>
          </cell>
          <cell r="K22">
            <v>325</v>
          </cell>
        </row>
        <row r="23">
          <cell r="H23">
            <v>264</v>
          </cell>
          <cell r="I23">
            <v>4.4000000000000004</v>
          </cell>
          <cell r="J23" t="e">
            <v>#N/A</v>
          </cell>
          <cell r="K23">
            <v>250</v>
          </cell>
        </row>
        <row r="24">
          <cell r="H24">
            <v>779</v>
          </cell>
          <cell r="I24">
            <v>12.983333333333333</v>
          </cell>
          <cell r="J24" t="e">
            <v>#N/A</v>
          </cell>
          <cell r="K24">
            <v>250</v>
          </cell>
        </row>
        <row r="25">
          <cell r="H25">
            <v>427</v>
          </cell>
          <cell r="I25">
            <v>7.1166666666666663</v>
          </cell>
          <cell r="J25" t="e">
            <v>#N/A</v>
          </cell>
          <cell r="K25">
            <v>250</v>
          </cell>
        </row>
        <row r="26">
          <cell r="H26">
            <v>452</v>
          </cell>
          <cell r="I26">
            <v>7.5333333333333332</v>
          </cell>
          <cell r="J26" t="e">
            <v>#N/A</v>
          </cell>
          <cell r="K26">
            <v>250</v>
          </cell>
        </row>
        <row r="27">
          <cell r="H27">
            <v>1792</v>
          </cell>
          <cell r="I27">
            <v>29.866666666666667</v>
          </cell>
          <cell r="J27" t="e">
            <v>#N/A</v>
          </cell>
          <cell r="K27">
            <v>330</v>
          </cell>
        </row>
        <row r="28">
          <cell r="H28">
            <v>1850</v>
          </cell>
          <cell r="I28">
            <v>30.833333333333332</v>
          </cell>
          <cell r="J28" t="e">
            <v>#N/A</v>
          </cell>
          <cell r="K28">
            <v>330</v>
          </cell>
        </row>
        <row r="29">
          <cell r="H29">
            <v>248</v>
          </cell>
          <cell r="I29">
            <v>4.1333333333333337</v>
          </cell>
          <cell r="J29" t="e">
            <v>#N/A</v>
          </cell>
          <cell r="K29">
            <v>310</v>
          </cell>
        </row>
        <row r="30">
          <cell r="H30">
            <v>6731</v>
          </cell>
          <cell r="I30">
            <v>112.18333333333334</v>
          </cell>
          <cell r="J30" t="e">
            <v>#N/A</v>
          </cell>
          <cell r="K30">
            <v>350</v>
          </cell>
        </row>
        <row r="31">
          <cell r="H31">
            <v>555</v>
          </cell>
          <cell r="I31">
            <v>9.25</v>
          </cell>
          <cell r="J31" t="e">
            <v>#N/A</v>
          </cell>
          <cell r="K31">
            <v>250</v>
          </cell>
        </row>
        <row r="32">
          <cell r="H32">
            <v>538</v>
          </cell>
          <cell r="I32">
            <v>8.9666666666666668</v>
          </cell>
          <cell r="J32" t="e">
            <v>#N/A</v>
          </cell>
          <cell r="K32">
            <v>250</v>
          </cell>
        </row>
        <row r="33">
          <cell r="H33">
            <v>642</v>
          </cell>
          <cell r="I33">
            <v>10.7</v>
          </cell>
          <cell r="J33" t="e">
            <v>#N/A</v>
          </cell>
          <cell r="K33">
            <v>250</v>
          </cell>
        </row>
        <row r="34">
          <cell r="H34">
            <v>350</v>
          </cell>
          <cell r="I34">
            <v>5.833333333333333</v>
          </cell>
          <cell r="J34" t="e">
            <v>#N/A</v>
          </cell>
          <cell r="K34">
            <v>250</v>
          </cell>
        </row>
        <row r="35">
          <cell r="H35">
            <v>907</v>
          </cell>
          <cell r="I35">
            <v>15.116666666666667</v>
          </cell>
          <cell r="J35" t="e">
            <v>#N/A</v>
          </cell>
          <cell r="K35">
            <v>325</v>
          </cell>
        </row>
        <row r="36">
          <cell r="H36">
            <v>533</v>
          </cell>
          <cell r="I36">
            <v>8.8833333333333329</v>
          </cell>
          <cell r="J36" t="e">
            <v>#N/A</v>
          </cell>
          <cell r="K36">
            <v>250</v>
          </cell>
        </row>
        <row r="37">
          <cell r="H37">
            <v>1137</v>
          </cell>
          <cell r="I37">
            <v>18.95</v>
          </cell>
          <cell r="J37" t="e">
            <v>#N/A</v>
          </cell>
          <cell r="K37">
            <v>335</v>
          </cell>
        </row>
        <row r="38">
          <cell r="H38">
            <v>1618</v>
          </cell>
          <cell r="I38">
            <v>26.966666666666665</v>
          </cell>
          <cell r="J38" t="e">
            <v>#N/A</v>
          </cell>
          <cell r="K38">
            <v>250</v>
          </cell>
        </row>
        <row r="39">
          <cell r="H39">
            <v>951</v>
          </cell>
          <cell r="I39">
            <v>15.85</v>
          </cell>
          <cell r="J39" t="e">
            <v>#N/A</v>
          </cell>
          <cell r="K39">
            <v>250</v>
          </cell>
        </row>
        <row r="40">
          <cell r="H40">
            <v>309</v>
          </cell>
          <cell r="I40">
            <v>5.15</v>
          </cell>
          <cell r="J40" t="e">
            <v>#N/A</v>
          </cell>
          <cell r="K40">
            <v>250</v>
          </cell>
        </row>
        <row r="41">
          <cell r="H41">
            <v>1015</v>
          </cell>
          <cell r="I41">
            <v>16.916666666666668</v>
          </cell>
          <cell r="J41" t="e">
            <v>#N/A</v>
          </cell>
          <cell r="K41">
            <v>250</v>
          </cell>
        </row>
        <row r="42">
          <cell r="H42">
            <v>311</v>
          </cell>
          <cell r="I42">
            <v>5.1833333333333336</v>
          </cell>
          <cell r="J42" t="e">
            <v>#N/A</v>
          </cell>
          <cell r="K42">
            <v>250</v>
          </cell>
        </row>
        <row r="43">
          <cell r="H43">
            <v>578</v>
          </cell>
          <cell r="I43">
            <v>9.6333333333333329</v>
          </cell>
          <cell r="J43" t="e">
            <v>#N/A</v>
          </cell>
          <cell r="K43">
            <v>325</v>
          </cell>
        </row>
        <row r="44">
          <cell r="H44">
            <v>414</v>
          </cell>
          <cell r="I44">
            <v>6.9</v>
          </cell>
          <cell r="J44" t="e">
            <v>#N/A</v>
          </cell>
          <cell r="K44">
            <v>325</v>
          </cell>
        </row>
        <row r="45">
          <cell r="H45">
            <v>589</v>
          </cell>
          <cell r="I45">
            <v>9.8166666666666664</v>
          </cell>
          <cell r="J45" t="e">
            <v>#N/A</v>
          </cell>
          <cell r="K45">
            <v>250</v>
          </cell>
        </row>
        <row r="46">
          <cell r="H46">
            <v>358</v>
          </cell>
          <cell r="I46">
            <v>5.9666666666666668</v>
          </cell>
          <cell r="J46" t="e">
            <v>#N/A</v>
          </cell>
          <cell r="K46">
            <v>310</v>
          </cell>
        </row>
        <row r="47">
          <cell r="H47">
            <v>533</v>
          </cell>
          <cell r="I47">
            <v>8.8833333333333329</v>
          </cell>
          <cell r="J47" t="e">
            <v>#N/A</v>
          </cell>
          <cell r="K47">
            <v>250</v>
          </cell>
        </row>
        <row r="48">
          <cell r="H48">
            <v>544</v>
          </cell>
          <cell r="I48">
            <v>9.0666666666666664</v>
          </cell>
          <cell r="J48" t="e">
            <v>#N/A</v>
          </cell>
          <cell r="K48">
            <v>310</v>
          </cell>
        </row>
        <row r="49">
          <cell r="H49">
            <v>3120</v>
          </cell>
          <cell r="I49">
            <v>52</v>
          </cell>
          <cell r="J49" t="e">
            <v>#N/A</v>
          </cell>
          <cell r="K49">
            <v>140</v>
          </cell>
        </row>
        <row r="50">
          <cell r="H50">
            <v>893</v>
          </cell>
          <cell r="I50">
            <v>14.883333333333333</v>
          </cell>
          <cell r="J50" t="e">
            <v>#N/A</v>
          </cell>
          <cell r="K50">
            <v>140</v>
          </cell>
        </row>
        <row r="51">
          <cell r="H51">
            <v>1278</v>
          </cell>
          <cell r="I51">
            <v>21.3</v>
          </cell>
          <cell r="J51" t="e">
            <v>#N/A</v>
          </cell>
          <cell r="K51">
            <v>250</v>
          </cell>
        </row>
        <row r="52">
          <cell r="H52">
            <v>996</v>
          </cell>
          <cell r="I52">
            <v>16.600000000000001</v>
          </cell>
          <cell r="J52" t="e">
            <v>#N/A</v>
          </cell>
          <cell r="K52">
            <v>250</v>
          </cell>
        </row>
        <row r="53">
          <cell r="H53">
            <v>1060</v>
          </cell>
          <cell r="I53">
            <v>17.666666666666668</v>
          </cell>
          <cell r="J53" t="e">
            <v>#N/A</v>
          </cell>
          <cell r="K53">
            <v>250</v>
          </cell>
        </row>
        <row r="54">
          <cell r="H54">
            <v>534</v>
          </cell>
          <cell r="I54">
            <v>8.9</v>
          </cell>
          <cell r="J54" t="e">
            <v>#N/A</v>
          </cell>
          <cell r="K54">
            <v>325</v>
          </cell>
        </row>
        <row r="55">
          <cell r="H55">
            <v>299</v>
          </cell>
          <cell r="I55">
            <v>4.9833333333333334</v>
          </cell>
          <cell r="J55" t="e">
            <v>#N/A</v>
          </cell>
          <cell r="K55">
            <v>250</v>
          </cell>
        </row>
        <row r="56">
          <cell r="H56">
            <v>572</v>
          </cell>
          <cell r="I56">
            <v>9.5333333333333332</v>
          </cell>
          <cell r="J56" t="e">
            <v>#N/A</v>
          </cell>
          <cell r="K56">
            <v>250</v>
          </cell>
        </row>
        <row r="57">
          <cell r="H57">
            <v>327</v>
          </cell>
          <cell r="I57">
            <v>5.45</v>
          </cell>
          <cell r="J57" t="e">
            <v>#N/A</v>
          </cell>
          <cell r="K57">
            <v>330</v>
          </cell>
        </row>
        <row r="58">
          <cell r="H58">
            <v>334</v>
          </cell>
          <cell r="I58">
            <v>5.5666666666666664</v>
          </cell>
          <cell r="J58" t="e">
            <v>#N/A</v>
          </cell>
          <cell r="K58">
            <v>250</v>
          </cell>
        </row>
        <row r="59">
          <cell r="H59">
            <v>977</v>
          </cell>
          <cell r="I59">
            <v>16.283333333333335</v>
          </cell>
          <cell r="J59" t="e">
            <v>#N/A</v>
          </cell>
          <cell r="K59">
            <v>250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Counter"/>
      <sheetName val="FAQ"/>
      <sheetName val="Grinder"/>
    </sheetNames>
    <sheetDataSet>
      <sheetData sheetId="0"/>
      <sheetData sheetId="1"/>
      <sheetData sheetId="2"/>
      <sheetData sheetId="3"/>
      <sheetData sheetId="4">
        <row r="1">
          <cell r="Q1">
            <v>301.35000000000002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Delivery Status"/>
      <sheetName val="FAQ"/>
      <sheetName val="Grinder"/>
      <sheetName val="Sheet1"/>
    </sheetNames>
    <sheetDataSet>
      <sheetData sheetId="0"/>
      <sheetData sheetId="1">
        <row r="2">
          <cell r="AL2" t="str">
            <v>41IM0048AA</v>
          </cell>
          <cell r="AM2">
            <v>195.4</v>
          </cell>
          <cell r="AN2">
            <v>195.4</v>
          </cell>
        </row>
        <row r="3">
          <cell r="AL3" t="str">
            <v>41IM0052AA</v>
          </cell>
          <cell r="AM3">
            <v>556</v>
          </cell>
          <cell r="AN3">
            <v>556</v>
          </cell>
        </row>
        <row r="4">
          <cell r="AL4" t="str">
            <v>41IM0053AA</v>
          </cell>
          <cell r="AM4">
            <v>212.4</v>
          </cell>
          <cell r="AN4">
            <v>212.4</v>
          </cell>
        </row>
        <row r="5">
          <cell r="AL5" t="str">
            <v>41IM0057AA</v>
          </cell>
          <cell r="AM5">
            <v>0</v>
          </cell>
          <cell r="AN5">
            <v>0</v>
          </cell>
        </row>
        <row r="6">
          <cell r="AL6" t="str">
            <v>41IM0058AA</v>
          </cell>
          <cell r="AM6">
            <v>0</v>
          </cell>
          <cell r="AN6">
            <v>214.4</v>
          </cell>
        </row>
        <row r="7">
          <cell r="AL7" t="str">
            <v>41IM0049AA</v>
          </cell>
          <cell r="AM7">
            <v>891.5</v>
          </cell>
          <cell r="AN7">
            <v>891.5</v>
          </cell>
        </row>
        <row r="8">
          <cell r="AL8" t="str">
            <v>41IM0063AA</v>
          </cell>
          <cell r="AM8">
            <v>408.7</v>
          </cell>
          <cell r="AN8">
            <v>408.7</v>
          </cell>
        </row>
        <row r="9">
          <cell r="AL9" t="str">
            <v>41IM0054AA</v>
          </cell>
          <cell r="AM9">
            <v>681.2</v>
          </cell>
          <cell r="AN9">
            <v>681.2</v>
          </cell>
        </row>
        <row r="10">
          <cell r="AL10" t="str">
            <v>41IM0050AA</v>
          </cell>
          <cell r="AM10">
            <v>0</v>
          </cell>
          <cell r="AN10">
            <v>324.60000000000002</v>
          </cell>
        </row>
        <row r="11">
          <cell r="AL11" t="str">
            <v>42IM2001AA</v>
          </cell>
          <cell r="AM11">
            <v>397.7</v>
          </cell>
          <cell r="AN11">
            <v>397.7</v>
          </cell>
        </row>
        <row r="12">
          <cell r="AL12" t="str">
            <v>41IM0051AA</v>
          </cell>
          <cell r="AM12">
            <v>480.8</v>
          </cell>
          <cell r="AN12">
            <v>480.8</v>
          </cell>
        </row>
        <row r="13">
          <cell r="AL13" t="str">
            <v>41IM0053AB</v>
          </cell>
          <cell r="AM13">
            <v>0</v>
          </cell>
          <cell r="AN13">
            <v>1820.1</v>
          </cell>
        </row>
        <row r="14">
          <cell r="AL14" t="str">
            <v>41IM0055AB</v>
          </cell>
          <cell r="AM14">
            <v>1559.6</v>
          </cell>
          <cell r="AN14">
            <v>1559.6</v>
          </cell>
        </row>
        <row r="15">
          <cell r="AL15" t="str">
            <v>41IM0048AB</v>
          </cell>
          <cell r="AM15">
            <v>0</v>
          </cell>
          <cell r="AN15">
            <v>2606.4</v>
          </cell>
        </row>
        <row r="16">
          <cell r="AL16" t="str">
            <v>41IM0056AB</v>
          </cell>
          <cell r="AM16">
            <v>0</v>
          </cell>
          <cell r="AN16">
            <v>2251.8000000000002</v>
          </cell>
        </row>
        <row r="17">
          <cell r="AL17" t="str">
            <v>41IM0057AB</v>
          </cell>
          <cell r="AM17">
            <v>0</v>
          </cell>
          <cell r="AN17">
            <v>1649.8</v>
          </cell>
        </row>
        <row r="18">
          <cell r="AL18" t="str">
            <v>41IM0058AB</v>
          </cell>
          <cell r="AM18">
            <v>1671.8</v>
          </cell>
          <cell r="AN18">
            <v>1671.8</v>
          </cell>
        </row>
        <row r="19">
          <cell r="AL19" t="str">
            <v>41IM0066AB</v>
          </cell>
          <cell r="AM19">
            <v>0</v>
          </cell>
          <cell r="AN19">
            <v>2863.8</v>
          </cell>
        </row>
        <row r="20">
          <cell r="AL20" t="str">
            <v>41IM0054AB</v>
          </cell>
          <cell r="AM20">
            <v>0</v>
          </cell>
          <cell r="AN20">
            <v>4703.8</v>
          </cell>
        </row>
        <row r="21">
          <cell r="AL21" t="str">
            <v>41IM0049AB</v>
          </cell>
          <cell r="AM21">
            <v>5951</v>
          </cell>
          <cell r="AN21">
            <v>5951</v>
          </cell>
        </row>
        <row r="22">
          <cell r="AL22" t="str">
            <v>41IM0063AB</v>
          </cell>
          <cell r="AM22">
            <v>3020</v>
          </cell>
          <cell r="AN22">
            <v>3020</v>
          </cell>
        </row>
        <row r="23">
          <cell r="AL23" t="str">
            <v>41IM0065AB</v>
          </cell>
          <cell r="AM23">
            <v>705.2</v>
          </cell>
          <cell r="AN23">
            <v>705.2</v>
          </cell>
        </row>
        <row r="24">
          <cell r="AL24" t="str">
            <v>41IM0052AB</v>
          </cell>
          <cell r="AM24">
            <v>4797</v>
          </cell>
          <cell r="AN24">
            <v>4797</v>
          </cell>
        </row>
        <row r="25">
          <cell r="AL25" t="str">
            <v>41IM0050AB</v>
          </cell>
          <cell r="AM25">
            <v>0</v>
          </cell>
          <cell r="AN25">
            <v>3026.1</v>
          </cell>
        </row>
        <row r="26">
          <cell r="AL26" t="str">
            <v>41IM0051AB</v>
          </cell>
          <cell r="AM26">
            <v>2300.9</v>
          </cell>
          <cell r="AN26">
            <v>2300.9</v>
          </cell>
        </row>
        <row r="27">
          <cell r="AL27" t="str">
            <v>41IM0051C</v>
          </cell>
          <cell r="AM27">
            <v>3509.9</v>
          </cell>
          <cell r="AN27">
            <v>3509.9</v>
          </cell>
        </row>
        <row r="28">
          <cell r="AL28" t="str">
            <v>41IM0052C</v>
          </cell>
          <cell r="AM28">
            <v>4479.3999999999996</v>
          </cell>
          <cell r="AN28">
            <v>4479.3999999999996</v>
          </cell>
        </row>
        <row r="29">
          <cell r="AL29" t="str">
            <v>41IM0053C</v>
          </cell>
          <cell r="AM29">
            <v>3407.7</v>
          </cell>
          <cell r="AN29">
            <v>3407.7</v>
          </cell>
        </row>
        <row r="30">
          <cell r="AL30" t="str">
            <v>41IM0055C</v>
          </cell>
          <cell r="AM30">
            <v>1981</v>
          </cell>
          <cell r="AN30">
            <v>1981.3</v>
          </cell>
        </row>
        <row r="31">
          <cell r="AL31" t="str">
            <v>41IM0056C</v>
          </cell>
          <cell r="AM31">
            <v>0</v>
          </cell>
          <cell r="AN31">
            <v>2808.7</v>
          </cell>
        </row>
        <row r="32">
          <cell r="AL32" t="str">
            <v>41IM0057C</v>
          </cell>
          <cell r="AM32">
            <v>1250.0999999999999</v>
          </cell>
          <cell r="AN32">
            <v>1250.0999999999999</v>
          </cell>
        </row>
        <row r="33">
          <cell r="AL33" t="str">
            <v>41IM0048C</v>
          </cell>
          <cell r="AM33">
            <v>3472</v>
          </cell>
          <cell r="AN33">
            <v>3476.8</v>
          </cell>
        </row>
        <row r="34">
          <cell r="AL34" t="str">
            <v>41IM0058C</v>
          </cell>
          <cell r="AM34">
            <v>1564</v>
          </cell>
          <cell r="AN34">
            <v>1563.6</v>
          </cell>
        </row>
        <row r="35">
          <cell r="AL35" t="str">
            <v>41IM0066C</v>
          </cell>
          <cell r="AM35">
            <v>3347.6</v>
          </cell>
          <cell r="AN35">
            <v>3347.6</v>
          </cell>
        </row>
        <row r="36">
          <cell r="AL36" t="str">
            <v>41IM0054C</v>
          </cell>
          <cell r="AM36">
            <v>3723</v>
          </cell>
          <cell r="AN36">
            <v>3728.2</v>
          </cell>
        </row>
        <row r="37">
          <cell r="AL37" t="str">
            <v>41IM0049C</v>
          </cell>
          <cell r="AM37">
            <v>5893.8</v>
          </cell>
          <cell r="AN37">
            <v>5893.8</v>
          </cell>
        </row>
        <row r="38">
          <cell r="AL38" t="str">
            <v>41IM0063C</v>
          </cell>
          <cell r="AM38">
            <v>2175.6999999999998</v>
          </cell>
          <cell r="AN38">
            <v>2175.6999999999998</v>
          </cell>
        </row>
        <row r="39">
          <cell r="AL39" t="str">
            <v>41IM0065C</v>
          </cell>
          <cell r="AM39">
            <v>607</v>
          </cell>
          <cell r="AN39">
            <v>607</v>
          </cell>
        </row>
        <row r="40">
          <cell r="AL40" t="str">
            <v>41IM0050C</v>
          </cell>
          <cell r="AM40">
            <v>2500</v>
          </cell>
          <cell r="AN40">
            <v>2500.1999999999998</v>
          </cell>
        </row>
        <row r="41">
          <cell r="AL41" t="str">
            <v>41IM0051PB</v>
          </cell>
          <cell r="AM41">
            <v>367.7</v>
          </cell>
          <cell r="AN41">
            <v>367.7</v>
          </cell>
        </row>
        <row r="42">
          <cell r="AL42" t="str">
            <v>41IM0052PB</v>
          </cell>
          <cell r="AM42">
            <v>474.8</v>
          </cell>
          <cell r="AN42">
            <v>474.8</v>
          </cell>
        </row>
        <row r="43">
          <cell r="AL43" t="str">
            <v>41IM0053PB</v>
          </cell>
          <cell r="AM43">
            <v>0</v>
          </cell>
          <cell r="AN43">
            <v>279.5</v>
          </cell>
        </row>
        <row r="44">
          <cell r="AL44" t="str">
            <v>41IM0055PB</v>
          </cell>
          <cell r="AM44">
            <v>200</v>
          </cell>
          <cell r="AN44">
            <v>200.4</v>
          </cell>
        </row>
        <row r="45">
          <cell r="AL45" t="str">
            <v>41IM0056PB</v>
          </cell>
          <cell r="AM45">
            <v>286</v>
          </cell>
          <cell r="AN45">
            <v>285.5</v>
          </cell>
        </row>
        <row r="46">
          <cell r="AL46" t="str">
            <v>41IM0066PB</v>
          </cell>
          <cell r="AM46">
            <v>359</v>
          </cell>
          <cell r="AN46">
            <v>358.6</v>
          </cell>
        </row>
        <row r="47">
          <cell r="AL47" t="str">
            <v>41IM0049PB</v>
          </cell>
          <cell r="AM47">
            <v>674.2</v>
          </cell>
          <cell r="AN47">
            <v>674.2</v>
          </cell>
        </row>
        <row r="48">
          <cell r="AL48" t="str">
            <v>41IM0048PB</v>
          </cell>
          <cell r="AM48">
            <v>314.60000000000002</v>
          </cell>
          <cell r="AN48">
            <v>314.60000000000002</v>
          </cell>
        </row>
        <row r="49">
          <cell r="AL49" t="str">
            <v>41IM0063PB</v>
          </cell>
          <cell r="AM49">
            <v>237.4</v>
          </cell>
          <cell r="AN49">
            <v>237.4</v>
          </cell>
        </row>
        <row r="50">
          <cell r="AL50" t="str">
            <v>41IM0054PB</v>
          </cell>
          <cell r="AM50">
            <v>432.8</v>
          </cell>
          <cell r="AN50">
            <v>432.8</v>
          </cell>
        </row>
        <row r="51">
          <cell r="AL51" t="str">
            <v>42IM2005PB</v>
          </cell>
          <cell r="AM51">
            <v>338.6</v>
          </cell>
          <cell r="AN51">
            <v>338.6</v>
          </cell>
        </row>
        <row r="52">
          <cell r="AL52" t="str">
            <v>41IM0050PB</v>
          </cell>
          <cell r="AM52">
            <v>268.5</v>
          </cell>
          <cell r="AN52">
            <v>268.5</v>
          </cell>
        </row>
      </sheetData>
      <sheetData sheetId="2">
        <row r="2">
          <cell r="U2" t="str">
            <v>42IM2014HE</v>
          </cell>
          <cell r="V2">
            <v>184.3</v>
          </cell>
        </row>
        <row r="3">
          <cell r="U3" t="str">
            <v>41IM0048T</v>
          </cell>
          <cell r="V3">
            <v>1006.7</v>
          </cell>
        </row>
        <row r="4">
          <cell r="U4" t="str">
            <v>41IM0066T</v>
          </cell>
          <cell r="V4">
            <v>1104.9000000000001</v>
          </cell>
        </row>
        <row r="5">
          <cell r="U5" t="str">
            <v>41IM0049T</v>
          </cell>
          <cell r="V5">
            <v>1645.8</v>
          </cell>
        </row>
        <row r="6">
          <cell r="U6" t="str">
            <v>41IM0063T</v>
          </cell>
          <cell r="V6">
            <v>527.9</v>
          </cell>
        </row>
        <row r="7">
          <cell r="U7" t="str">
            <v>41IM0054T</v>
          </cell>
          <cell r="V7">
            <v>910.6</v>
          </cell>
        </row>
        <row r="8">
          <cell r="U8" t="str">
            <v>41IM0065T</v>
          </cell>
          <cell r="V8">
            <v>154.30000000000001</v>
          </cell>
        </row>
        <row r="9">
          <cell r="U9" t="str">
            <v>41IM0050T</v>
          </cell>
          <cell r="V9">
            <v>618.1</v>
          </cell>
        </row>
        <row r="10">
          <cell r="U10" t="str">
            <v>41IM0051T</v>
          </cell>
          <cell r="V10">
            <v>1853.1</v>
          </cell>
        </row>
        <row r="11">
          <cell r="U11" t="str">
            <v>41IM0052T</v>
          </cell>
          <cell r="V11">
            <v>1272.2</v>
          </cell>
        </row>
        <row r="12">
          <cell r="U12" t="str">
            <v>41IM0053T</v>
          </cell>
          <cell r="V12">
            <v>1623.7</v>
          </cell>
        </row>
        <row r="13">
          <cell r="U13" t="str">
            <v>41IM0055T</v>
          </cell>
          <cell r="V13">
            <v>578</v>
          </cell>
        </row>
        <row r="14">
          <cell r="U14" t="str">
            <v>41IM0056T</v>
          </cell>
          <cell r="V14">
            <v>820.4</v>
          </cell>
        </row>
        <row r="15">
          <cell r="U15" t="str">
            <v>41IM0057T</v>
          </cell>
          <cell r="V15">
            <v>331.6</v>
          </cell>
        </row>
        <row r="16">
          <cell r="U16" t="str">
            <v>41IM0058T</v>
          </cell>
          <cell r="V16">
            <v>415.7</v>
          </cell>
        </row>
        <row r="17">
          <cell r="U17" t="str">
            <v>42IM2010TT</v>
          </cell>
          <cell r="V17">
            <v>834.4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ED LIST"/>
    </sheetNames>
    <sheetDataSet>
      <sheetData sheetId="0" refreshError="1">
        <row r="2">
          <cell r="L2" t="str">
            <v>41IM0058AA</v>
          </cell>
          <cell r="M2">
            <v>430</v>
          </cell>
        </row>
        <row r="3">
          <cell r="L3" t="str">
            <v>41IM0058AB</v>
          </cell>
          <cell r="M3">
            <v>417</v>
          </cell>
        </row>
        <row r="4">
          <cell r="L4" t="str">
            <v>41IM0058T</v>
          </cell>
          <cell r="M4">
            <v>285</v>
          </cell>
        </row>
        <row r="5">
          <cell r="L5" t="str">
            <v>41IM0051AA</v>
          </cell>
          <cell r="M5">
            <v>430</v>
          </cell>
        </row>
        <row r="6">
          <cell r="L6" t="str">
            <v>41IM0051AB</v>
          </cell>
          <cell r="M6">
            <v>417</v>
          </cell>
        </row>
        <row r="7">
          <cell r="L7" t="str">
            <v>41IM0051C</v>
          </cell>
          <cell r="M7">
            <v>368</v>
          </cell>
        </row>
        <row r="8">
          <cell r="L8" t="str">
            <v>41IM0051PB</v>
          </cell>
          <cell r="M8">
            <v>400</v>
          </cell>
        </row>
        <row r="9">
          <cell r="L9" t="str">
            <v>41IM0051T</v>
          </cell>
          <cell r="M9">
            <v>285</v>
          </cell>
        </row>
        <row r="10">
          <cell r="L10" t="str">
            <v>41IM0054AB</v>
          </cell>
          <cell r="M10">
            <v>417</v>
          </cell>
        </row>
        <row r="11">
          <cell r="L11" t="str">
            <v>41IM0054C</v>
          </cell>
          <cell r="M11">
            <v>368</v>
          </cell>
        </row>
        <row r="12">
          <cell r="L12" t="str">
            <v>41IM0055C</v>
          </cell>
          <cell r="M12">
            <v>368</v>
          </cell>
        </row>
        <row r="13">
          <cell r="L13" t="str">
            <v>41IM0055PB</v>
          </cell>
          <cell r="M13">
            <v>400</v>
          </cell>
        </row>
        <row r="14">
          <cell r="L14" t="str">
            <v>41IM0056AB</v>
          </cell>
          <cell r="M14">
            <v>417</v>
          </cell>
        </row>
        <row r="15">
          <cell r="L15" t="str">
            <v>41IM0056C</v>
          </cell>
          <cell r="M15">
            <v>368</v>
          </cell>
        </row>
        <row r="16">
          <cell r="L16" t="str">
            <v>41IM0056PB</v>
          </cell>
          <cell r="M16">
            <v>400</v>
          </cell>
        </row>
        <row r="17">
          <cell r="L17" t="str">
            <v>41IM0056T</v>
          </cell>
          <cell r="M17">
            <v>285</v>
          </cell>
        </row>
        <row r="18">
          <cell r="L18" t="str">
            <v>41IM0050AA</v>
          </cell>
          <cell r="M18">
            <v>430</v>
          </cell>
        </row>
        <row r="19">
          <cell r="L19" t="str">
            <v>41IM0050AB</v>
          </cell>
          <cell r="M19">
            <v>417</v>
          </cell>
        </row>
        <row r="20">
          <cell r="L20" t="str">
            <v>41IM0050PB</v>
          </cell>
          <cell r="M20">
            <v>400</v>
          </cell>
        </row>
        <row r="21">
          <cell r="L21" t="str">
            <v>41IM0050T</v>
          </cell>
          <cell r="M21">
            <v>285</v>
          </cell>
        </row>
        <row r="22">
          <cell r="L22" t="str">
            <v>41IM0050C</v>
          </cell>
          <cell r="M22">
            <v>368</v>
          </cell>
        </row>
        <row r="23">
          <cell r="L23" t="str">
            <v>41IM0057AA</v>
          </cell>
          <cell r="M23">
            <v>430</v>
          </cell>
        </row>
        <row r="24">
          <cell r="L24" t="str">
            <v>41IM0057AB</v>
          </cell>
          <cell r="M24">
            <v>417</v>
          </cell>
        </row>
        <row r="25">
          <cell r="L25" t="str">
            <v>41IM0057C</v>
          </cell>
          <cell r="M25">
            <v>368</v>
          </cell>
        </row>
        <row r="26">
          <cell r="L26" t="str">
            <v>41IM0057T</v>
          </cell>
          <cell r="M26">
            <v>285</v>
          </cell>
        </row>
        <row r="27">
          <cell r="L27" t="str">
            <v>41IM0048AA</v>
          </cell>
          <cell r="M27">
            <v>430</v>
          </cell>
        </row>
        <row r="28">
          <cell r="L28" t="str">
            <v>41IM0048AB</v>
          </cell>
          <cell r="M28">
            <v>417</v>
          </cell>
        </row>
        <row r="29">
          <cell r="L29" t="str">
            <v>41IM0048C</v>
          </cell>
          <cell r="M29">
            <v>368</v>
          </cell>
        </row>
        <row r="30">
          <cell r="L30" t="str">
            <v>41IM0048PB</v>
          </cell>
          <cell r="M30">
            <v>400</v>
          </cell>
        </row>
        <row r="31">
          <cell r="L31" t="str">
            <v>41IM0048T</v>
          </cell>
          <cell r="M31">
            <v>285</v>
          </cell>
        </row>
        <row r="32">
          <cell r="L32" t="str">
            <v>41IM0066AB</v>
          </cell>
          <cell r="M32">
            <v>417</v>
          </cell>
        </row>
        <row r="33">
          <cell r="L33" t="str">
            <v>41IM0066C</v>
          </cell>
          <cell r="M33">
            <v>368</v>
          </cell>
        </row>
        <row r="34">
          <cell r="L34" t="str">
            <v>41IM0066PB</v>
          </cell>
          <cell r="M34">
            <v>400</v>
          </cell>
        </row>
        <row r="35">
          <cell r="L35" t="str">
            <v>41IM0066T</v>
          </cell>
          <cell r="M35">
            <v>285</v>
          </cell>
        </row>
        <row r="36">
          <cell r="L36" t="str">
            <v>41IM0049AA</v>
          </cell>
          <cell r="M36">
            <v>430</v>
          </cell>
        </row>
        <row r="37">
          <cell r="L37" t="str">
            <v>41IM0049AB</v>
          </cell>
          <cell r="M37">
            <v>417</v>
          </cell>
        </row>
        <row r="38">
          <cell r="L38" t="str">
            <v>41IM0049C</v>
          </cell>
          <cell r="M38">
            <v>368</v>
          </cell>
        </row>
        <row r="39">
          <cell r="L39" t="str">
            <v>41IM0049PB</v>
          </cell>
          <cell r="M39">
            <v>400</v>
          </cell>
        </row>
        <row r="40">
          <cell r="L40" t="str">
            <v>41IM0049T</v>
          </cell>
          <cell r="M40">
            <v>285</v>
          </cell>
        </row>
        <row r="41">
          <cell r="L41" t="str">
            <v>41IM0063AA</v>
          </cell>
          <cell r="M41">
            <v>430</v>
          </cell>
        </row>
        <row r="42">
          <cell r="L42" t="str">
            <v>41IM0063AB</v>
          </cell>
          <cell r="M42">
            <v>417</v>
          </cell>
        </row>
        <row r="43">
          <cell r="L43" t="str">
            <v>41IM0063PB</v>
          </cell>
          <cell r="M43">
            <v>400</v>
          </cell>
        </row>
        <row r="44">
          <cell r="L44" t="str">
            <v>41IM0063T</v>
          </cell>
          <cell r="M44">
            <v>285</v>
          </cell>
        </row>
        <row r="45">
          <cell r="L45" t="str">
            <v>41IM0065AB</v>
          </cell>
          <cell r="M45">
            <v>417</v>
          </cell>
        </row>
        <row r="46">
          <cell r="L46" t="str">
            <v>41IM0065C</v>
          </cell>
          <cell r="M46">
            <v>368</v>
          </cell>
        </row>
        <row r="47">
          <cell r="L47" t="str">
            <v>41IM0053AA</v>
          </cell>
          <cell r="M47">
            <v>430</v>
          </cell>
        </row>
        <row r="48">
          <cell r="L48" t="str">
            <v>41IM0053AB</v>
          </cell>
          <cell r="M48">
            <v>417</v>
          </cell>
        </row>
        <row r="49">
          <cell r="L49" t="str">
            <v>41IM0053C</v>
          </cell>
          <cell r="M49">
            <v>368</v>
          </cell>
        </row>
        <row r="50">
          <cell r="L50" t="str">
            <v>41IM0053PB</v>
          </cell>
          <cell r="M50">
            <v>400</v>
          </cell>
        </row>
        <row r="51">
          <cell r="L51" t="str">
            <v>41IM0053T</v>
          </cell>
          <cell r="M51">
            <v>285</v>
          </cell>
        </row>
        <row r="52">
          <cell r="L52" t="str">
            <v>41IM0052AA</v>
          </cell>
          <cell r="M52">
            <v>430</v>
          </cell>
        </row>
        <row r="53">
          <cell r="L53" t="str">
            <v>41IM0052C</v>
          </cell>
          <cell r="M53">
            <v>368</v>
          </cell>
        </row>
        <row r="54">
          <cell r="L54" t="str">
            <v>41IM0052PB</v>
          </cell>
          <cell r="M54">
            <v>400</v>
          </cell>
        </row>
        <row r="55">
          <cell r="L55" t="str">
            <v>41IM0052T</v>
          </cell>
          <cell r="M55">
            <v>285</v>
          </cell>
        </row>
        <row r="56">
          <cell r="L56" t="str">
            <v>41IM0052AB</v>
          </cell>
          <cell r="M56">
            <v>417</v>
          </cell>
        </row>
        <row r="57">
          <cell r="L57" t="str">
            <v>41IM0063C</v>
          </cell>
          <cell r="M57">
            <v>368</v>
          </cell>
        </row>
        <row r="58">
          <cell r="L58" t="str">
            <v>41IM0058C</v>
          </cell>
          <cell r="M58">
            <v>368</v>
          </cell>
        </row>
        <row r="59">
          <cell r="L59" t="str">
            <v>41IM0055AB</v>
          </cell>
          <cell r="M59">
            <v>417</v>
          </cell>
        </row>
        <row r="60">
          <cell r="L60" t="str">
            <v>41IM0055T</v>
          </cell>
          <cell r="M60">
            <v>285</v>
          </cell>
        </row>
        <row r="61">
          <cell r="L61" t="str">
            <v>41IM0054AA</v>
          </cell>
          <cell r="M61">
            <v>430</v>
          </cell>
        </row>
        <row r="62">
          <cell r="L62" t="str">
            <v>41IM0054PB</v>
          </cell>
          <cell r="M62">
            <v>400</v>
          </cell>
        </row>
        <row r="63">
          <cell r="L63" t="str">
            <v>41IM0054T</v>
          </cell>
          <cell r="M63">
            <v>285</v>
          </cell>
        </row>
        <row r="64">
          <cell r="L64" t="str">
            <v>41IM0065T</v>
          </cell>
          <cell r="M64">
            <v>285</v>
          </cell>
        </row>
        <row r="65">
          <cell r="L65" t="str">
            <v>42IM2001AA</v>
          </cell>
          <cell r="M65">
            <v>430</v>
          </cell>
        </row>
        <row r="66">
          <cell r="L66" t="str">
            <v>42IM2005AB</v>
          </cell>
          <cell r="M66">
            <v>417</v>
          </cell>
        </row>
        <row r="67">
          <cell r="L67" t="str">
            <v>42IM2010TT</v>
          </cell>
          <cell r="M67">
            <v>0</v>
          </cell>
        </row>
        <row r="68">
          <cell r="L68" t="str">
            <v>42IM2014HE</v>
          </cell>
          <cell r="M6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Delivery Status"/>
      <sheetName val="10203"/>
      <sheetName val="10204"/>
    </sheetNames>
    <sheetDataSet>
      <sheetData sheetId="0"/>
      <sheetData sheetId="1">
        <row r="1">
          <cell r="M1" t="str">
            <v>OT</v>
          </cell>
          <cell r="N1" t="str">
            <v>Grower Marks</v>
          </cell>
          <cell r="O1" t="str">
            <v>Stock In Day(s)- 3rd Party Warehouse</v>
          </cell>
          <cell r="P1" t="str">
            <v>Units</v>
          </cell>
          <cell r="Q1" t="str">
            <v>Packing Type</v>
          </cell>
          <cell r="R1" t="str">
            <v>Qty.</v>
          </cell>
          <cell r="S1" t="str">
            <v>Warrant No</v>
          </cell>
          <cell r="T1" t="str">
            <v>STI No.</v>
          </cell>
          <cell r="U1" t="str">
            <v>STI Type</v>
          </cell>
          <cell r="V1" t="str">
            <v>STI Date</v>
          </cell>
          <cell r="W1" t="str">
            <v>ST No.</v>
          </cell>
          <cell r="X1" t="str">
            <v>ST Date</v>
          </cell>
          <cell r="Y1" t="str">
            <v>STR No.</v>
          </cell>
          <cell r="Z1" t="str">
            <v>STR Date</v>
          </cell>
          <cell r="AA1" t="str">
            <v>Actual Receipt Units</v>
          </cell>
          <cell r="AB1" t="str">
            <v>Actual Receipt Qty.</v>
          </cell>
        </row>
        <row r="2">
          <cell r="M2" t="str">
            <v>42IM0048AA</v>
          </cell>
          <cell r="N2" t="str">
            <v>KIANYAGA/XAD03F06</v>
          </cell>
          <cell r="O2" t="str">
            <v>0</v>
          </cell>
          <cell r="P2">
            <v>10</v>
          </cell>
          <cell r="Q2" t="str">
            <v>60 KG JUTE BAG</v>
          </cell>
          <cell r="R2">
            <v>580.70000000000005</v>
          </cell>
          <cell r="S2" t="str">
            <v>70725</v>
          </cell>
          <cell r="T2" t="str">
            <v>2020/2021-002254</v>
          </cell>
          <cell r="U2" t="str">
            <v>Across Location</v>
          </cell>
          <cell r="V2">
            <v>46238</v>
          </cell>
          <cell r="W2" t="str">
            <v>ALEGR-003459</v>
          </cell>
          <cell r="X2">
            <v>46245</v>
          </cell>
          <cell r="Y2" t="str">
            <v>ALEGR-003459</v>
          </cell>
          <cell r="Z2">
            <v>46245</v>
          </cell>
          <cell r="AA2">
            <v>10</v>
          </cell>
          <cell r="AB2">
            <v>581</v>
          </cell>
        </row>
        <row r="3">
          <cell r="M3" t="str">
            <v>42IM0051AA</v>
          </cell>
          <cell r="N3" t="str">
            <v>KIAJIRU/XAD03F09</v>
          </cell>
          <cell r="O3" t="str">
            <v>0</v>
          </cell>
          <cell r="P3">
            <v>5</v>
          </cell>
          <cell r="Q3" t="str">
            <v>60 KG JUTE BAG</v>
          </cell>
          <cell r="R3">
            <v>286.8</v>
          </cell>
          <cell r="S3" t="str">
            <v>70740</v>
          </cell>
          <cell r="T3" t="str">
            <v>2020/2021-002254</v>
          </cell>
          <cell r="U3" t="str">
            <v>Across Location</v>
          </cell>
          <cell r="V3">
            <v>46238</v>
          </cell>
          <cell r="W3" t="str">
            <v>ALEGR-003458</v>
          </cell>
          <cell r="X3">
            <v>46245</v>
          </cell>
          <cell r="Y3" t="str">
            <v>ALEGR-003458</v>
          </cell>
          <cell r="Z3">
            <v>46245</v>
          </cell>
          <cell r="AA3">
            <v>5</v>
          </cell>
          <cell r="AB3">
            <v>286.5</v>
          </cell>
        </row>
        <row r="4">
          <cell r="M4" t="str">
            <v>42IM0052AA</v>
          </cell>
          <cell r="N4" t="str">
            <v>KIANJIRU/XAD03F09</v>
          </cell>
          <cell r="O4" t="str">
            <v>0</v>
          </cell>
          <cell r="P4">
            <v>6</v>
          </cell>
          <cell r="Q4" t="str">
            <v>60 KG JUTE BAG</v>
          </cell>
          <cell r="R4">
            <v>340.9</v>
          </cell>
          <cell r="S4" t="str">
            <v>70745</v>
          </cell>
          <cell r="T4" t="str">
            <v>2020/2021-002254</v>
          </cell>
          <cell r="U4" t="str">
            <v>Across Location</v>
          </cell>
          <cell r="V4">
            <v>46238</v>
          </cell>
          <cell r="W4" t="str">
            <v>ALEGR-003457</v>
          </cell>
          <cell r="X4">
            <v>46245</v>
          </cell>
          <cell r="Y4" t="str">
            <v>ALEGR-003457</v>
          </cell>
          <cell r="Z4">
            <v>46245</v>
          </cell>
          <cell r="AA4">
            <v>6</v>
          </cell>
          <cell r="AB4">
            <v>339.6</v>
          </cell>
        </row>
        <row r="5">
          <cell r="M5" t="str">
            <v>42IM0055AA</v>
          </cell>
          <cell r="N5" t="str">
            <v>KAGONGO/XAD03F02</v>
          </cell>
          <cell r="O5" t="str">
            <v>0</v>
          </cell>
          <cell r="P5">
            <v>3</v>
          </cell>
          <cell r="Q5" t="str">
            <v>60 KG JUTE BAG</v>
          </cell>
          <cell r="R5">
            <v>140.19999999999999</v>
          </cell>
          <cell r="S5" t="str">
            <v>70750</v>
          </cell>
          <cell r="T5" t="str">
            <v>2020/2021-002254</v>
          </cell>
          <cell r="U5" t="str">
            <v>Across Location</v>
          </cell>
          <cell r="V5">
            <v>46238</v>
          </cell>
          <cell r="W5" t="str">
            <v>ALEGR-003460</v>
          </cell>
          <cell r="X5">
            <v>46245</v>
          </cell>
          <cell r="Y5" t="str">
            <v>ALEGR-003460</v>
          </cell>
          <cell r="Z5">
            <v>46245</v>
          </cell>
          <cell r="AA5">
            <v>3</v>
          </cell>
          <cell r="AB5">
            <v>140.30000000000001</v>
          </cell>
        </row>
        <row r="6">
          <cell r="M6" t="str">
            <v>42IM0056AA</v>
          </cell>
          <cell r="N6" t="str">
            <v>KAGONGO/XAD03F02</v>
          </cell>
          <cell r="O6" t="str">
            <v>0</v>
          </cell>
          <cell r="P6">
            <v>4</v>
          </cell>
          <cell r="Q6" t="str">
            <v>60 KG JUTE BAG</v>
          </cell>
          <cell r="R6">
            <v>239.7</v>
          </cell>
          <cell r="S6" t="str">
            <v>70755</v>
          </cell>
          <cell r="T6" t="str">
            <v>2020/2021-002254</v>
          </cell>
          <cell r="U6" t="str">
            <v>Across Location</v>
          </cell>
          <cell r="V6">
            <v>46238</v>
          </cell>
          <cell r="W6" t="str">
            <v>ALEGR-003461</v>
          </cell>
          <cell r="X6">
            <v>46245</v>
          </cell>
          <cell r="Y6" t="str">
            <v>ALEGR-003461</v>
          </cell>
          <cell r="Z6">
            <v>46245</v>
          </cell>
          <cell r="AA6">
            <v>4</v>
          </cell>
          <cell r="AB6">
            <v>238.4</v>
          </cell>
        </row>
        <row r="7">
          <cell r="M7" t="str">
            <v>42IM0057AA</v>
          </cell>
          <cell r="N7" t="str">
            <v>KARIRU/XAD03F10</v>
          </cell>
          <cell r="O7" t="str">
            <v>0</v>
          </cell>
          <cell r="P7">
            <v>6</v>
          </cell>
          <cell r="Q7" t="str">
            <v>60 KG JUTE BAG</v>
          </cell>
          <cell r="R7">
            <v>358.5</v>
          </cell>
          <cell r="S7" t="str">
            <v>70760</v>
          </cell>
          <cell r="T7" t="str">
            <v>2020/2021-002254</v>
          </cell>
          <cell r="U7" t="str">
            <v>Across Location</v>
          </cell>
          <cell r="V7">
            <v>46238</v>
          </cell>
          <cell r="W7" t="str">
            <v>ALEGR-003456</v>
          </cell>
          <cell r="X7">
            <v>46245</v>
          </cell>
          <cell r="Y7" t="str">
            <v>ALEGR-003456</v>
          </cell>
          <cell r="Z7">
            <v>46245</v>
          </cell>
          <cell r="AA7">
            <v>6</v>
          </cell>
          <cell r="AB7">
            <v>358.6</v>
          </cell>
        </row>
        <row r="8">
          <cell r="M8" t="str">
            <v>42IM0058AA</v>
          </cell>
          <cell r="N8" t="str">
            <v>GUAMA/XAD03F07</v>
          </cell>
          <cell r="O8" t="str">
            <v>0</v>
          </cell>
          <cell r="P8">
            <v>5</v>
          </cell>
          <cell r="Q8" t="str">
            <v>60 KG JUTE BAG</v>
          </cell>
          <cell r="R8">
            <v>284.8</v>
          </cell>
          <cell r="S8" t="str">
            <v>70765</v>
          </cell>
          <cell r="T8" t="str">
            <v>2020/2021-002254</v>
          </cell>
          <cell r="U8" t="str">
            <v>Across Location</v>
          </cell>
          <cell r="V8">
            <v>46238</v>
          </cell>
          <cell r="W8" t="str">
            <v>ALEGR-003456</v>
          </cell>
          <cell r="X8">
            <v>46245</v>
          </cell>
          <cell r="Y8" t="str">
            <v>ALEGR-003456</v>
          </cell>
          <cell r="Z8">
            <v>46245</v>
          </cell>
          <cell r="AA8">
            <v>5</v>
          </cell>
          <cell r="AB8">
            <v>285.5</v>
          </cell>
        </row>
        <row r="9">
          <cell r="M9" t="str">
            <v>42IM0059AA</v>
          </cell>
          <cell r="N9" t="str">
            <v>MUCHAGARA/XAD03F01</v>
          </cell>
          <cell r="O9" t="str">
            <v>0</v>
          </cell>
          <cell r="P9">
            <v>4</v>
          </cell>
          <cell r="Q9" t="str">
            <v>60 KG JUTE BAG</v>
          </cell>
          <cell r="R9">
            <v>234.7</v>
          </cell>
          <cell r="S9" t="str">
            <v>70770</v>
          </cell>
          <cell r="T9" t="str">
            <v>2020/2021-002254</v>
          </cell>
          <cell r="U9" t="str">
            <v>Across Location</v>
          </cell>
          <cell r="V9">
            <v>46238</v>
          </cell>
          <cell r="W9" t="str">
            <v>ALEGR-003461</v>
          </cell>
          <cell r="X9">
            <v>46245</v>
          </cell>
          <cell r="Y9" t="str">
            <v>ALEGR-003461</v>
          </cell>
          <cell r="Z9">
            <v>46245</v>
          </cell>
          <cell r="AA9">
            <v>4</v>
          </cell>
          <cell r="AB9">
            <v>235.4</v>
          </cell>
        </row>
        <row r="10">
          <cell r="M10" t="str">
            <v>42IM0049AA</v>
          </cell>
          <cell r="N10" t="str">
            <v>GITHIURURI/XAD03F11</v>
          </cell>
          <cell r="O10" t="str">
            <v>0</v>
          </cell>
          <cell r="P10">
            <v>6</v>
          </cell>
          <cell r="Q10" t="str">
            <v>60 KG JUTE BAG</v>
          </cell>
          <cell r="R10">
            <v>330.5</v>
          </cell>
          <cell r="S10" t="str">
            <v>70730</v>
          </cell>
          <cell r="T10" t="str">
            <v>2020/2021-002254</v>
          </cell>
          <cell r="U10" t="str">
            <v>Across Location</v>
          </cell>
          <cell r="V10">
            <v>46238</v>
          </cell>
          <cell r="W10" t="str">
            <v>ALEGR-003456</v>
          </cell>
          <cell r="X10">
            <v>46245</v>
          </cell>
          <cell r="Y10" t="str">
            <v>ALEGR-003456</v>
          </cell>
          <cell r="Z10">
            <v>46245</v>
          </cell>
          <cell r="AA10">
            <v>6</v>
          </cell>
          <cell r="AB10">
            <v>331.6</v>
          </cell>
        </row>
        <row r="11">
          <cell r="M11" t="str">
            <v>42IM0050AA</v>
          </cell>
          <cell r="N11" t="str">
            <v>RUAMBITI/XAD03F03</v>
          </cell>
          <cell r="O11" t="str">
            <v>0</v>
          </cell>
          <cell r="P11">
            <v>6</v>
          </cell>
          <cell r="Q11" t="str">
            <v>60 KG JUTE BAG</v>
          </cell>
          <cell r="R11">
            <v>367.1</v>
          </cell>
          <cell r="S11" t="str">
            <v>70735</v>
          </cell>
          <cell r="T11" t="str">
            <v>2020/2021-002254</v>
          </cell>
          <cell r="U11" t="str">
            <v>Across Location</v>
          </cell>
          <cell r="V11">
            <v>46238</v>
          </cell>
          <cell r="W11" t="str">
            <v>ALEGR-003456</v>
          </cell>
          <cell r="X11">
            <v>46245</v>
          </cell>
          <cell r="Y11" t="str">
            <v>ALEGR-003456</v>
          </cell>
          <cell r="Z11">
            <v>46245</v>
          </cell>
          <cell r="AA11">
            <v>6</v>
          </cell>
          <cell r="AB11">
            <v>365.6</v>
          </cell>
        </row>
        <row r="12">
          <cell r="M12" t="str">
            <v>42IM0050AB</v>
          </cell>
          <cell r="N12" t="str">
            <v>RUAMBITI/XAD03F03</v>
          </cell>
          <cell r="O12" t="str">
            <v>0</v>
          </cell>
          <cell r="P12">
            <v>49</v>
          </cell>
          <cell r="Q12" t="str">
            <v>60 KG JUTE BAG</v>
          </cell>
          <cell r="R12">
            <v>2931.6</v>
          </cell>
          <cell r="S12" t="str">
            <v>70736</v>
          </cell>
          <cell r="T12" t="str">
            <v>2020/2021-002254</v>
          </cell>
          <cell r="U12" t="str">
            <v>Across Location</v>
          </cell>
          <cell r="V12">
            <v>46238</v>
          </cell>
          <cell r="W12" t="str">
            <v>ALEGR-003457</v>
          </cell>
          <cell r="X12">
            <v>46245</v>
          </cell>
          <cell r="Y12" t="str">
            <v>ALEGR-003457</v>
          </cell>
          <cell r="Z12">
            <v>46245</v>
          </cell>
          <cell r="AA12">
            <v>49</v>
          </cell>
          <cell r="AB12">
            <v>2925.9</v>
          </cell>
        </row>
        <row r="13">
          <cell r="M13" t="str">
            <v>42IM0051AB</v>
          </cell>
          <cell r="N13" t="str">
            <v>KIAJIRU/XAD03F09</v>
          </cell>
          <cell r="O13" t="str">
            <v>0</v>
          </cell>
          <cell r="P13">
            <v>53</v>
          </cell>
          <cell r="Q13" t="str">
            <v>60 KG JUTE BAG</v>
          </cell>
          <cell r="R13">
            <v>3140.2</v>
          </cell>
          <cell r="S13" t="str">
            <v>70741</v>
          </cell>
          <cell r="T13" t="str">
            <v>2020/2021-002254</v>
          </cell>
          <cell r="U13" t="str">
            <v>Across Location</v>
          </cell>
          <cell r="V13">
            <v>46238</v>
          </cell>
          <cell r="W13" t="str">
            <v>ALEGR-003457</v>
          </cell>
          <cell r="X13">
            <v>46245</v>
          </cell>
          <cell r="Y13" t="str">
            <v>ALEGR-003457</v>
          </cell>
          <cell r="Z13">
            <v>46245</v>
          </cell>
          <cell r="AA13">
            <v>53</v>
          </cell>
          <cell r="AB13">
            <v>3131.3</v>
          </cell>
        </row>
        <row r="14">
          <cell r="M14" t="str">
            <v>42IM0052AB</v>
          </cell>
          <cell r="N14" t="str">
            <v>KIANJIRU/XAD03F09</v>
          </cell>
          <cell r="O14" t="str">
            <v>0</v>
          </cell>
          <cell r="P14">
            <v>46</v>
          </cell>
          <cell r="Q14" t="str">
            <v>60 KG JUTE BAG</v>
          </cell>
          <cell r="R14">
            <v>2750.9</v>
          </cell>
          <cell r="S14" t="str">
            <v>70746</v>
          </cell>
          <cell r="T14" t="str">
            <v>2020/2021-002254</v>
          </cell>
          <cell r="U14" t="str">
            <v>Across Location</v>
          </cell>
          <cell r="V14">
            <v>46238</v>
          </cell>
          <cell r="W14" t="str">
            <v>ALEGR-003457</v>
          </cell>
          <cell r="X14">
            <v>46245</v>
          </cell>
          <cell r="Y14" t="str">
            <v>ALEGR-003457</v>
          </cell>
          <cell r="Z14">
            <v>46245</v>
          </cell>
          <cell r="AA14">
            <v>46</v>
          </cell>
          <cell r="AB14">
            <v>2758.6</v>
          </cell>
        </row>
        <row r="15">
          <cell r="M15" t="str">
            <v>42IM0048AB</v>
          </cell>
          <cell r="N15" t="str">
            <v>KIANYAGA/XAD03F06</v>
          </cell>
          <cell r="O15" t="str">
            <v>0</v>
          </cell>
          <cell r="P15">
            <v>102</v>
          </cell>
          <cell r="Q15" t="str">
            <v>60 KG JUTE BAG</v>
          </cell>
          <cell r="R15">
            <v>6107.5</v>
          </cell>
          <cell r="S15" t="str">
            <v>70726</v>
          </cell>
          <cell r="T15" t="str">
            <v>2020/2021-002254</v>
          </cell>
          <cell r="U15" t="str">
            <v>Across Location</v>
          </cell>
          <cell r="V15">
            <v>46238</v>
          </cell>
          <cell r="W15" t="str">
            <v>ALEGR-003459</v>
          </cell>
          <cell r="X15">
            <v>46245</v>
          </cell>
          <cell r="Y15" t="str">
            <v>ALEGR-003459</v>
          </cell>
          <cell r="Z15">
            <v>46245</v>
          </cell>
          <cell r="AA15">
            <v>102</v>
          </cell>
          <cell r="AB15">
            <v>6113.2</v>
          </cell>
        </row>
        <row r="16">
          <cell r="M16" t="str">
            <v>42IM0055AB</v>
          </cell>
          <cell r="N16" t="str">
            <v>KAGONGO/XAD03F02</v>
          </cell>
          <cell r="O16" t="str">
            <v>0</v>
          </cell>
          <cell r="P16">
            <v>30</v>
          </cell>
          <cell r="Q16" t="str">
            <v>60 KG JUTE BAG</v>
          </cell>
          <cell r="R16">
            <v>1801.3</v>
          </cell>
          <cell r="S16" t="str">
            <v>70751</v>
          </cell>
          <cell r="T16" t="str">
            <v>2020/2021-002254</v>
          </cell>
          <cell r="U16" t="str">
            <v>Across Location</v>
          </cell>
          <cell r="V16">
            <v>46238</v>
          </cell>
          <cell r="W16" t="str">
            <v>ALEGR-003457</v>
          </cell>
          <cell r="X16">
            <v>46245</v>
          </cell>
          <cell r="Y16" t="str">
            <v>ALEGR-003457</v>
          </cell>
          <cell r="Z16">
            <v>46245</v>
          </cell>
          <cell r="AA16">
            <v>30</v>
          </cell>
          <cell r="AB16">
            <v>1794</v>
          </cell>
        </row>
        <row r="17">
          <cell r="M17" t="str">
            <v>42IM0056AB</v>
          </cell>
          <cell r="N17" t="str">
            <v>KAGONGO/XAD03F02</v>
          </cell>
          <cell r="O17" t="str">
            <v>0</v>
          </cell>
          <cell r="P17">
            <v>25</v>
          </cell>
          <cell r="Q17" t="str">
            <v>60 KG JUTE BAG</v>
          </cell>
          <cell r="R17">
            <v>1477.6</v>
          </cell>
          <cell r="S17" t="str">
            <v>70756</v>
          </cell>
          <cell r="T17" t="str">
            <v>2020/2021-002254</v>
          </cell>
          <cell r="U17" t="str">
            <v>Across Location</v>
          </cell>
          <cell r="V17">
            <v>46238</v>
          </cell>
          <cell r="W17" t="str">
            <v>ALEGR-003457</v>
          </cell>
          <cell r="X17">
            <v>46245</v>
          </cell>
          <cell r="Y17" t="str">
            <v>ALEGR-003457</v>
          </cell>
          <cell r="Z17">
            <v>46245</v>
          </cell>
          <cell r="AA17">
            <v>25</v>
          </cell>
          <cell r="AB17">
            <v>1477.5</v>
          </cell>
        </row>
        <row r="18">
          <cell r="M18" t="str">
            <v>42IM0057AB</v>
          </cell>
          <cell r="N18" t="str">
            <v>KARIRU/XAD03F10</v>
          </cell>
          <cell r="O18" t="str">
            <v>0</v>
          </cell>
          <cell r="P18">
            <v>55</v>
          </cell>
          <cell r="Q18" t="str">
            <v>60 KG JUTE BAG</v>
          </cell>
          <cell r="R18">
            <v>3292.2</v>
          </cell>
          <cell r="S18" t="str">
            <v>70761</v>
          </cell>
          <cell r="T18" t="str">
            <v>2020/2021-002254</v>
          </cell>
          <cell r="U18" t="str">
            <v>Across Location</v>
          </cell>
          <cell r="V18">
            <v>46238</v>
          </cell>
          <cell r="W18" t="str">
            <v>ALEGR-003456</v>
          </cell>
          <cell r="X18">
            <v>46245</v>
          </cell>
          <cell r="Y18" t="str">
            <v>ALEGR-003456</v>
          </cell>
          <cell r="Z18">
            <v>46245</v>
          </cell>
          <cell r="AA18">
            <v>55</v>
          </cell>
          <cell r="AB18">
            <v>3301.5</v>
          </cell>
        </row>
        <row r="19">
          <cell r="M19" t="str">
            <v>42IM0058AB</v>
          </cell>
          <cell r="N19" t="str">
            <v>GUAMA/XAD03F07</v>
          </cell>
          <cell r="O19" t="str">
            <v>0</v>
          </cell>
          <cell r="P19">
            <v>40</v>
          </cell>
          <cell r="Q19" t="str">
            <v>60 KG JUTE BAG</v>
          </cell>
          <cell r="R19">
            <v>2375.1</v>
          </cell>
          <cell r="S19" t="str">
            <v>70766</v>
          </cell>
          <cell r="T19" t="str">
            <v>2020/2021-002254</v>
          </cell>
          <cell r="U19" t="str">
            <v>Across Location</v>
          </cell>
          <cell r="V19">
            <v>46238</v>
          </cell>
          <cell r="W19" t="str">
            <v>ALEGR-003456</v>
          </cell>
          <cell r="X19">
            <v>46245</v>
          </cell>
          <cell r="Y19" t="str">
            <v>ALEGR-003456</v>
          </cell>
          <cell r="Z19">
            <v>46245</v>
          </cell>
          <cell r="AA19">
            <v>40</v>
          </cell>
          <cell r="AB19">
            <v>2381</v>
          </cell>
        </row>
        <row r="20">
          <cell r="M20" t="str">
            <v>42IM0059AB</v>
          </cell>
          <cell r="N20" t="str">
            <v>MUCHAGARA/XAD03F01</v>
          </cell>
          <cell r="O20" t="str">
            <v>0</v>
          </cell>
          <cell r="P20">
            <v>34</v>
          </cell>
          <cell r="Q20" t="str">
            <v>60 KG JUTE BAG</v>
          </cell>
          <cell r="R20">
            <v>1995.3</v>
          </cell>
          <cell r="S20" t="str">
            <v>70771</v>
          </cell>
          <cell r="T20" t="str">
            <v>2020/2021-002254</v>
          </cell>
          <cell r="U20" t="str">
            <v>Across Location</v>
          </cell>
          <cell r="V20">
            <v>46238</v>
          </cell>
          <cell r="W20" t="str">
            <v>ALEGR-003461</v>
          </cell>
          <cell r="X20">
            <v>46245</v>
          </cell>
          <cell r="Y20" t="str">
            <v>ALEGR-003461</v>
          </cell>
          <cell r="Z20">
            <v>46245</v>
          </cell>
          <cell r="AA20">
            <v>34</v>
          </cell>
          <cell r="AB20">
            <v>2003.4</v>
          </cell>
        </row>
        <row r="21">
          <cell r="M21" t="str">
            <v>42IM0049AB</v>
          </cell>
          <cell r="N21" t="str">
            <v>GITHIURURI/XAD03F11</v>
          </cell>
          <cell r="O21" t="str">
            <v>0</v>
          </cell>
          <cell r="P21">
            <v>38</v>
          </cell>
          <cell r="Q21" t="str">
            <v>60 KG JUTE BAG</v>
          </cell>
          <cell r="R21">
            <v>2257.3000000000002</v>
          </cell>
          <cell r="S21" t="str">
            <v>70731</v>
          </cell>
          <cell r="T21" t="str">
            <v>2020/2021-002254</v>
          </cell>
          <cell r="U21" t="str">
            <v>Across Location</v>
          </cell>
          <cell r="V21">
            <v>46238</v>
          </cell>
          <cell r="W21" t="str">
            <v>ALEGR-003452</v>
          </cell>
          <cell r="X21">
            <v>46244</v>
          </cell>
          <cell r="Y21" t="str">
            <v>ALEGR-003452</v>
          </cell>
          <cell r="Z21">
            <v>46244</v>
          </cell>
          <cell r="AA21">
            <v>38</v>
          </cell>
          <cell r="AB21">
            <v>2257.8000000000002</v>
          </cell>
        </row>
        <row r="22">
          <cell r="M22" t="str">
            <v>42IM0050C</v>
          </cell>
          <cell r="N22" t="str">
            <v>RUAMBITI/XAD03F03</v>
          </cell>
          <cell r="O22" t="str">
            <v>0</v>
          </cell>
          <cell r="P22">
            <v>59</v>
          </cell>
          <cell r="Q22" t="str">
            <v>60 KG JUTE BAG</v>
          </cell>
          <cell r="R22">
            <v>3537</v>
          </cell>
          <cell r="S22" t="str">
            <v>70737</v>
          </cell>
          <cell r="T22" t="str">
            <v>2020/2021-002254</v>
          </cell>
          <cell r="U22" t="str">
            <v>Across Location</v>
          </cell>
          <cell r="V22">
            <v>46238</v>
          </cell>
          <cell r="W22" t="str">
            <v>ALEGR-003458</v>
          </cell>
          <cell r="X22">
            <v>46245</v>
          </cell>
          <cell r="Y22" t="str">
            <v>ALEGR-003458</v>
          </cell>
          <cell r="Z22">
            <v>46245</v>
          </cell>
          <cell r="AA22">
            <v>59</v>
          </cell>
          <cell r="AB22">
            <v>3533.9</v>
          </cell>
        </row>
        <row r="23">
          <cell r="M23" t="str">
            <v>42IM0051C</v>
          </cell>
          <cell r="N23" t="str">
            <v>KIAJIRU/XAD03F09</v>
          </cell>
          <cell r="O23" t="str">
            <v>0</v>
          </cell>
          <cell r="P23">
            <v>71</v>
          </cell>
          <cell r="Q23" t="str">
            <v>60 KG JUTE BAG</v>
          </cell>
          <cell r="R23">
            <v>4263</v>
          </cell>
          <cell r="S23" t="str">
            <v>70742</v>
          </cell>
          <cell r="T23" t="str">
            <v>2020/2021-002254</v>
          </cell>
          <cell r="U23" t="str">
            <v>Across Location</v>
          </cell>
          <cell r="V23">
            <v>46238</v>
          </cell>
          <cell r="W23" t="str">
            <v>ALEGR-003458</v>
          </cell>
          <cell r="X23">
            <v>46245</v>
          </cell>
          <cell r="Y23" t="str">
            <v>ALEGR-003458</v>
          </cell>
          <cell r="Z23">
            <v>46245</v>
          </cell>
          <cell r="AA23">
            <v>71</v>
          </cell>
          <cell r="AB23">
            <v>4258.1000000000004</v>
          </cell>
        </row>
        <row r="24">
          <cell r="M24" t="str">
            <v>42IM0052C</v>
          </cell>
          <cell r="N24" t="str">
            <v>KIANJIRU/XAD03F09</v>
          </cell>
          <cell r="O24" t="str">
            <v>0</v>
          </cell>
          <cell r="P24">
            <v>57</v>
          </cell>
          <cell r="Q24" t="str">
            <v>60 KG JUTE BAG</v>
          </cell>
          <cell r="R24">
            <v>3438.8</v>
          </cell>
          <cell r="S24" t="str">
            <v>70747</v>
          </cell>
          <cell r="T24" t="str">
            <v>2020/2021-002254</v>
          </cell>
          <cell r="U24" t="str">
            <v>Across Location</v>
          </cell>
          <cell r="V24">
            <v>46238</v>
          </cell>
          <cell r="W24" t="str">
            <v>ALEGR-003457</v>
          </cell>
          <cell r="X24">
            <v>46245</v>
          </cell>
          <cell r="Y24" t="str">
            <v>ALEGR-003457</v>
          </cell>
          <cell r="Z24">
            <v>46245</v>
          </cell>
          <cell r="AA24">
            <v>57</v>
          </cell>
          <cell r="AB24">
            <v>3425.7</v>
          </cell>
        </row>
        <row r="25">
          <cell r="M25" t="str">
            <v>42IM0055C</v>
          </cell>
          <cell r="N25" t="str">
            <v>KAGONGO/XAD03F02</v>
          </cell>
          <cell r="O25" t="str">
            <v>0</v>
          </cell>
          <cell r="P25">
            <v>48</v>
          </cell>
          <cell r="Q25" t="str">
            <v>60 KG JUTE BAG</v>
          </cell>
          <cell r="R25">
            <v>2837.9</v>
          </cell>
          <cell r="S25" t="str">
            <v>70752</v>
          </cell>
          <cell r="T25" t="str">
            <v>2020/2021-002254</v>
          </cell>
          <cell r="U25" t="str">
            <v>Across Location</v>
          </cell>
          <cell r="V25">
            <v>46238</v>
          </cell>
          <cell r="W25" t="str">
            <v>ALEGR-003459</v>
          </cell>
          <cell r="X25">
            <v>46245</v>
          </cell>
          <cell r="Y25" t="str">
            <v>ALEGR-003459</v>
          </cell>
          <cell r="Z25">
            <v>46245</v>
          </cell>
          <cell r="AA25">
            <v>48</v>
          </cell>
          <cell r="AB25">
            <v>2838.8</v>
          </cell>
        </row>
        <row r="26">
          <cell r="M26" t="str">
            <v>42IM0056C</v>
          </cell>
          <cell r="N26" t="str">
            <v>KAGONGO/XAD03F02</v>
          </cell>
          <cell r="O26" t="str">
            <v>0</v>
          </cell>
          <cell r="P26">
            <v>25</v>
          </cell>
          <cell r="Q26" t="str">
            <v>60 KG JUTE BAG</v>
          </cell>
          <cell r="R26">
            <v>1496</v>
          </cell>
          <cell r="S26" t="str">
            <v>70757</v>
          </cell>
          <cell r="T26" t="str">
            <v>2020/2021-002254</v>
          </cell>
          <cell r="U26" t="str">
            <v>Across Location</v>
          </cell>
          <cell r="V26">
            <v>46238</v>
          </cell>
          <cell r="W26" t="str">
            <v>ALEGR-003461</v>
          </cell>
          <cell r="X26">
            <v>46245</v>
          </cell>
          <cell r="Y26" t="str">
            <v>ALEGR-003461</v>
          </cell>
          <cell r="Z26">
            <v>46245</v>
          </cell>
          <cell r="AA26">
            <v>25</v>
          </cell>
          <cell r="AB26">
            <v>1495.5</v>
          </cell>
        </row>
        <row r="27">
          <cell r="M27" t="str">
            <v>42IM0048C</v>
          </cell>
          <cell r="N27" t="str">
            <v>KIANYAGA/XAD03F06</v>
          </cell>
          <cell r="O27" t="str">
            <v>0</v>
          </cell>
          <cell r="P27">
            <v>124</v>
          </cell>
          <cell r="Q27" t="str">
            <v>60 KG JUTE BAG</v>
          </cell>
          <cell r="R27">
            <v>7414.1</v>
          </cell>
          <cell r="S27" t="str">
            <v>70727</v>
          </cell>
          <cell r="T27" t="str">
            <v>2020/2021-002254</v>
          </cell>
          <cell r="U27" t="str">
            <v>Across Location</v>
          </cell>
          <cell r="V27">
            <v>46238</v>
          </cell>
          <cell r="W27" t="str">
            <v>ALEGR-003458</v>
          </cell>
          <cell r="X27">
            <v>46245</v>
          </cell>
          <cell r="Y27" t="str">
            <v>ALEGR-003458</v>
          </cell>
          <cell r="Z27">
            <v>46245</v>
          </cell>
          <cell r="AA27">
            <v>124</v>
          </cell>
          <cell r="AB27">
            <v>7421.4</v>
          </cell>
        </row>
        <row r="28">
          <cell r="M28" t="str">
            <v>42IM0057C</v>
          </cell>
          <cell r="N28" t="str">
            <v>KARIRU/XAD03F10</v>
          </cell>
          <cell r="O28" t="str">
            <v>0</v>
          </cell>
          <cell r="P28">
            <v>55</v>
          </cell>
          <cell r="Q28" t="str">
            <v>60 KG JUTE BAG</v>
          </cell>
          <cell r="R28">
            <v>3275</v>
          </cell>
          <cell r="S28" t="str">
            <v>70762</v>
          </cell>
          <cell r="T28" t="str">
            <v>2020/2021-002254</v>
          </cell>
          <cell r="U28" t="str">
            <v>Across Location</v>
          </cell>
          <cell r="V28">
            <v>46238</v>
          </cell>
          <cell r="W28" t="str">
            <v>ALEGR-003456</v>
          </cell>
          <cell r="X28">
            <v>46245</v>
          </cell>
          <cell r="Y28" t="str">
            <v>ALEGR-003456</v>
          </cell>
          <cell r="Z28">
            <v>46245</v>
          </cell>
          <cell r="AA28">
            <v>55</v>
          </cell>
          <cell r="AB28">
            <v>3280.5</v>
          </cell>
        </row>
        <row r="29">
          <cell r="M29" t="str">
            <v>42IM0058C</v>
          </cell>
          <cell r="N29" t="str">
            <v>GUAMA/XAD03F07</v>
          </cell>
          <cell r="O29" t="str">
            <v>0</v>
          </cell>
          <cell r="P29">
            <v>37</v>
          </cell>
          <cell r="Q29" t="str">
            <v>60 KG JUTE BAG</v>
          </cell>
          <cell r="R29">
            <v>2209.6</v>
          </cell>
          <cell r="S29" t="str">
            <v>70767</v>
          </cell>
          <cell r="T29" t="str">
            <v>2020/2021-002254</v>
          </cell>
          <cell r="U29" t="str">
            <v>Across Location</v>
          </cell>
          <cell r="V29">
            <v>46238</v>
          </cell>
          <cell r="W29" t="str">
            <v>ALEGR-003456</v>
          </cell>
          <cell r="X29">
            <v>46245</v>
          </cell>
          <cell r="Y29" t="str">
            <v>ALEGR-003456</v>
          </cell>
          <cell r="Z29">
            <v>46245</v>
          </cell>
          <cell r="AA29">
            <v>37</v>
          </cell>
          <cell r="AB29">
            <v>2215.6999999999998</v>
          </cell>
        </row>
        <row r="30">
          <cell r="M30" t="str">
            <v>42IM0059C</v>
          </cell>
          <cell r="N30" t="str">
            <v>MUCHAGARA/XAD03F01</v>
          </cell>
          <cell r="O30" t="str">
            <v>0</v>
          </cell>
          <cell r="P30">
            <v>32</v>
          </cell>
          <cell r="Q30" t="str">
            <v>60 KG JUTE BAG</v>
          </cell>
          <cell r="R30">
            <v>1886.9</v>
          </cell>
          <cell r="S30" t="str">
            <v>70772</v>
          </cell>
          <cell r="T30" t="str">
            <v>2020/2021-002254</v>
          </cell>
          <cell r="U30" t="str">
            <v>Across Location</v>
          </cell>
          <cell r="V30">
            <v>46238</v>
          </cell>
          <cell r="W30" t="str">
            <v>ALEGR-003460</v>
          </cell>
          <cell r="X30">
            <v>46245</v>
          </cell>
          <cell r="Y30" t="str">
            <v>ALEGR-003460</v>
          </cell>
          <cell r="Z30">
            <v>46245</v>
          </cell>
          <cell r="AA30">
            <v>32</v>
          </cell>
          <cell r="AB30">
            <v>1890.2</v>
          </cell>
        </row>
        <row r="31">
          <cell r="M31" t="str">
            <v>42IM0049C</v>
          </cell>
          <cell r="N31" t="str">
            <v>GITHIURURI/XAD03F11</v>
          </cell>
          <cell r="O31" t="str">
            <v>0</v>
          </cell>
          <cell r="P31">
            <v>49</v>
          </cell>
          <cell r="Q31" t="str">
            <v>60 KG JUTE BAG</v>
          </cell>
          <cell r="R31">
            <v>2892.2</v>
          </cell>
          <cell r="S31" t="str">
            <v>70732</v>
          </cell>
          <cell r="T31" t="str">
            <v>2020/2021-002254</v>
          </cell>
          <cell r="U31" t="str">
            <v>Across Location</v>
          </cell>
          <cell r="V31">
            <v>46238</v>
          </cell>
          <cell r="W31" t="str">
            <v>ALEGR-003456</v>
          </cell>
          <cell r="X31">
            <v>46245</v>
          </cell>
          <cell r="Y31" t="str">
            <v>ALEGR-003456</v>
          </cell>
          <cell r="Z31">
            <v>46245</v>
          </cell>
          <cell r="AA31">
            <v>49</v>
          </cell>
          <cell r="AB31">
            <v>2895.9</v>
          </cell>
        </row>
        <row r="32">
          <cell r="M32" t="str">
            <v>42IM0050PB</v>
          </cell>
          <cell r="N32" t="str">
            <v>RUAMBITI/XAD03F03</v>
          </cell>
          <cell r="O32" t="str">
            <v>0</v>
          </cell>
          <cell r="P32">
            <v>6</v>
          </cell>
          <cell r="Q32" t="str">
            <v>60 KG JUTE BAG</v>
          </cell>
          <cell r="R32">
            <v>355.9</v>
          </cell>
          <cell r="S32" t="str">
            <v>70739</v>
          </cell>
          <cell r="T32" t="str">
            <v>2020/2021-002254</v>
          </cell>
          <cell r="U32" t="str">
            <v>Across Location</v>
          </cell>
          <cell r="V32">
            <v>46238</v>
          </cell>
          <cell r="W32" t="str">
            <v>ALEGR-003458</v>
          </cell>
          <cell r="X32">
            <v>46245</v>
          </cell>
          <cell r="Y32" t="str">
            <v>ALEGR-003458</v>
          </cell>
          <cell r="Z32">
            <v>46245</v>
          </cell>
          <cell r="AA32">
            <v>6</v>
          </cell>
          <cell r="AB32">
            <v>355.6</v>
          </cell>
        </row>
        <row r="33">
          <cell r="M33" t="str">
            <v>42IM0051PB</v>
          </cell>
          <cell r="N33" t="str">
            <v>KIAJIRU/XAD03F09</v>
          </cell>
          <cell r="O33" t="str">
            <v>0</v>
          </cell>
          <cell r="P33">
            <v>7</v>
          </cell>
          <cell r="Q33" t="str">
            <v>60 KG JUTE BAG</v>
          </cell>
          <cell r="R33">
            <v>426.4</v>
          </cell>
          <cell r="S33" t="str">
            <v>70744</v>
          </cell>
          <cell r="T33" t="str">
            <v>2020/2021-002254</v>
          </cell>
          <cell r="U33" t="str">
            <v>Across Location</v>
          </cell>
          <cell r="V33">
            <v>46238</v>
          </cell>
          <cell r="W33" t="str">
            <v>ALEGR-003460</v>
          </cell>
          <cell r="X33">
            <v>46245</v>
          </cell>
          <cell r="Y33" t="str">
            <v>ALEGR-003460</v>
          </cell>
          <cell r="Z33">
            <v>46245</v>
          </cell>
          <cell r="AA33">
            <v>7</v>
          </cell>
          <cell r="AB33">
            <v>424.7</v>
          </cell>
        </row>
        <row r="34">
          <cell r="M34" t="str">
            <v>42IM0052PB</v>
          </cell>
          <cell r="N34" t="str">
            <v>KIANJIRU/XAD03F09</v>
          </cell>
          <cell r="O34" t="str">
            <v>0</v>
          </cell>
          <cell r="P34">
            <v>6</v>
          </cell>
          <cell r="Q34" t="str">
            <v>60 KG JUTE BAG</v>
          </cell>
          <cell r="R34">
            <v>315.5</v>
          </cell>
          <cell r="S34" t="str">
            <v>70749</v>
          </cell>
          <cell r="T34" t="str">
            <v>2020/2021-002254</v>
          </cell>
          <cell r="U34" t="str">
            <v>Across Location</v>
          </cell>
          <cell r="V34">
            <v>46238</v>
          </cell>
          <cell r="W34" t="str">
            <v>ALEGR-003461</v>
          </cell>
          <cell r="X34">
            <v>46245</v>
          </cell>
          <cell r="Y34" t="str">
            <v>ALEGR-003461</v>
          </cell>
          <cell r="Z34">
            <v>46245</v>
          </cell>
          <cell r="AA34">
            <v>5</v>
          </cell>
          <cell r="AB34">
            <v>317.5</v>
          </cell>
        </row>
        <row r="35">
          <cell r="M35" t="str">
            <v>42IM0055PB</v>
          </cell>
          <cell r="N35" t="str">
            <v>KAGONGO/XAD03F02</v>
          </cell>
          <cell r="O35" t="str">
            <v>0</v>
          </cell>
          <cell r="P35">
            <v>4</v>
          </cell>
          <cell r="Q35" t="str">
            <v>60 KG JUTE BAG</v>
          </cell>
          <cell r="R35">
            <v>241.7</v>
          </cell>
          <cell r="S35" t="str">
            <v>70754</v>
          </cell>
          <cell r="T35" t="str">
            <v>2020/2021-002254</v>
          </cell>
          <cell r="U35" t="str">
            <v>Across Location</v>
          </cell>
          <cell r="V35">
            <v>46238</v>
          </cell>
          <cell r="W35" t="str">
            <v>ALEGR-003457</v>
          </cell>
          <cell r="X35">
            <v>46245</v>
          </cell>
          <cell r="Y35" t="str">
            <v>ALEGR-003457</v>
          </cell>
          <cell r="Z35">
            <v>46245</v>
          </cell>
          <cell r="AA35">
            <v>4</v>
          </cell>
          <cell r="AB35">
            <v>237.4</v>
          </cell>
        </row>
        <row r="36">
          <cell r="M36" t="str">
            <v>42IM0056PB</v>
          </cell>
          <cell r="N36" t="str">
            <v>KAGONGO/XAD03F02</v>
          </cell>
          <cell r="O36" t="str">
            <v>0</v>
          </cell>
          <cell r="P36">
            <v>3</v>
          </cell>
          <cell r="Q36" t="str">
            <v>60 KG JUTE BAG</v>
          </cell>
          <cell r="R36">
            <v>166.2</v>
          </cell>
          <cell r="S36" t="str">
            <v>70759</v>
          </cell>
          <cell r="T36" t="str">
            <v>2020/2021-002254</v>
          </cell>
          <cell r="U36" t="str">
            <v>Across Location</v>
          </cell>
          <cell r="V36">
            <v>46238</v>
          </cell>
          <cell r="W36" t="str">
            <v>ALEGR-003460</v>
          </cell>
          <cell r="X36">
            <v>46245</v>
          </cell>
          <cell r="Y36" t="str">
            <v>ALEGR-003460</v>
          </cell>
          <cell r="Z36">
            <v>46245</v>
          </cell>
          <cell r="AA36">
            <v>3</v>
          </cell>
          <cell r="AB36">
            <v>166.3</v>
          </cell>
        </row>
        <row r="37">
          <cell r="M37" t="str">
            <v>42IM0057PB</v>
          </cell>
          <cell r="N37" t="str">
            <v>KARIRU/XAD03F10</v>
          </cell>
          <cell r="O37" t="str">
            <v>0</v>
          </cell>
          <cell r="P37">
            <v>6</v>
          </cell>
          <cell r="Q37" t="str">
            <v>60 KG JUTE BAG</v>
          </cell>
          <cell r="R37">
            <v>330.5</v>
          </cell>
          <cell r="S37" t="str">
            <v>70764</v>
          </cell>
          <cell r="T37" t="str">
            <v>2020/2021-002254</v>
          </cell>
          <cell r="U37" t="str">
            <v>Across Location</v>
          </cell>
          <cell r="V37">
            <v>46238</v>
          </cell>
          <cell r="W37" t="str">
            <v>ALEGR-003456</v>
          </cell>
          <cell r="X37">
            <v>46245</v>
          </cell>
          <cell r="Y37" t="str">
            <v>ALEGR-003456</v>
          </cell>
          <cell r="Z37">
            <v>46245</v>
          </cell>
          <cell r="AA37">
            <v>6</v>
          </cell>
          <cell r="AB37">
            <v>330.6</v>
          </cell>
        </row>
        <row r="38">
          <cell r="M38" t="str">
            <v>42IM0058PB</v>
          </cell>
          <cell r="N38" t="str">
            <v>GUAMA/XAD03F07</v>
          </cell>
          <cell r="O38" t="str">
            <v>0</v>
          </cell>
          <cell r="P38">
            <v>4</v>
          </cell>
          <cell r="Q38" t="str">
            <v>60 KG JUTE BAG</v>
          </cell>
          <cell r="R38">
            <v>242.7</v>
          </cell>
          <cell r="S38" t="str">
            <v>70769</v>
          </cell>
          <cell r="T38" t="str">
            <v>2020/2021-002254</v>
          </cell>
          <cell r="U38" t="str">
            <v>Across Location</v>
          </cell>
          <cell r="V38">
            <v>46238</v>
          </cell>
          <cell r="W38" t="str">
            <v>ALEGR-003456</v>
          </cell>
          <cell r="X38">
            <v>46245</v>
          </cell>
          <cell r="Y38" t="str">
            <v>ALEGR-003456</v>
          </cell>
          <cell r="Z38">
            <v>46245</v>
          </cell>
          <cell r="AA38">
            <v>4</v>
          </cell>
          <cell r="AB38">
            <v>242.4</v>
          </cell>
        </row>
        <row r="39">
          <cell r="M39" t="str">
            <v>42IM0048PB</v>
          </cell>
          <cell r="N39" t="str">
            <v>KIANYAGA/XAD03F06</v>
          </cell>
          <cell r="O39" t="str">
            <v>0</v>
          </cell>
          <cell r="P39">
            <v>13</v>
          </cell>
          <cell r="Q39" t="str">
            <v>60 KG JUTE BAG</v>
          </cell>
          <cell r="R39">
            <v>785</v>
          </cell>
          <cell r="S39" t="str">
            <v>70729</v>
          </cell>
          <cell r="T39" t="str">
            <v>2020/2021-002254</v>
          </cell>
          <cell r="U39" t="str">
            <v>Across Location</v>
          </cell>
          <cell r="V39">
            <v>46238</v>
          </cell>
          <cell r="W39" t="str">
            <v>ALEGR-003459</v>
          </cell>
          <cell r="X39">
            <v>46245</v>
          </cell>
          <cell r="Y39" t="str">
            <v>ALEGR-003459</v>
          </cell>
          <cell r="Z39">
            <v>46245</v>
          </cell>
          <cell r="AA39">
            <v>13</v>
          </cell>
          <cell r="AB39">
            <v>784.3</v>
          </cell>
        </row>
        <row r="40">
          <cell r="M40" t="str">
            <v>42IM0059PB</v>
          </cell>
          <cell r="N40" t="str">
            <v>MUCHAGARA/XAD03F01</v>
          </cell>
          <cell r="O40" t="str">
            <v>0</v>
          </cell>
          <cell r="P40">
            <v>4</v>
          </cell>
          <cell r="Q40" t="str">
            <v>60 KG JUTE BAG</v>
          </cell>
          <cell r="R40">
            <v>190.9</v>
          </cell>
          <cell r="S40" t="str">
            <v>70774</v>
          </cell>
          <cell r="T40" t="str">
            <v>2020/2021-002254</v>
          </cell>
          <cell r="U40" t="str">
            <v>Across Location</v>
          </cell>
          <cell r="V40">
            <v>46238</v>
          </cell>
          <cell r="W40" t="str">
            <v>ALEGR-003461</v>
          </cell>
          <cell r="X40">
            <v>46245</v>
          </cell>
          <cell r="Y40" t="str">
            <v>ALEGR-003461</v>
          </cell>
          <cell r="Z40">
            <v>46245</v>
          </cell>
          <cell r="AA40">
            <v>3</v>
          </cell>
          <cell r="AB40">
            <v>191.3</v>
          </cell>
        </row>
        <row r="41">
          <cell r="M41" t="str">
            <v>42IM0049PB</v>
          </cell>
          <cell r="N41" t="str">
            <v>GITHIURURI/XAD03F11</v>
          </cell>
          <cell r="O41" t="str">
            <v>0</v>
          </cell>
          <cell r="P41">
            <v>6</v>
          </cell>
          <cell r="Q41" t="str">
            <v>60 KG JUTE BAG</v>
          </cell>
          <cell r="R41">
            <v>325.3</v>
          </cell>
          <cell r="S41" t="str">
            <v>70734</v>
          </cell>
          <cell r="T41" t="str">
            <v>2020/2021-002254</v>
          </cell>
          <cell r="U41" t="str">
            <v>Across Location</v>
          </cell>
          <cell r="V41">
            <v>46238</v>
          </cell>
          <cell r="W41" t="str">
            <v>ALEGR-003456</v>
          </cell>
          <cell r="X41">
            <v>46245</v>
          </cell>
          <cell r="Y41" t="str">
            <v>ALEGR-003456</v>
          </cell>
          <cell r="Z41">
            <v>46245</v>
          </cell>
          <cell r="AA41">
            <v>6</v>
          </cell>
          <cell r="AB41">
            <v>325.60000000000002</v>
          </cell>
        </row>
      </sheetData>
      <sheetData sheetId="2">
        <row r="1">
          <cell r="M1" t="str">
            <v>OT</v>
          </cell>
          <cell r="N1" t="str">
            <v>Grower Marks</v>
          </cell>
          <cell r="O1" t="str">
            <v>Stock In Day(s)- 3rd Party Warehouse</v>
          </cell>
          <cell r="P1" t="str">
            <v>Units</v>
          </cell>
          <cell r="Q1" t="str">
            <v>Packing Type</v>
          </cell>
          <cell r="R1" t="str">
            <v>Qty.</v>
          </cell>
          <cell r="S1" t="str">
            <v>Warrant No</v>
          </cell>
          <cell r="T1" t="str">
            <v>STI No.</v>
          </cell>
          <cell r="U1" t="str">
            <v>STI Type</v>
          </cell>
          <cell r="V1" t="str">
            <v>STI Date</v>
          </cell>
          <cell r="W1" t="str">
            <v>ST No.</v>
          </cell>
          <cell r="X1" t="str">
            <v>ST Date</v>
          </cell>
          <cell r="Y1" t="str">
            <v>STR No.</v>
          </cell>
          <cell r="Z1" t="str">
            <v>STR Date</v>
          </cell>
          <cell r="AA1" t="str">
            <v>Actual Receipt Units</v>
          </cell>
          <cell r="AB1" t="str">
            <v>Actual Receipt Qty.</v>
          </cell>
        </row>
        <row r="2">
          <cell r="M2" t="str">
            <v>43IM2002HE</v>
          </cell>
          <cell r="N2" t="str">
            <v>BARAGWIFCS/XAD03</v>
          </cell>
          <cell r="O2" t="str">
            <v>0</v>
          </cell>
          <cell r="P2">
            <v>2</v>
          </cell>
          <cell r="Q2" t="str">
            <v>60 KG JUTE BAG</v>
          </cell>
          <cell r="R2">
            <v>95.3</v>
          </cell>
          <cell r="S2" t="str">
            <v>70776</v>
          </cell>
          <cell r="T2" t="str">
            <v>2020/2021-002254</v>
          </cell>
          <cell r="U2" t="str">
            <v>Across Location</v>
          </cell>
          <cell r="V2">
            <v>46238</v>
          </cell>
          <cell r="W2" t="str">
            <v>ALEGR-003459</v>
          </cell>
          <cell r="X2">
            <v>46245</v>
          </cell>
          <cell r="Y2" t="str">
            <v>ALEGR-003459</v>
          </cell>
          <cell r="Z2">
            <v>46245</v>
          </cell>
          <cell r="AA2">
            <v>2</v>
          </cell>
          <cell r="AB2">
            <v>97.2</v>
          </cell>
        </row>
        <row r="3">
          <cell r="M3" t="str">
            <v>42IM0048T</v>
          </cell>
          <cell r="N3" t="str">
            <v>KIANYAGA/XAD03F06</v>
          </cell>
          <cell r="O3" t="str">
            <v>0</v>
          </cell>
          <cell r="P3">
            <v>36</v>
          </cell>
          <cell r="Q3" t="str">
            <v>60 KG JUTE BAG</v>
          </cell>
          <cell r="R3">
            <v>2172.6999999999998</v>
          </cell>
          <cell r="S3" t="str">
            <v>70728</v>
          </cell>
          <cell r="T3" t="str">
            <v>2020/2021-002254</v>
          </cell>
          <cell r="U3" t="str">
            <v>Across Location</v>
          </cell>
          <cell r="V3">
            <v>46238</v>
          </cell>
          <cell r="W3" t="str">
            <v>ALEGR-003460</v>
          </cell>
          <cell r="X3">
            <v>46245</v>
          </cell>
          <cell r="Y3" t="str">
            <v>ALEGR-003460</v>
          </cell>
          <cell r="Z3">
            <v>46245</v>
          </cell>
          <cell r="AA3">
            <v>36</v>
          </cell>
          <cell r="AB3">
            <v>2173.6</v>
          </cell>
        </row>
        <row r="4">
          <cell r="M4" t="str">
            <v>42IM0059T</v>
          </cell>
          <cell r="N4" t="str">
            <v>MUCHAGARA/XAD03F01</v>
          </cell>
          <cell r="O4" t="str">
            <v>0</v>
          </cell>
          <cell r="P4">
            <v>10</v>
          </cell>
          <cell r="Q4" t="str">
            <v>60 KG JUTE BAG</v>
          </cell>
          <cell r="R4">
            <v>561.5</v>
          </cell>
          <cell r="S4" t="str">
            <v>70773</v>
          </cell>
          <cell r="T4" t="str">
            <v>2020/2021-002254</v>
          </cell>
          <cell r="U4" t="str">
            <v>Across Location</v>
          </cell>
          <cell r="V4">
            <v>46238</v>
          </cell>
          <cell r="W4" t="str">
            <v>ALEGR-003461</v>
          </cell>
          <cell r="X4">
            <v>46245</v>
          </cell>
          <cell r="Y4" t="str">
            <v>ALEGR-003461</v>
          </cell>
          <cell r="Z4">
            <v>46245</v>
          </cell>
          <cell r="AA4">
            <v>10</v>
          </cell>
          <cell r="AB4">
            <v>564</v>
          </cell>
        </row>
        <row r="5">
          <cell r="M5" t="str">
            <v>42IM0049T</v>
          </cell>
          <cell r="N5" t="str">
            <v>GITHIURURI/XAD03F11</v>
          </cell>
          <cell r="O5" t="str">
            <v>0</v>
          </cell>
          <cell r="P5">
            <v>20</v>
          </cell>
          <cell r="Q5" t="str">
            <v>60 KG JUTE BAG</v>
          </cell>
          <cell r="R5">
            <v>1165.0999999999999</v>
          </cell>
          <cell r="S5" t="str">
            <v>70733</v>
          </cell>
          <cell r="T5" t="str">
            <v>2020/2021-002254</v>
          </cell>
          <cell r="U5" t="str">
            <v>Across Location</v>
          </cell>
          <cell r="V5">
            <v>46238</v>
          </cell>
          <cell r="W5" t="str">
            <v>ALEGR-003460</v>
          </cell>
          <cell r="X5">
            <v>46245</v>
          </cell>
          <cell r="Y5" t="str">
            <v>ALEGR-003460</v>
          </cell>
          <cell r="Z5">
            <v>46245</v>
          </cell>
          <cell r="AA5">
            <v>20</v>
          </cell>
          <cell r="AB5">
            <v>1167</v>
          </cell>
        </row>
        <row r="6">
          <cell r="M6" t="str">
            <v>42IM0050T</v>
          </cell>
          <cell r="N6" t="str">
            <v>RUAMBITI/XAD03F03</v>
          </cell>
          <cell r="O6" t="str">
            <v>0</v>
          </cell>
          <cell r="P6">
            <v>16</v>
          </cell>
          <cell r="Q6" t="str">
            <v>60 KG JUTE BAG</v>
          </cell>
          <cell r="R6">
            <v>919.7</v>
          </cell>
          <cell r="S6" t="str">
            <v>70738</v>
          </cell>
          <cell r="T6" t="str">
            <v>2020/2021-002254</v>
          </cell>
          <cell r="U6" t="str">
            <v>Across Location</v>
          </cell>
          <cell r="V6">
            <v>46238</v>
          </cell>
          <cell r="W6" t="str">
            <v>ALEGR-003460</v>
          </cell>
          <cell r="X6">
            <v>46245</v>
          </cell>
          <cell r="Y6" t="str">
            <v>ALEGR-003460</v>
          </cell>
          <cell r="Z6">
            <v>46245</v>
          </cell>
          <cell r="AA6">
            <v>16</v>
          </cell>
          <cell r="AB6">
            <v>922.6</v>
          </cell>
        </row>
        <row r="7">
          <cell r="M7" t="str">
            <v>42IM0051T</v>
          </cell>
          <cell r="N7" t="str">
            <v>KIAJIRU/XAD03F09</v>
          </cell>
          <cell r="O7" t="str">
            <v>0</v>
          </cell>
          <cell r="P7">
            <v>26</v>
          </cell>
          <cell r="Q7" t="str">
            <v>60 KG JUTE BAG</v>
          </cell>
          <cell r="R7">
            <v>1529.5</v>
          </cell>
          <cell r="S7" t="str">
            <v>70743</v>
          </cell>
          <cell r="T7" t="str">
            <v>2020/2021-002254</v>
          </cell>
          <cell r="U7" t="str">
            <v>Across Location</v>
          </cell>
          <cell r="V7">
            <v>46238</v>
          </cell>
          <cell r="W7" t="str">
            <v>ALEGR-003459</v>
          </cell>
          <cell r="X7">
            <v>46245</v>
          </cell>
          <cell r="Y7" t="str">
            <v>ALEGR-003459</v>
          </cell>
          <cell r="Z7">
            <v>46245</v>
          </cell>
          <cell r="AA7">
            <v>26</v>
          </cell>
          <cell r="AB7">
            <v>1532.6</v>
          </cell>
        </row>
        <row r="8">
          <cell r="M8" t="str">
            <v>42IM0052T</v>
          </cell>
          <cell r="N8" t="str">
            <v>KIANJIRU/XAD03F09</v>
          </cell>
          <cell r="O8" t="str">
            <v>0</v>
          </cell>
          <cell r="P8">
            <v>17</v>
          </cell>
          <cell r="Q8" t="str">
            <v>60 KG JUTE BAG</v>
          </cell>
          <cell r="R8">
            <v>1008.6</v>
          </cell>
          <cell r="S8" t="str">
            <v>70748</v>
          </cell>
          <cell r="T8" t="str">
            <v>2020/2021-002254</v>
          </cell>
          <cell r="U8" t="str">
            <v>Across Location</v>
          </cell>
          <cell r="V8">
            <v>46238</v>
          </cell>
          <cell r="W8" t="str">
            <v>ALEGR-003461</v>
          </cell>
          <cell r="X8">
            <v>46245</v>
          </cell>
          <cell r="Y8" t="str">
            <v>ALEGR-003461</v>
          </cell>
          <cell r="Z8">
            <v>46245</v>
          </cell>
          <cell r="AA8">
            <v>17</v>
          </cell>
          <cell r="AB8">
            <v>1009.7</v>
          </cell>
        </row>
        <row r="9">
          <cell r="M9" t="str">
            <v>42IM0055T</v>
          </cell>
          <cell r="N9" t="str">
            <v>KAGONGO/XAD03F02</v>
          </cell>
          <cell r="O9" t="str">
            <v>0</v>
          </cell>
          <cell r="P9">
            <v>16</v>
          </cell>
          <cell r="Q9" t="str">
            <v>60 KG JUTE BAG</v>
          </cell>
          <cell r="R9">
            <v>966.5</v>
          </cell>
          <cell r="S9" t="str">
            <v>70753</v>
          </cell>
          <cell r="T9" t="str">
            <v>2020/2021-002254</v>
          </cell>
          <cell r="U9" t="str">
            <v>Across Location</v>
          </cell>
          <cell r="V9">
            <v>46238</v>
          </cell>
          <cell r="W9" t="str">
            <v>ALEGR-003459</v>
          </cell>
          <cell r="X9">
            <v>46245</v>
          </cell>
          <cell r="Y9" t="str">
            <v>ALEGR-003459</v>
          </cell>
          <cell r="Z9">
            <v>46245</v>
          </cell>
          <cell r="AA9">
            <v>16</v>
          </cell>
          <cell r="AB9">
            <v>967.6</v>
          </cell>
        </row>
        <row r="10">
          <cell r="M10" t="str">
            <v>42IM0056T</v>
          </cell>
          <cell r="N10" t="str">
            <v>KAGONGO/XAD03F02</v>
          </cell>
          <cell r="O10" t="str">
            <v>0</v>
          </cell>
          <cell r="P10">
            <v>7</v>
          </cell>
          <cell r="Q10" t="str">
            <v>60 KG JUTE BAG</v>
          </cell>
          <cell r="R10">
            <v>398.2</v>
          </cell>
          <cell r="S10" t="str">
            <v>70758</v>
          </cell>
          <cell r="T10" t="str">
            <v>2020/2021-002254</v>
          </cell>
          <cell r="U10" t="str">
            <v>Across Location</v>
          </cell>
          <cell r="V10">
            <v>46238</v>
          </cell>
          <cell r="W10" t="str">
            <v>ALEGR-003461</v>
          </cell>
          <cell r="X10">
            <v>46245</v>
          </cell>
          <cell r="Y10" t="str">
            <v>ALEGR-003461</v>
          </cell>
          <cell r="Z10">
            <v>46245</v>
          </cell>
          <cell r="AA10">
            <v>7</v>
          </cell>
          <cell r="AB10">
            <v>397.7</v>
          </cell>
        </row>
        <row r="11">
          <cell r="M11" t="str">
            <v>42IM0057T</v>
          </cell>
          <cell r="N11" t="str">
            <v>KARIRU/XAD03F10</v>
          </cell>
          <cell r="O11" t="str">
            <v>0</v>
          </cell>
          <cell r="P11">
            <v>17</v>
          </cell>
          <cell r="Q11" t="str">
            <v>60 KG JUTE BAG</v>
          </cell>
          <cell r="R11">
            <v>988.2</v>
          </cell>
          <cell r="S11" t="str">
            <v>70763</v>
          </cell>
          <cell r="T11" t="str">
            <v>2020/2021-002254</v>
          </cell>
          <cell r="U11" t="str">
            <v>Across Location</v>
          </cell>
          <cell r="V11">
            <v>46238</v>
          </cell>
          <cell r="W11" t="str">
            <v>ALEGR-003459</v>
          </cell>
          <cell r="X11">
            <v>46245</v>
          </cell>
          <cell r="Y11" t="str">
            <v>ALEGR-003459</v>
          </cell>
          <cell r="Z11">
            <v>46245</v>
          </cell>
          <cell r="AA11">
            <v>17</v>
          </cell>
          <cell r="AB11">
            <v>983.7</v>
          </cell>
        </row>
        <row r="12">
          <cell r="M12" t="str">
            <v>42IM0058T</v>
          </cell>
          <cell r="N12" t="str">
            <v>GUAMA/XAD03F07</v>
          </cell>
          <cell r="O12" t="str">
            <v>0</v>
          </cell>
          <cell r="P12">
            <v>11</v>
          </cell>
          <cell r="Q12" t="str">
            <v>60 KG JUTE BAG</v>
          </cell>
          <cell r="R12">
            <v>664.6</v>
          </cell>
          <cell r="S12" t="str">
            <v>70768</v>
          </cell>
          <cell r="T12" t="str">
            <v>2020/2021-002254</v>
          </cell>
          <cell r="U12" t="str">
            <v>Across Location</v>
          </cell>
          <cell r="V12">
            <v>46238</v>
          </cell>
          <cell r="W12" t="str">
            <v>ALEGR-003460</v>
          </cell>
          <cell r="X12">
            <v>46245</v>
          </cell>
          <cell r="Y12" t="str">
            <v>ALEGR-003460</v>
          </cell>
          <cell r="Z12">
            <v>46245</v>
          </cell>
          <cell r="AA12">
            <v>11</v>
          </cell>
          <cell r="AB12">
            <v>665.1</v>
          </cell>
        </row>
        <row r="13">
          <cell r="M13" t="str">
            <v>43IM2001TT</v>
          </cell>
          <cell r="N13" t="str">
            <v>BARAGWIFCS/XAD03</v>
          </cell>
          <cell r="O13" t="str">
            <v>0</v>
          </cell>
          <cell r="P13">
            <v>10</v>
          </cell>
          <cell r="Q13" t="str">
            <v>60 KG JUTE BAG</v>
          </cell>
          <cell r="R13">
            <v>605.9</v>
          </cell>
          <cell r="S13" t="str">
            <v>70775</v>
          </cell>
          <cell r="T13" t="str">
            <v>2020/2021-002254</v>
          </cell>
          <cell r="U13" t="str">
            <v>Across Location</v>
          </cell>
          <cell r="V13">
            <v>46238</v>
          </cell>
          <cell r="W13" t="str">
            <v>ALEGR-003459</v>
          </cell>
          <cell r="X13">
            <v>46245</v>
          </cell>
          <cell r="Y13" t="str">
            <v>ALEGR-003459</v>
          </cell>
          <cell r="Z13">
            <v>46245</v>
          </cell>
          <cell r="AA13">
            <v>10</v>
          </cell>
          <cell r="AB13">
            <v>605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94B3-65DA-41E7-8DBC-68E510C007B6}">
  <dimension ref="A1:V102"/>
  <sheetViews>
    <sheetView topLeftCell="A57" zoomScale="80" zoomScaleNormal="80" workbookViewId="0">
      <selection activeCell="A69" sqref="A69:XFD69"/>
    </sheetView>
  </sheetViews>
  <sheetFormatPr defaultColWidth="20" defaultRowHeight="14.5"/>
  <cols>
    <col min="1" max="1" width="20" style="16"/>
    <col min="2" max="2" width="9" style="16" customWidth="1"/>
    <col min="3" max="3" width="15.54296875" style="16" customWidth="1"/>
    <col min="4" max="4" width="20" style="16"/>
    <col min="5" max="5" width="38.1796875" style="16" customWidth="1"/>
    <col min="6" max="7" width="20" style="16"/>
    <col min="8" max="8" width="0" style="16" hidden="1" customWidth="1"/>
    <col min="9" max="9" width="18.54296875" style="16" bestFit="1" customWidth="1"/>
    <col min="10" max="10" width="20.08984375" style="16" bestFit="1" customWidth="1"/>
    <col min="11" max="11" width="23.453125" style="16" bestFit="1" customWidth="1"/>
    <col min="12" max="15" width="20" style="16"/>
  </cols>
  <sheetData>
    <row r="1" spans="1:21">
      <c r="A1" s="6" t="s">
        <v>0</v>
      </c>
      <c r="B1" s="1397" t="s">
        <v>1</v>
      </c>
      <c r="C1" s="1397" t="s">
        <v>2</v>
      </c>
      <c r="D1" s="6" t="s">
        <v>677</v>
      </c>
      <c r="E1" s="3" t="s">
        <v>3</v>
      </c>
      <c r="F1" s="3" t="s">
        <v>4</v>
      </c>
      <c r="G1" s="3" t="s">
        <v>5</v>
      </c>
      <c r="H1" s="3"/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8"/>
    </row>
    <row r="2" spans="1:21">
      <c r="A2" s="1398" t="s">
        <v>14</v>
      </c>
      <c r="B2" s="1399">
        <v>90491</v>
      </c>
      <c r="C2" s="1399"/>
      <c r="D2" s="9"/>
      <c r="E2" s="10" t="s">
        <v>12</v>
      </c>
      <c r="F2" s="11">
        <v>10027</v>
      </c>
      <c r="G2" s="12">
        <v>1963</v>
      </c>
      <c r="H2" s="12"/>
      <c r="I2" s="12">
        <v>1963</v>
      </c>
      <c r="J2" s="12" t="s">
        <v>65</v>
      </c>
      <c r="K2" s="11" t="s">
        <v>67</v>
      </c>
      <c r="L2" s="11" t="s">
        <v>68</v>
      </c>
      <c r="M2" s="11">
        <f>528+978+371</f>
        <v>1877</v>
      </c>
      <c r="N2" s="12">
        <f>I2-M2</f>
        <v>86</v>
      </c>
      <c r="O2" s="12">
        <f>I2-G2</f>
        <v>0</v>
      </c>
    </row>
    <row r="3" spans="1:21">
      <c r="A3" s="1398" t="s">
        <v>14</v>
      </c>
      <c r="B3" s="1399">
        <v>90492</v>
      </c>
      <c r="C3" s="1399"/>
      <c r="D3" s="9"/>
      <c r="E3" s="10" t="s">
        <v>12</v>
      </c>
      <c r="F3" s="11">
        <v>10057</v>
      </c>
      <c r="G3" s="12">
        <v>357</v>
      </c>
      <c r="H3" s="12"/>
      <c r="I3" s="12">
        <v>357</v>
      </c>
      <c r="J3" s="12" t="s">
        <v>65</v>
      </c>
      <c r="K3" s="11" t="s">
        <v>67</v>
      </c>
      <c r="L3" s="11" t="s">
        <v>68</v>
      </c>
      <c r="M3" s="11"/>
      <c r="N3" s="11"/>
      <c r="O3" s="12">
        <f t="shared" ref="O3:O4" si="0">I3-G3</f>
        <v>0</v>
      </c>
    </row>
    <row r="4" spans="1:21">
      <c r="A4" s="1398" t="s">
        <v>15</v>
      </c>
      <c r="B4" s="1399">
        <v>90494</v>
      </c>
      <c r="C4" s="1399"/>
      <c r="D4" s="9"/>
      <c r="E4" s="10" t="s">
        <v>12</v>
      </c>
      <c r="F4" s="11">
        <v>10027</v>
      </c>
      <c r="G4" s="11">
        <v>468</v>
      </c>
      <c r="H4" s="11"/>
      <c r="I4" s="11">
        <v>468</v>
      </c>
      <c r="J4" s="12" t="s">
        <v>65</v>
      </c>
      <c r="K4" s="11" t="s">
        <v>67</v>
      </c>
      <c r="L4" s="11" t="s">
        <v>68</v>
      </c>
      <c r="M4" s="11"/>
      <c r="N4" s="11"/>
      <c r="O4" s="12">
        <f t="shared" si="0"/>
        <v>0</v>
      </c>
    </row>
    <row r="5" spans="1:21">
      <c r="A5" s="1398" t="s">
        <v>16</v>
      </c>
      <c r="B5" s="1399">
        <v>90496</v>
      </c>
      <c r="C5" s="1399"/>
      <c r="D5" s="9"/>
      <c r="E5" s="10" t="s">
        <v>17</v>
      </c>
      <c r="F5" s="11">
        <v>10130</v>
      </c>
      <c r="G5" s="256">
        <v>1280</v>
      </c>
      <c r="H5" s="256"/>
      <c r="I5" s="256">
        <v>1280</v>
      </c>
      <c r="J5" s="12"/>
      <c r="K5" s="11" t="s">
        <v>67</v>
      </c>
      <c r="L5" s="11" t="s">
        <v>68</v>
      </c>
      <c r="M5" s="11"/>
      <c r="N5" s="11"/>
      <c r="O5" s="11"/>
    </row>
    <row r="6" spans="1:21">
      <c r="A6" s="1398" t="s">
        <v>18</v>
      </c>
      <c r="B6" s="1399">
        <v>90468</v>
      </c>
      <c r="C6" s="1399"/>
      <c r="D6" s="9"/>
      <c r="E6" s="10" t="s">
        <v>64</v>
      </c>
      <c r="F6" s="11">
        <v>10057</v>
      </c>
      <c r="G6" s="11">
        <v>68.63</v>
      </c>
      <c r="H6" s="11"/>
      <c r="I6" s="11">
        <v>68</v>
      </c>
      <c r="J6" s="12" t="s">
        <v>65</v>
      </c>
      <c r="K6" s="11" t="s">
        <v>67</v>
      </c>
      <c r="L6" s="11" t="s">
        <v>68</v>
      </c>
      <c r="M6" s="31" t="s">
        <v>66</v>
      </c>
      <c r="N6" s="11">
        <v>68</v>
      </c>
      <c r="O6" s="11"/>
    </row>
    <row r="7" spans="1:21">
      <c r="A7" s="1398" t="s">
        <v>18</v>
      </c>
      <c r="B7" s="1399">
        <v>90741</v>
      </c>
      <c r="C7" s="1399"/>
      <c r="D7" s="9"/>
      <c r="E7" s="10" t="s">
        <v>64</v>
      </c>
      <c r="F7" s="11">
        <v>10130</v>
      </c>
      <c r="G7" s="256">
        <v>75.72</v>
      </c>
      <c r="H7" s="256"/>
      <c r="I7" s="11">
        <v>75</v>
      </c>
      <c r="J7" s="12" t="s">
        <v>65</v>
      </c>
      <c r="K7" s="11" t="s">
        <v>67</v>
      </c>
      <c r="L7" s="11" t="s">
        <v>68</v>
      </c>
      <c r="M7" s="11" t="s">
        <v>66</v>
      </c>
      <c r="N7" s="11">
        <v>75</v>
      </c>
      <c r="O7" s="11"/>
    </row>
    <row r="8" spans="1:21">
      <c r="A8" s="1398" t="s">
        <v>75</v>
      </c>
      <c r="B8" s="1399">
        <v>90502</v>
      </c>
      <c r="C8" s="1399"/>
      <c r="D8" s="9"/>
      <c r="E8" s="10" t="s">
        <v>69</v>
      </c>
      <c r="F8" s="11">
        <v>10027</v>
      </c>
      <c r="G8" s="11">
        <v>274</v>
      </c>
      <c r="H8" s="11"/>
      <c r="I8" s="11">
        <v>273</v>
      </c>
      <c r="J8" s="11" t="s">
        <v>65</v>
      </c>
      <c r="K8" s="11" t="s">
        <v>67</v>
      </c>
      <c r="L8" s="11" t="s">
        <v>68</v>
      </c>
      <c r="M8" s="11"/>
      <c r="N8" s="11"/>
      <c r="O8" s="11"/>
    </row>
    <row r="9" spans="1:21">
      <c r="A9" s="1400" t="s">
        <v>105</v>
      </c>
      <c r="B9" s="1399">
        <v>90507</v>
      </c>
      <c r="C9" s="1399"/>
      <c r="D9" s="9"/>
      <c r="E9" s="10" t="s">
        <v>155</v>
      </c>
      <c r="F9" s="11">
        <v>10027</v>
      </c>
      <c r="G9" s="11">
        <v>886</v>
      </c>
      <c r="H9" s="11"/>
      <c r="I9" s="11">
        <v>886</v>
      </c>
      <c r="J9" s="12" t="s">
        <v>175</v>
      </c>
      <c r="K9" s="11" t="s">
        <v>67</v>
      </c>
      <c r="L9" s="11" t="s">
        <v>68</v>
      </c>
      <c r="M9" s="11" t="s">
        <v>260</v>
      </c>
      <c r="N9" s="11"/>
      <c r="O9" s="11"/>
    </row>
    <row r="10" spans="1:21">
      <c r="A10" s="1400" t="s">
        <v>105</v>
      </c>
      <c r="B10" s="1399">
        <v>90508</v>
      </c>
      <c r="C10" s="1399"/>
      <c r="D10" s="9"/>
      <c r="E10" s="10" t="s">
        <v>155</v>
      </c>
      <c r="F10" s="11">
        <v>10057</v>
      </c>
      <c r="G10" s="11">
        <v>28</v>
      </c>
      <c r="H10" s="11"/>
      <c r="I10" s="11">
        <v>28</v>
      </c>
      <c r="J10" s="12" t="s">
        <v>175</v>
      </c>
      <c r="K10" s="11" t="s">
        <v>67</v>
      </c>
      <c r="L10" s="11" t="s">
        <v>68</v>
      </c>
      <c r="M10" s="11" t="s">
        <v>260</v>
      </c>
      <c r="N10" s="11"/>
      <c r="O10" s="11"/>
    </row>
    <row r="11" spans="1:21">
      <c r="A11" s="1398" t="s">
        <v>105</v>
      </c>
      <c r="B11" s="1399">
        <v>90504</v>
      </c>
      <c r="C11" s="1399"/>
      <c r="D11" s="9"/>
      <c r="E11" s="10" t="s">
        <v>107</v>
      </c>
      <c r="F11" s="11">
        <v>10130</v>
      </c>
      <c r="G11" s="1401">
        <v>47</v>
      </c>
      <c r="H11" s="1401"/>
      <c r="I11" s="12">
        <v>48</v>
      </c>
      <c r="J11" s="12" t="s">
        <v>65</v>
      </c>
      <c r="K11" s="11" t="s">
        <v>67</v>
      </c>
      <c r="L11" s="11" t="s">
        <v>809</v>
      </c>
      <c r="M11" s="11" t="s">
        <v>810</v>
      </c>
      <c r="N11" s="11">
        <v>48</v>
      </c>
      <c r="O11" s="11"/>
    </row>
    <row r="12" spans="1:21">
      <c r="A12" s="1400" t="s">
        <v>106</v>
      </c>
      <c r="B12" s="1399">
        <v>90503</v>
      </c>
      <c r="C12" s="1399"/>
      <c r="D12" s="9"/>
      <c r="E12" s="10" t="s">
        <v>107</v>
      </c>
      <c r="F12" s="11">
        <v>10057</v>
      </c>
      <c r="G12" s="256">
        <v>219</v>
      </c>
      <c r="H12" s="256"/>
      <c r="I12" s="11">
        <v>219</v>
      </c>
      <c r="J12" s="12" t="s">
        <v>65</v>
      </c>
      <c r="K12" s="8" t="s">
        <v>67</v>
      </c>
      <c r="L12" s="11" t="s">
        <v>809</v>
      </c>
      <c r="M12" s="11" t="s">
        <v>810</v>
      </c>
      <c r="N12" s="11">
        <v>219</v>
      </c>
      <c r="O12" s="11"/>
    </row>
    <row r="13" spans="1:21">
      <c r="A13" s="1400" t="s">
        <v>1148</v>
      </c>
      <c r="B13" s="1399">
        <v>90506</v>
      </c>
      <c r="C13" s="1399"/>
      <c r="D13" s="9"/>
      <c r="E13" s="10" t="s">
        <v>108</v>
      </c>
      <c r="F13" s="11">
        <v>10130</v>
      </c>
      <c r="G13" s="11">
        <v>33</v>
      </c>
      <c r="H13" s="11"/>
      <c r="I13" s="11">
        <v>33</v>
      </c>
      <c r="J13" s="12" t="s">
        <v>65</v>
      </c>
      <c r="K13" s="8" t="s">
        <v>67</v>
      </c>
      <c r="L13" s="11" t="s">
        <v>68</v>
      </c>
      <c r="M13" s="11" t="s">
        <v>808</v>
      </c>
      <c r="N13" s="11">
        <v>33</v>
      </c>
      <c r="O13" s="11"/>
      <c r="U13">
        <f>SUM(U3:U12)</f>
        <v>0</v>
      </c>
    </row>
    <row r="14" spans="1:21">
      <c r="A14" s="1400" t="s">
        <v>1148</v>
      </c>
      <c r="B14" s="1399">
        <v>90505</v>
      </c>
      <c r="C14" s="1399"/>
      <c r="D14" s="9"/>
      <c r="E14" s="10" t="s">
        <v>108</v>
      </c>
      <c r="F14" s="11">
        <v>10057</v>
      </c>
      <c r="G14" s="12">
        <v>138</v>
      </c>
      <c r="H14" s="12"/>
      <c r="I14" s="1402">
        <v>138</v>
      </c>
      <c r="J14" s="12" t="s">
        <v>65</v>
      </c>
      <c r="K14" s="8" t="s">
        <v>67</v>
      </c>
      <c r="L14" s="11" t="s">
        <v>68</v>
      </c>
      <c r="M14" s="11" t="s">
        <v>808</v>
      </c>
      <c r="N14" s="11">
        <v>133</v>
      </c>
      <c r="O14" s="11"/>
    </row>
    <row r="15" spans="1:21">
      <c r="A15" s="1398" t="s">
        <v>110</v>
      </c>
      <c r="B15" s="1399">
        <v>90502</v>
      </c>
      <c r="C15" s="1399"/>
      <c r="D15" s="9"/>
      <c r="E15" s="10" t="s">
        <v>109</v>
      </c>
      <c r="F15" s="11">
        <v>10027</v>
      </c>
      <c r="G15" s="1403">
        <v>3481.62</v>
      </c>
      <c r="H15" s="1403"/>
      <c r="I15" s="12">
        <v>3479</v>
      </c>
      <c r="J15" s="12" t="s">
        <v>65</v>
      </c>
      <c r="K15" s="8" t="s">
        <v>67</v>
      </c>
      <c r="L15" s="11" t="s">
        <v>680</v>
      </c>
      <c r="M15" s="11" t="s">
        <v>681</v>
      </c>
      <c r="N15" s="11"/>
      <c r="O15" s="11"/>
      <c r="P15" t="s">
        <v>732</v>
      </c>
    </row>
    <row r="16" spans="1:21">
      <c r="A16" s="1398" t="s">
        <v>110</v>
      </c>
      <c r="B16" s="1399">
        <v>90468</v>
      </c>
      <c r="C16" s="1399"/>
      <c r="D16" s="9"/>
      <c r="E16" s="10" t="s">
        <v>109</v>
      </c>
      <c r="F16" s="11">
        <v>10057</v>
      </c>
      <c r="G16" s="1404">
        <v>451</v>
      </c>
      <c r="H16" s="1404"/>
      <c r="I16" s="11">
        <v>451</v>
      </c>
      <c r="J16" s="12" t="s">
        <v>65</v>
      </c>
      <c r="K16" s="8" t="s">
        <v>67</v>
      </c>
      <c r="L16" s="11" t="s">
        <v>68</v>
      </c>
      <c r="M16" s="11" t="s">
        <v>681</v>
      </c>
      <c r="N16" s="11"/>
      <c r="O16" s="11"/>
      <c r="P16" t="s">
        <v>732</v>
      </c>
      <c r="U16">
        <f>SUM(U14:U15)</f>
        <v>0</v>
      </c>
    </row>
    <row r="17" spans="1:16">
      <c r="A17" s="1400" t="s">
        <v>156</v>
      </c>
      <c r="B17" s="1399">
        <v>90507</v>
      </c>
      <c r="C17" s="1399"/>
      <c r="D17" s="9"/>
      <c r="E17" s="10" t="s">
        <v>155</v>
      </c>
      <c r="F17" s="11">
        <v>10027</v>
      </c>
      <c r="G17" s="12">
        <v>620</v>
      </c>
      <c r="H17" s="12"/>
      <c r="I17" s="12">
        <v>620</v>
      </c>
      <c r="J17" s="12" t="s">
        <v>381</v>
      </c>
      <c r="K17" s="8" t="s">
        <v>67</v>
      </c>
      <c r="L17" s="11" t="s">
        <v>466</v>
      </c>
      <c r="M17" s="11" t="s">
        <v>465</v>
      </c>
      <c r="N17" s="11"/>
      <c r="O17" s="11"/>
    </row>
    <row r="18" spans="1:16">
      <c r="A18" s="1405" t="s">
        <v>156</v>
      </c>
      <c r="B18" s="1406">
        <v>90510</v>
      </c>
      <c r="C18" s="1406"/>
      <c r="D18" s="818"/>
      <c r="E18" s="10" t="s">
        <v>109</v>
      </c>
      <c r="F18" s="819">
        <v>10130</v>
      </c>
      <c r="G18" s="820">
        <v>2014</v>
      </c>
      <c r="H18" s="820"/>
      <c r="I18" s="1407">
        <v>2014</v>
      </c>
      <c r="J18" s="820" t="s">
        <v>381</v>
      </c>
      <c r="K18" s="325"/>
      <c r="L18" s="819">
        <v>28.05</v>
      </c>
      <c r="M18" s="819" t="s">
        <v>1181</v>
      </c>
      <c r="N18" s="819"/>
      <c r="O18" s="819"/>
      <c r="P18" t="s">
        <v>904</v>
      </c>
    </row>
    <row r="19" spans="1:16">
      <c r="A19" s="1405" t="s">
        <v>246</v>
      </c>
      <c r="B19" s="1406">
        <v>90510</v>
      </c>
      <c r="C19" s="1406"/>
      <c r="D19" s="818"/>
      <c r="E19" s="10" t="s">
        <v>109</v>
      </c>
      <c r="F19" s="819">
        <v>10130</v>
      </c>
      <c r="G19" s="819">
        <v>258</v>
      </c>
      <c r="H19" s="819"/>
      <c r="I19" s="819">
        <v>258</v>
      </c>
      <c r="J19" s="820" t="s">
        <v>381</v>
      </c>
      <c r="K19" s="819"/>
      <c r="L19" s="819">
        <v>28.05</v>
      </c>
      <c r="M19" s="819" t="s">
        <v>1181</v>
      </c>
      <c r="N19" s="819"/>
      <c r="O19" s="819"/>
      <c r="P19" t="s">
        <v>731</v>
      </c>
    </row>
    <row r="20" spans="1:16">
      <c r="A20" s="1285" t="s">
        <v>246</v>
      </c>
      <c r="B20" s="1408">
        <v>90502</v>
      </c>
      <c r="C20" s="1399"/>
      <c r="D20" s="8"/>
      <c r="E20" s="10" t="s">
        <v>69</v>
      </c>
      <c r="F20" s="8">
        <v>10027</v>
      </c>
      <c r="G20" s="256">
        <v>511</v>
      </c>
      <c r="H20" s="256"/>
      <c r="I20" s="8"/>
      <c r="J20" s="8" t="s">
        <v>175</v>
      </c>
      <c r="K20" s="11" t="s">
        <v>67</v>
      </c>
      <c r="L20" s="11" t="s">
        <v>68</v>
      </c>
      <c r="M20" s="11" t="s">
        <v>494</v>
      </c>
      <c r="N20" s="11">
        <v>511</v>
      </c>
      <c r="O20" s="8"/>
    </row>
    <row r="21" spans="1:16">
      <c r="A21" s="1285" t="s">
        <v>246</v>
      </c>
      <c r="B21" s="1409">
        <v>90485</v>
      </c>
      <c r="C21" s="1410" t="s">
        <v>411</v>
      </c>
      <c r="D21" s="8"/>
      <c r="E21" s="11" t="s">
        <v>69</v>
      </c>
      <c r="F21" s="8">
        <v>10057</v>
      </c>
      <c r="G21" s="1401">
        <v>0</v>
      </c>
      <c r="H21" s="1401"/>
      <c r="I21" s="8"/>
      <c r="J21" s="8" t="s">
        <v>1135</v>
      </c>
      <c r="K21" s="11"/>
      <c r="L21" s="8"/>
      <c r="M21" s="11"/>
      <c r="N21" s="8"/>
      <c r="O21" s="8"/>
    </row>
    <row r="22" spans="1:16">
      <c r="A22" s="8" t="s">
        <v>246</v>
      </c>
      <c r="B22" s="1409">
        <v>90502</v>
      </c>
      <c r="C22" s="1408"/>
      <c r="D22" s="8"/>
      <c r="E22" s="11" t="s">
        <v>109</v>
      </c>
      <c r="F22" s="11">
        <v>10027</v>
      </c>
      <c r="G22" s="1411">
        <v>4452</v>
      </c>
      <c r="H22" s="1411"/>
      <c r="I22" s="8">
        <v>4452</v>
      </c>
      <c r="J22" s="8" t="s">
        <v>65</v>
      </c>
      <c r="K22" s="11" t="s">
        <v>67</v>
      </c>
      <c r="L22" s="8" t="s">
        <v>68</v>
      </c>
      <c r="M22" s="8" t="s">
        <v>797</v>
      </c>
      <c r="N22" s="256">
        <v>4452</v>
      </c>
      <c r="O22" s="8"/>
      <c r="P22" t="s">
        <v>733</v>
      </c>
    </row>
    <row r="23" spans="1:16">
      <c r="A23" s="1285" t="s">
        <v>246</v>
      </c>
      <c r="B23" s="1409">
        <v>90468</v>
      </c>
      <c r="C23" s="1408"/>
      <c r="D23" s="8"/>
      <c r="E23" s="11" t="s">
        <v>109</v>
      </c>
      <c r="F23" s="11">
        <v>10057</v>
      </c>
      <c r="G23" s="8">
        <v>1777</v>
      </c>
      <c r="H23" s="8" t="s">
        <v>1375</v>
      </c>
      <c r="I23" s="8">
        <v>1777</v>
      </c>
      <c r="J23" s="8" t="s">
        <v>65</v>
      </c>
      <c r="K23" s="11" t="s">
        <v>67</v>
      </c>
      <c r="L23" s="8" t="s">
        <v>68</v>
      </c>
      <c r="M23" s="8" t="s">
        <v>797</v>
      </c>
      <c r="N23" s="256">
        <v>1776.62</v>
      </c>
      <c r="O23" s="8"/>
      <c r="P23" t="s">
        <v>733</v>
      </c>
    </row>
    <row r="24" spans="1:16">
      <c r="A24" s="1285" t="s">
        <v>409</v>
      </c>
      <c r="B24" s="1409">
        <v>90502</v>
      </c>
      <c r="C24" s="1408"/>
      <c r="D24" s="8" t="s">
        <v>593</v>
      </c>
      <c r="E24" s="11" t="s">
        <v>109</v>
      </c>
      <c r="F24" s="8">
        <v>10027</v>
      </c>
      <c r="G24" s="11">
        <v>931</v>
      </c>
      <c r="H24" s="11">
        <v>350</v>
      </c>
      <c r="I24" s="8">
        <v>931</v>
      </c>
      <c r="J24" s="8" t="s">
        <v>65</v>
      </c>
      <c r="K24" s="11" t="s">
        <v>67</v>
      </c>
      <c r="L24" s="8" t="s">
        <v>68</v>
      </c>
      <c r="M24" s="8" t="s">
        <v>1112</v>
      </c>
      <c r="N24" s="8"/>
      <c r="O24" s="8"/>
      <c r="P24" t="s">
        <v>735</v>
      </c>
    </row>
    <row r="25" spans="1:16">
      <c r="A25" s="1285" t="s">
        <v>409</v>
      </c>
      <c r="B25" s="1409">
        <v>90468</v>
      </c>
      <c r="C25" s="1408"/>
      <c r="D25" s="8" t="s">
        <v>593</v>
      </c>
      <c r="E25" s="11" t="s">
        <v>109</v>
      </c>
      <c r="F25" s="8">
        <v>10057</v>
      </c>
      <c r="G25" s="11">
        <v>1971</v>
      </c>
      <c r="H25" s="11" t="s">
        <v>810</v>
      </c>
      <c r="I25" s="8">
        <v>1971</v>
      </c>
      <c r="J25" s="8" t="s">
        <v>65</v>
      </c>
      <c r="K25" s="11" t="s">
        <v>67</v>
      </c>
      <c r="L25" s="8" t="s">
        <v>68</v>
      </c>
      <c r="M25" s="8" t="s">
        <v>1112</v>
      </c>
      <c r="N25" s="8"/>
      <c r="O25" s="8"/>
      <c r="P25" t="s">
        <v>735</v>
      </c>
    </row>
    <row r="26" spans="1:16">
      <c r="A26" s="1285" t="s">
        <v>409</v>
      </c>
      <c r="B26" s="1409">
        <v>90510</v>
      </c>
      <c r="C26" s="1408"/>
      <c r="D26" s="15" t="s">
        <v>593</v>
      </c>
      <c r="E26" s="11" t="s">
        <v>109</v>
      </c>
      <c r="F26" s="8">
        <v>10130</v>
      </c>
      <c r="G26" s="11">
        <v>124</v>
      </c>
      <c r="H26" s="11"/>
      <c r="I26" s="8">
        <v>124</v>
      </c>
      <c r="J26" s="8" t="s">
        <v>65</v>
      </c>
      <c r="K26" s="8" t="s">
        <v>67</v>
      </c>
      <c r="L26" s="8" t="s">
        <v>68</v>
      </c>
      <c r="M26" s="8" t="s">
        <v>1112</v>
      </c>
      <c r="N26" s="8"/>
      <c r="O26" s="8"/>
      <c r="P26" t="s">
        <v>735</v>
      </c>
    </row>
    <row r="27" spans="1:16">
      <c r="A27" s="1285" t="s">
        <v>409</v>
      </c>
      <c r="B27" s="1408">
        <v>90511</v>
      </c>
      <c r="C27" s="1408"/>
      <c r="D27" s="8" t="s">
        <v>593</v>
      </c>
      <c r="E27" s="11" t="s">
        <v>12</v>
      </c>
      <c r="F27" s="8">
        <v>10130</v>
      </c>
      <c r="G27" s="8">
        <v>488</v>
      </c>
      <c r="H27" s="8" t="s">
        <v>808</v>
      </c>
      <c r="I27" s="43">
        <v>487</v>
      </c>
      <c r="J27" s="8" t="s">
        <v>65</v>
      </c>
      <c r="K27" s="8" t="s">
        <v>67</v>
      </c>
      <c r="L27" s="8" t="s">
        <v>68</v>
      </c>
      <c r="M27" s="8"/>
      <c r="N27" s="8"/>
      <c r="O27" s="8"/>
    </row>
    <row r="28" spans="1:16">
      <c r="A28" s="1285" t="s">
        <v>489</v>
      </c>
      <c r="B28" s="1408">
        <v>90512</v>
      </c>
      <c r="C28" s="1408"/>
      <c r="D28" s="8" t="s">
        <v>593</v>
      </c>
      <c r="E28" s="11" t="s">
        <v>155</v>
      </c>
      <c r="F28" s="8">
        <v>10130</v>
      </c>
      <c r="G28" s="8">
        <v>558</v>
      </c>
      <c r="H28" s="8" t="s">
        <v>681</v>
      </c>
      <c r="I28" s="8">
        <v>558</v>
      </c>
      <c r="J28" s="8" t="s">
        <v>65</v>
      </c>
      <c r="K28" s="8" t="s">
        <v>1136</v>
      </c>
      <c r="L28" s="8" t="s">
        <v>1167</v>
      </c>
      <c r="M28" s="8" t="s">
        <v>1166</v>
      </c>
      <c r="N28" s="8"/>
      <c r="O28" s="8"/>
    </row>
    <row r="29" spans="1:16">
      <c r="A29" s="1285" t="s">
        <v>628</v>
      </c>
      <c r="B29" s="1408">
        <v>90510</v>
      </c>
      <c r="C29" s="1408"/>
      <c r="D29" s="8" t="s">
        <v>593</v>
      </c>
      <c r="E29" s="11" t="s">
        <v>490</v>
      </c>
      <c r="F29" s="8">
        <v>10130</v>
      </c>
      <c r="G29" s="8">
        <v>1092</v>
      </c>
      <c r="H29" s="1412" t="s">
        <v>66</v>
      </c>
      <c r="I29" s="43">
        <v>1063</v>
      </c>
      <c r="J29" s="8" t="s">
        <v>65</v>
      </c>
      <c r="K29" s="8" t="s">
        <v>1131</v>
      </c>
      <c r="L29" s="8" t="s">
        <v>1142</v>
      </c>
      <c r="M29" s="8" t="s">
        <v>1140</v>
      </c>
      <c r="N29" s="8"/>
      <c r="O29" s="8" t="s">
        <v>1273</v>
      </c>
      <c r="P29" s="536" t="s">
        <v>1272</v>
      </c>
    </row>
    <row r="30" spans="1:16" ht="16" customHeight="1">
      <c r="A30" s="1285" t="s">
        <v>628</v>
      </c>
      <c r="B30" s="1408">
        <v>90510</v>
      </c>
      <c r="C30" s="1408"/>
      <c r="D30" s="8" t="s">
        <v>593</v>
      </c>
      <c r="E30" s="11" t="s">
        <v>491</v>
      </c>
      <c r="F30" s="8">
        <v>10130</v>
      </c>
      <c r="G30" s="43">
        <v>127</v>
      </c>
      <c r="H30" s="43"/>
      <c r="I30" s="8">
        <v>128</v>
      </c>
      <c r="J30" s="8" t="s">
        <v>65</v>
      </c>
      <c r="K30" s="8" t="s">
        <v>67</v>
      </c>
      <c r="L30" s="8" t="s">
        <v>1133</v>
      </c>
      <c r="M30" s="8" t="s">
        <v>1134</v>
      </c>
      <c r="N30" s="8">
        <v>128</v>
      </c>
      <c r="O30" s="8"/>
    </row>
    <row r="31" spans="1:16">
      <c r="A31" s="1285" t="s">
        <v>628</v>
      </c>
      <c r="B31" s="1408">
        <v>90502</v>
      </c>
      <c r="C31" s="1408"/>
      <c r="D31" s="8" t="s">
        <v>593</v>
      </c>
      <c r="E31" s="11" t="s">
        <v>493</v>
      </c>
      <c r="F31" s="8">
        <v>10027</v>
      </c>
      <c r="G31" s="8">
        <v>53</v>
      </c>
      <c r="H31" s="8"/>
      <c r="I31" s="8">
        <v>53</v>
      </c>
      <c r="J31" s="8" t="s">
        <v>65</v>
      </c>
      <c r="K31" s="8" t="s">
        <v>67</v>
      </c>
      <c r="L31" s="8" t="s">
        <v>68</v>
      </c>
      <c r="M31" s="8" t="s">
        <v>1138</v>
      </c>
      <c r="N31" s="8"/>
      <c r="O31" s="8"/>
    </row>
    <row r="32" spans="1:16">
      <c r="A32" s="1285" t="s">
        <v>628</v>
      </c>
      <c r="B32" s="1408">
        <v>90468</v>
      </c>
      <c r="C32" s="1408"/>
      <c r="D32" s="8" t="s">
        <v>593</v>
      </c>
      <c r="E32" s="11" t="s">
        <v>493</v>
      </c>
      <c r="F32" s="8">
        <v>10057</v>
      </c>
      <c r="G32" s="8">
        <v>426</v>
      </c>
      <c r="H32" s="8"/>
      <c r="I32" s="8">
        <v>428</v>
      </c>
      <c r="J32" s="8" t="s">
        <v>65</v>
      </c>
      <c r="K32" s="8" t="s">
        <v>67</v>
      </c>
      <c r="L32" s="8" t="s">
        <v>68</v>
      </c>
      <c r="M32" s="8" t="s">
        <v>1138</v>
      </c>
      <c r="N32" s="8">
        <v>428</v>
      </c>
      <c r="O32" s="8"/>
    </row>
    <row r="33" spans="1:16">
      <c r="A33" s="1285" t="s">
        <v>628</v>
      </c>
      <c r="B33" s="1408">
        <v>90510</v>
      </c>
      <c r="C33" s="1408"/>
      <c r="D33" s="8" t="s">
        <v>593</v>
      </c>
      <c r="E33" s="11" t="s">
        <v>493</v>
      </c>
      <c r="F33" s="8">
        <v>10130</v>
      </c>
      <c r="G33" s="8">
        <v>367</v>
      </c>
      <c r="H33" s="8"/>
      <c r="I33" s="8">
        <v>368</v>
      </c>
      <c r="J33" s="8" t="s">
        <v>65</v>
      </c>
      <c r="K33" s="8" t="s">
        <v>67</v>
      </c>
      <c r="L33" s="8" t="s">
        <v>68</v>
      </c>
      <c r="M33" s="8" t="s">
        <v>1138</v>
      </c>
      <c r="N33" s="8">
        <v>468</v>
      </c>
      <c r="O33" s="8"/>
    </row>
    <row r="34" spans="1:16">
      <c r="A34" s="1285" t="s">
        <v>628</v>
      </c>
      <c r="B34" s="1408">
        <v>90510</v>
      </c>
      <c r="C34" s="1408"/>
      <c r="D34" s="8" t="s">
        <v>593</v>
      </c>
      <c r="E34" s="11" t="s">
        <v>408</v>
      </c>
      <c r="F34" s="8">
        <v>10130</v>
      </c>
      <c r="G34" s="8">
        <v>450</v>
      </c>
      <c r="H34" s="8"/>
      <c r="I34" s="8">
        <v>452</v>
      </c>
      <c r="J34" s="8" t="s">
        <v>65</v>
      </c>
      <c r="K34" s="8" t="s">
        <v>67</v>
      </c>
      <c r="L34" s="8" t="s">
        <v>68</v>
      </c>
      <c r="M34" s="8" t="s">
        <v>1138</v>
      </c>
      <c r="N34" s="8">
        <v>452</v>
      </c>
      <c r="O34" s="8"/>
    </row>
    <row r="35" spans="1:16">
      <c r="A35" s="1285" t="s">
        <v>676</v>
      </c>
      <c r="B35" s="1408">
        <v>90502</v>
      </c>
      <c r="C35" s="1408"/>
      <c r="D35" s="256" t="s">
        <v>411</v>
      </c>
      <c r="E35" s="256" t="s">
        <v>495</v>
      </c>
      <c r="F35" s="256">
        <v>10027</v>
      </c>
      <c r="G35" s="256"/>
      <c r="H35" s="256"/>
      <c r="I35" s="256"/>
      <c r="J35" s="256" t="s">
        <v>1135</v>
      </c>
      <c r="K35" s="256"/>
      <c r="L35" s="256"/>
      <c r="M35" s="256"/>
      <c r="N35" s="256"/>
      <c r="O35" s="256"/>
    </row>
    <row r="36" spans="1:16">
      <c r="A36" s="1285" t="s">
        <v>676</v>
      </c>
      <c r="B36" s="1408">
        <v>90468</v>
      </c>
      <c r="C36" s="1408"/>
      <c r="D36" s="256" t="s">
        <v>411</v>
      </c>
      <c r="E36" s="256" t="s">
        <v>495</v>
      </c>
      <c r="F36" s="256">
        <v>10057</v>
      </c>
      <c r="G36" s="256"/>
      <c r="H36" s="256"/>
      <c r="I36" s="256"/>
      <c r="J36" s="256" t="s">
        <v>1135</v>
      </c>
      <c r="K36" s="256"/>
      <c r="L36" s="256"/>
      <c r="M36" s="256"/>
      <c r="N36" s="256"/>
      <c r="O36" s="256"/>
    </row>
    <row r="37" spans="1:16" ht="15" customHeight="1">
      <c r="A37" s="1285" t="s">
        <v>676</v>
      </c>
      <c r="B37" s="1408">
        <v>90510</v>
      </c>
      <c r="C37" s="1408"/>
      <c r="D37" s="256" t="s">
        <v>411</v>
      </c>
      <c r="E37" s="256" t="s">
        <v>495</v>
      </c>
      <c r="F37" s="256">
        <v>10130</v>
      </c>
      <c r="G37" s="256"/>
      <c r="H37" s="256"/>
      <c r="I37" s="256"/>
      <c r="J37" s="256" t="s">
        <v>1135</v>
      </c>
      <c r="K37" s="256"/>
      <c r="L37" s="256"/>
      <c r="M37" s="256"/>
      <c r="N37" s="256"/>
      <c r="O37" s="256"/>
    </row>
    <row r="38" spans="1:16" ht="14.15" customHeight="1">
      <c r="A38" s="1285" t="s">
        <v>628</v>
      </c>
      <c r="B38" s="1408">
        <v>90510</v>
      </c>
      <c r="C38" s="1408"/>
      <c r="D38" s="8" t="s">
        <v>593</v>
      </c>
      <c r="E38" s="11" t="s">
        <v>492</v>
      </c>
      <c r="F38" s="8">
        <v>10130</v>
      </c>
      <c r="G38" s="43">
        <v>447</v>
      </c>
      <c r="H38" s="43"/>
      <c r="I38" s="8"/>
      <c r="J38" s="8" t="s">
        <v>381</v>
      </c>
      <c r="K38" s="8" t="s">
        <v>67</v>
      </c>
      <c r="L38" s="8" t="s">
        <v>1133</v>
      </c>
      <c r="M38" s="8" t="s">
        <v>1132</v>
      </c>
      <c r="N38" s="8"/>
      <c r="O38" s="8" t="s">
        <v>1197</v>
      </c>
    </row>
    <row r="39" spans="1:16">
      <c r="A39" s="1285" t="s">
        <v>489</v>
      </c>
      <c r="B39" s="1408">
        <v>90502</v>
      </c>
      <c r="C39" s="1408"/>
      <c r="D39" s="15" t="s">
        <v>593</v>
      </c>
      <c r="E39" s="8" t="s">
        <v>408</v>
      </c>
      <c r="F39" s="8">
        <v>10027</v>
      </c>
      <c r="G39" s="8">
        <v>256</v>
      </c>
      <c r="H39" s="8"/>
      <c r="I39" s="8">
        <v>256</v>
      </c>
      <c r="J39" s="8" t="s">
        <v>65</v>
      </c>
      <c r="K39" s="8" t="s">
        <v>67</v>
      </c>
      <c r="L39" s="8" t="s">
        <v>1141</v>
      </c>
      <c r="M39" s="8" t="s">
        <v>1137</v>
      </c>
      <c r="N39" s="8"/>
      <c r="O39" s="8"/>
    </row>
    <row r="40" spans="1:16">
      <c r="A40" s="1285" t="s">
        <v>489</v>
      </c>
      <c r="B40" s="1408">
        <v>90468</v>
      </c>
      <c r="C40" s="1408"/>
      <c r="D40" s="15" t="s">
        <v>593</v>
      </c>
      <c r="E40" s="8" t="s">
        <v>408</v>
      </c>
      <c r="F40" s="8">
        <v>10057</v>
      </c>
      <c r="G40" s="43">
        <v>752</v>
      </c>
      <c r="H40" s="43"/>
      <c r="I40" s="8">
        <v>755</v>
      </c>
      <c r="J40" s="8" t="s">
        <v>65</v>
      </c>
      <c r="K40" s="8" t="s">
        <v>67</v>
      </c>
      <c r="L40" s="8" t="s">
        <v>1141</v>
      </c>
      <c r="M40" s="8" t="s">
        <v>1137</v>
      </c>
      <c r="N40" s="8">
        <v>755</v>
      </c>
      <c r="O40" s="8"/>
    </row>
    <row r="41" spans="1:16">
      <c r="A41" s="1285" t="s">
        <v>489</v>
      </c>
      <c r="B41" s="1408">
        <v>90510</v>
      </c>
      <c r="C41" s="1408"/>
      <c r="D41" s="15" t="s">
        <v>593</v>
      </c>
      <c r="E41" s="8" t="s">
        <v>408</v>
      </c>
      <c r="F41" s="8">
        <v>10130</v>
      </c>
      <c r="G41" s="43">
        <v>12</v>
      </c>
      <c r="H41" s="43"/>
      <c r="I41" s="8">
        <v>13</v>
      </c>
      <c r="J41" s="8" t="s">
        <v>65</v>
      </c>
      <c r="K41" s="8" t="s">
        <v>67</v>
      </c>
      <c r="L41" s="8" t="s">
        <v>1141</v>
      </c>
      <c r="M41" s="8" t="s">
        <v>1137</v>
      </c>
      <c r="N41" s="8">
        <v>13</v>
      </c>
      <c r="O41" s="8"/>
    </row>
    <row r="42" spans="1:16">
      <c r="A42" s="1285" t="s">
        <v>410</v>
      </c>
      <c r="B42" s="1408">
        <v>90503</v>
      </c>
      <c r="C42" s="1408"/>
      <c r="D42" s="15" t="s">
        <v>593</v>
      </c>
      <c r="E42" s="8" t="s">
        <v>64</v>
      </c>
      <c r="F42" s="8">
        <v>10057</v>
      </c>
      <c r="G42" s="43">
        <v>451</v>
      </c>
      <c r="H42" s="43"/>
      <c r="I42" s="8">
        <v>451</v>
      </c>
      <c r="J42" s="8" t="s">
        <v>65</v>
      </c>
      <c r="K42" s="8" t="s">
        <v>67</v>
      </c>
      <c r="L42" s="8" t="s">
        <v>68</v>
      </c>
      <c r="M42" s="8" t="s">
        <v>1111</v>
      </c>
      <c r="N42" s="8"/>
      <c r="O42" s="8"/>
    </row>
    <row r="43" spans="1:16">
      <c r="A43" s="1285" t="s">
        <v>410</v>
      </c>
      <c r="B43" s="1408">
        <v>90504</v>
      </c>
      <c r="C43" s="1408"/>
      <c r="D43" s="15" t="s">
        <v>593</v>
      </c>
      <c r="E43" s="8" t="s">
        <v>64</v>
      </c>
      <c r="F43" s="8">
        <v>10130</v>
      </c>
      <c r="G43" s="8">
        <v>254</v>
      </c>
      <c r="H43" s="8"/>
      <c r="I43" s="8">
        <v>254</v>
      </c>
      <c r="J43" s="8" t="s">
        <v>65</v>
      </c>
      <c r="K43" s="8" t="s">
        <v>67</v>
      </c>
      <c r="L43" s="8" t="s">
        <v>68</v>
      </c>
      <c r="M43" s="8" t="s">
        <v>1111</v>
      </c>
      <c r="N43" s="8"/>
      <c r="O43" s="8"/>
    </row>
    <row r="44" spans="1:16">
      <c r="A44" s="1285" t="s">
        <v>410</v>
      </c>
      <c r="B44" s="1408">
        <v>90502</v>
      </c>
      <c r="C44" s="1408"/>
      <c r="D44" s="15" t="s">
        <v>593</v>
      </c>
      <c r="E44" s="8" t="s">
        <v>108</v>
      </c>
      <c r="F44" s="8">
        <v>10027</v>
      </c>
      <c r="G44" s="8">
        <v>163</v>
      </c>
      <c r="H44" s="8"/>
      <c r="I44" s="44">
        <v>163</v>
      </c>
      <c r="J44" s="8" t="s">
        <v>65</v>
      </c>
      <c r="K44" s="8" t="s">
        <v>67</v>
      </c>
      <c r="L44" s="8" t="s">
        <v>68</v>
      </c>
      <c r="M44" s="8" t="s">
        <v>1116</v>
      </c>
      <c r="O44" s="8"/>
    </row>
    <row r="45" spans="1:16" ht="14.15" customHeight="1">
      <c r="A45" s="1285" t="s">
        <v>702</v>
      </c>
      <c r="B45" s="1409">
        <v>90502</v>
      </c>
      <c r="C45" s="1408"/>
      <c r="D45" s="8" t="s">
        <v>593</v>
      </c>
      <c r="E45" s="11" t="s">
        <v>109</v>
      </c>
      <c r="F45" s="8">
        <v>10027</v>
      </c>
      <c r="G45" s="8">
        <v>656</v>
      </c>
      <c r="H45" s="8"/>
      <c r="I45" s="8">
        <v>656</v>
      </c>
      <c r="J45" s="8" t="s">
        <v>65</v>
      </c>
      <c r="K45" s="8" t="s">
        <v>1131</v>
      </c>
      <c r="L45" s="8" t="s">
        <v>68</v>
      </c>
      <c r="M45" s="8" t="s">
        <v>1117</v>
      </c>
      <c r="N45" s="8"/>
      <c r="O45" s="8"/>
      <c r="P45" t="s">
        <v>736</v>
      </c>
    </row>
    <row r="46" spans="1:16" ht="15" customHeight="1">
      <c r="A46" s="1285" t="s">
        <v>702</v>
      </c>
      <c r="B46" s="1409">
        <v>90468</v>
      </c>
      <c r="C46" s="1408"/>
      <c r="D46" s="8" t="s">
        <v>593</v>
      </c>
      <c r="E46" s="11" t="s">
        <v>109</v>
      </c>
      <c r="F46" s="8">
        <v>10057</v>
      </c>
      <c r="G46" s="8">
        <v>2304</v>
      </c>
      <c r="H46" s="8"/>
      <c r="I46" s="8">
        <v>2304</v>
      </c>
      <c r="J46" s="8" t="s">
        <v>65</v>
      </c>
      <c r="K46" s="8" t="s">
        <v>1131</v>
      </c>
      <c r="L46" s="8" t="s">
        <v>68</v>
      </c>
      <c r="M46" s="8" t="s">
        <v>1117</v>
      </c>
      <c r="N46" s="8"/>
      <c r="O46" s="8"/>
      <c r="P46" t="s">
        <v>736</v>
      </c>
    </row>
    <row r="47" spans="1:16" ht="14.5" customHeight="1">
      <c r="A47" s="1285" t="s">
        <v>702</v>
      </c>
      <c r="B47" s="1409">
        <v>90510</v>
      </c>
      <c r="C47" s="1408"/>
      <c r="D47" s="15" t="s">
        <v>593</v>
      </c>
      <c r="E47" s="11" t="s">
        <v>109</v>
      </c>
      <c r="F47" s="8">
        <v>10130</v>
      </c>
      <c r="G47" s="8">
        <v>490</v>
      </c>
      <c r="H47" s="8"/>
      <c r="I47" s="8">
        <v>490</v>
      </c>
      <c r="J47" s="8" t="s">
        <v>65</v>
      </c>
      <c r="K47" s="8" t="s">
        <v>1131</v>
      </c>
      <c r="L47" s="8" t="s">
        <v>68</v>
      </c>
      <c r="M47" s="8" t="s">
        <v>1117</v>
      </c>
      <c r="N47" s="8"/>
      <c r="O47" s="8"/>
      <c r="P47" t="s">
        <v>736</v>
      </c>
    </row>
    <row r="48" spans="1:16" ht="15.65" customHeight="1">
      <c r="A48" s="1285" t="s">
        <v>708</v>
      </c>
      <c r="B48" s="1408">
        <v>90510</v>
      </c>
      <c r="C48" s="1408"/>
      <c r="D48" s="15" t="s">
        <v>593</v>
      </c>
      <c r="E48" s="8" t="s">
        <v>69</v>
      </c>
      <c r="F48" s="8">
        <v>10130</v>
      </c>
      <c r="G48" s="43">
        <v>1214</v>
      </c>
      <c r="H48" s="43"/>
      <c r="I48" s="8"/>
      <c r="J48" s="8" t="s">
        <v>65</v>
      </c>
      <c r="K48" s="8" t="s">
        <v>1136</v>
      </c>
      <c r="L48" s="8" t="s">
        <v>809</v>
      </c>
      <c r="M48" s="8" t="s">
        <v>1143</v>
      </c>
      <c r="N48" s="8"/>
      <c r="O48" s="8"/>
    </row>
    <row r="49" spans="1:22">
      <c r="A49" s="1285" t="s">
        <v>793</v>
      </c>
      <c r="B49" s="1409">
        <v>90502</v>
      </c>
      <c r="C49" s="1408"/>
      <c r="D49" s="15" t="s">
        <v>796</v>
      </c>
      <c r="E49" s="8" t="s">
        <v>109</v>
      </c>
      <c r="F49" s="8">
        <v>10057</v>
      </c>
      <c r="G49" s="43">
        <v>257</v>
      </c>
      <c r="H49" s="43"/>
      <c r="I49" s="43">
        <v>258</v>
      </c>
      <c r="J49" s="8" t="s">
        <v>65</v>
      </c>
      <c r="K49" s="8" t="s">
        <v>67</v>
      </c>
      <c r="L49" s="8" t="s">
        <v>68</v>
      </c>
      <c r="M49" s="8" t="s">
        <v>1147</v>
      </c>
      <c r="N49" s="8">
        <v>258</v>
      </c>
      <c r="O49" s="8"/>
      <c r="P49" t="s">
        <v>737</v>
      </c>
    </row>
    <row r="50" spans="1:22" s="297" customFormat="1">
      <c r="A50" s="1285" t="s">
        <v>793</v>
      </c>
      <c r="B50" s="1409">
        <v>90510</v>
      </c>
      <c r="C50" s="1408"/>
      <c r="D50" s="15" t="s">
        <v>593</v>
      </c>
      <c r="E50" s="8" t="s">
        <v>109</v>
      </c>
      <c r="F50" s="8">
        <v>10130</v>
      </c>
      <c r="G50" s="8">
        <v>551</v>
      </c>
      <c r="H50" s="8"/>
      <c r="I50" s="8">
        <v>551</v>
      </c>
      <c r="J50" s="8" t="s">
        <v>65</v>
      </c>
      <c r="K50" s="8" t="s">
        <v>67</v>
      </c>
      <c r="L50" s="8" t="s">
        <v>68</v>
      </c>
      <c r="M50" s="8" t="s">
        <v>1147</v>
      </c>
      <c r="N50" s="256"/>
      <c r="O50" s="256" t="s">
        <v>1215</v>
      </c>
      <c r="P50" s="297" t="s">
        <v>737</v>
      </c>
    </row>
    <row r="51" spans="1:22">
      <c r="A51" s="1285" t="s">
        <v>807</v>
      </c>
      <c r="B51" s="1408">
        <v>90510</v>
      </c>
      <c r="C51" s="1408"/>
      <c r="D51" s="15" t="s">
        <v>593</v>
      </c>
      <c r="E51" s="325" t="s">
        <v>69</v>
      </c>
      <c r="F51" s="8">
        <v>10130</v>
      </c>
      <c r="G51" s="8">
        <v>532</v>
      </c>
      <c r="H51" s="8"/>
      <c r="I51" s="8">
        <v>532</v>
      </c>
      <c r="J51" s="8" t="s">
        <v>65</v>
      </c>
      <c r="K51" s="8" t="s">
        <v>1136</v>
      </c>
      <c r="L51" s="8" t="s">
        <v>68</v>
      </c>
      <c r="M51" s="8" t="s">
        <v>1144</v>
      </c>
      <c r="N51" s="8"/>
      <c r="O51" s="8"/>
    </row>
    <row r="52" spans="1:22">
      <c r="A52" s="1285"/>
      <c r="B52" s="1408"/>
      <c r="C52" s="1408"/>
      <c r="D52" s="15"/>
      <c r="E52" s="325"/>
      <c r="F52" s="8"/>
      <c r="G52" s="8"/>
      <c r="H52" s="8"/>
      <c r="I52" s="3">
        <f>SUM(I42:I51)</f>
        <v>5659</v>
      </c>
      <c r="J52" s="8"/>
      <c r="K52" s="8"/>
      <c r="L52" s="8"/>
      <c r="M52" s="8"/>
      <c r="N52" s="8"/>
      <c r="O52" s="8"/>
      <c r="V52">
        <f>SUM(V42:V51)</f>
        <v>0</v>
      </c>
    </row>
    <row r="53" spans="1:22">
      <c r="A53" s="1285"/>
      <c r="B53" s="1408"/>
      <c r="C53" s="1408"/>
      <c r="D53" s="15"/>
      <c r="E53" s="325"/>
      <c r="F53" s="8"/>
      <c r="G53" s="8"/>
      <c r="H53" s="8"/>
      <c r="I53" s="3">
        <f>I52/60</f>
        <v>94.316666666666663</v>
      </c>
      <c r="J53" s="8"/>
      <c r="K53" s="8"/>
      <c r="L53" s="8"/>
      <c r="M53" s="8"/>
      <c r="N53" s="8"/>
      <c r="O53" s="8"/>
    </row>
    <row r="54" spans="1:22">
      <c r="A54" s="1285" t="s">
        <v>410</v>
      </c>
      <c r="B54" s="1408">
        <v>90503</v>
      </c>
      <c r="C54" s="1408"/>
      <c r="D54" s="15" t="s">
        <v>593</v>
      </c>
      <c r="E54" s="8" t="s">
        <v>108</v>
      </c>
      <c r="F54" s="8">
        <v>10057</v>
      </c>
      <c r="G54" s="8">
        <v>137</v>
      </c>
      <c r="H54" s="8"/>
      <c r="I54" s="44">
        <v>137</v>
      </c>
      <c r="J54" s="8" t="s">
        <v>65</v>
      </c>
      <c r="K54" s="8" t="s">
        <v>67</v>
      </c>
      <c r="L54" s="8" t="s">
        <v>68</v>
      </c>
      <c r="M54" s="8" t="s">
        <v>1116</v>
      </c>
      <c r="N54" s="8"/>
      <c r="O54" s="8"/>
    </row>
    <row r="55" spans="1:22" ht="15" customHeight="1">
      <c r="A55" s="1285" t="s">
        <v>410</v>
      </c>
      <c r="B55" s="1408">
        <v>90504</v>
      </c>
      <c r="C55" s="1408"/>
      <c r="D55" s="15" t="s">
        <v>593</v>
      </c>
      <c r="E55" s="8" t="s">
        <v>108</v>
      </c>
      <c r="F55" s="8">
        <v>10130</v>
      </c>
      <c r="G55" s="8">
        <v>77</v>
      </c>
      <c r="H55" s="8"/>
      <c r="I55" s="44">
        <v>77</v>
      </c>
      <c r="J55" s="8" t="s">
        <v>65</v>
      </c>
      <c r="K55" s="8" t="s">
        <v>67</v>
      </c>
      <c r="L55" s="8" t="s">
        <v>68</v>
      </c>
      <c r="M55" s="8" t="s">
        <v>1116</v>
      </c>
      <c r="N55" s="8"/>
      <c r="O55" s="8"/>
    </row>
    <row r="56" spans="1:22">
      <c r="A56" s="1285" t="s">
        <v>861</v>
      </c>
      <c r="B56" s="1408">
        <v>90468</v>
      </c>
      <c r="C56" s="1408"/>
      <c r="D56" s="15" t="s">
        <v>593</v>
      </c>
      <c r="E56" s="8" t="s">
        <v>860</v>
      </c>
      <c r="F56" s="8">
        <v>10130</v>
      </c>
      <c r="G56" s="1411">
        <v>43</v>
      </c>
      <c r="H56" s="1411"/>
      <c r="I56" s="1413">
        <f>SUM(I54:I55)</f>
        <v>214</v>
      </c>
      <c r="J56" s="8" t="s">
        <v>65</v>
      </c>
      <c r="K56" s="8" t="s">
        <v>67</v>
      </c>
      <c r="L56" s="8" t="s">
        <v>68</v>
      </c>
      <c r="M56" s="8" t="s">
        <v>1183</v>
      </c>
      <c r="N56" s="8">
        <v>44</v>
      </c>
      <c r="O56" s="8"/>
      <c r="V56">
        <f>SUM(V54:V55)</f>
        <v>0</v>
      </c>
    </row>
    <row r="57" spans="1:22">
      <c r="A57" s="1285" t="s">
        <v>1151</v>
      </c>
      <c r="B57" s="1408">
        <v>90522</v>
      </c>
      <c r="C57" s="1408"/>
      <c r="D57" s="15" t="s">
        <v>593</v>
      </c>
      <c r="E57" s="8" t="s">
        <v>1152</v>
      </c>
      <c r="F57" s="8">
        <v>10027</v>
      </c>
      <c r="G57" s="1411">
        <v>58</v>
      </c>
      <c r="H57" s="1411"/>
      <c r="I57" s="6">
        <f>I56/60</f>
        <v>3.5666666666666669</v>
      </c>
      <c r="J57" s="8"/>
      <c r="K57" s="8" t="s">
        <v>67</v>
      </c>
      <c r="L57" s="8" t="s">
        <v>68</v>
      </c>
      <c r="M57" s="8">
        <v>2476</v>
      </c>
      <c r="N57" s="8">
        <v>58</v>
      </c>
      <c r="O57" s="8"/>
    </row>
    <row r="58" spans="1:22">
      <c r="A58" s="1285" t="s">
        <v>1151</v>
      </c>
      <c r="B58" s="1408">
        <v>90523</v>
      </c>
      <c r="C58" s="1408"/>
      <c r="D58" s="15" t="s">
        <v>593</v>
      </c>
      <c r="E58" s="8" t="s">
        <v>1152</v>
      </c>
      <c r="F58" s="8">
        <v>10057</v>
      </c>
      <c r="G58" s="1411">
        <v>189</v>
      </c>
      <c r="H58" s="1411"/>
      <c r="I58" s="8">
        <v>190</v>
      </c>
      <c r="J58" s="8"/>
      <c r="K58" s="8" t="s">
        <v>67</v>
      </c>
      <c r="L58" s="8" t="s">
        <v>68</v>
      </c>
      <c r="M58" s="8">
        <v>2476</v>
      </c>
      <c r="N58" s="8">
        <v>190</v>
      </c>
      <c r="O58" s="8"/>
    </row>
    <row r="59" spans="1:22">
      <c r="A59" s="1285" t="s">
        <v>1169</v>
      </c>
      <c r="B59" s="1408">
        <v>90510</v>
      </c>
      <c r="C59" s="1408"/>
      <c r="D59" s="15" t="s">
        <v>593</v>
      </c>
      <c r="E59" s="8" t="s">
        <v>109</v>
      </c>
      <c r="F59" s="8">
        <v>10130</v>
      </c>
      <c r="G59" s="325">
        <v>1563</v>
      </c>
      <c r="H59" s="325"/>
      <c r="I59" s="8"/>
      <c r="J59" s="8" t="s">
        <v>65</v>
      </c>
      <c r="K59" s="8"/>
      <c r="L59" s="8" t="s">
        <v>1195</v>
      </c>
      <c r="M59" s="8" t="s">
        <v>1196</v>
      </c>
      <c r="N59" s="8"/>
      <c r="O59" s="8"/>
      <c r="P59" t="s">
        <v>1182</v>
      </c>
    </row>
    <row r="60" spans="1:22" s="17" customFormat="1">
      <c r="A60" s="1285" t="s">
        <v>1294</v>
      </c>
      <c r="B60" s="1410">
        <v>90534</v>
      </c>
      <c r="C60" s="1410"/>
      <c r="D60" s="1414" t="s">
        <v>593</v>
      </c>
      <c r="E60" s="256" t="s">
        <v>1216</v>
      </c>
      <c r="F60" s="256">
        <v>10057</v>
      </c>
      <c r="G60" s="1415">
        <v>148</v>
      </c>
      <c r="H60" s="1415"/>
      <c r="I60" s="1415">
        <v>148</v>
      </c>
      <c r="J60" s="1208" t="s">
        <v>65</v>
      </c>
      <c r="K60" s="1208" t="s">
        <v>67</v>
      </c>
      <c r="L60" s="1209"/>
      <c r="M60" s="256" t="s">
        <v>1284</v>
      </c>
      <c r="N60" s="3"/>
      <c r="O60" s="3"/>
    </row>
    <row r="61" spans="1:22" ht="23.15" customHeight="1">
      <c r="A61" s="1285" t="s">
        <v>1294</v>
      </c>
      <c r="B61" s="1410">
        <v>90535</v>
      </c>
      <c r="C61" s="1410"/>
      <c r="D61" s="1414" t="s">
        <v>593</v>
      </c>
      <c r="E61" s="256" t="s">
        <v>1216</v>
      </c>
      <c r="F61" s="1210">
        <v>10130</v>
      </c>
      <c r="G61" s="256">
        <v>38</v>
      </c>
      <c r="H61" s="256"/>
      <c r="I61" s="256"/>
      <c r="J61" s="256" t="s">
        <v>65</v>
      </c>
      <c r="K61" s="1208" t="s">
        <v>67</v>
      </c>
      <c r="L61" s="1209"/>
      <c r="M61" s="256" t="s">
        <v>1284</v>
      </c>
      <c r="N61" s="8"/>
      <c r="O61" s="8"/>
    </row>
    <row r="62" spans="1:22">
      <c r="A62" s="1285" t="s">
        <v>1270</v>
      </c>
      <c r="B62" s="256">
        <v>90540</v>
      </c>
      <c r="C62" s="256"/>
      <c r="D62" s="256" t="s">
        <v>593</v>
      </c>
      <c r="E62" s="256" t="s">
        <v>1269</v>
      </c>
      <c r="F62" s="1210">
        <v>10057</v>
      </c>
      <c r="G62" s="1401">
        <v>97</v>
      </c>
      <c r="H62" s="256"/>
      <c r="I62" s="256"/>
      <c r="J62" s="256" t="s">
        <v>65</v>
      </c>
      <c r="K62" s="256"/>
      <c r="L62" s="1416"/>
      <c r="M62" s="256"/>
      <c r="N62" s="8"/>
      <c r="O62" s="8"/>
    </row>
    <row r="63" spans="1:22">
      <c r="A63" s="1285" t="s">
        <v>1270</v>
      </c>
      <c r="B63" s="256">
        <v>90541</v>
      </c>
      <c r="C63" s="256"/>
      <c r="D63" s="256" t="s">
        <v>593</v>
      </c>
      <c r="E63" s="256" t="s">
        <v>1269</v>
      </c>
      <c r="F63" s="1210">
        <v>10130</v>
      </c>
      <c r="G63" s="1401">
        <v>6</v>
      </c>
      <c r="H63" s="256"/>
      <c r="I63" s="256"/>
      <c r="J63" s="256" t="s">
        <v>65</v>
      </c>
      <c r="K63" s="256"/>
      <c r="L63" s="1416"/>
      <c r="M63" s="256"/>
      <c r="N63" s="8"/>
      <c r="O63" s="8"/>
    </row>
    <row r="64" spans="1:22">
      <c r="A64" s="1285" t="s">
        <v>1275</v>
      </c>
      <c r="B64" s="256">
        <v>90542</v>
      </c>
      <c r="C64" s="256"/>
      <c r="D64" s="256" t="s">
        <v>593</v>
      </c>
      <c r="E64" s="256" t="s">
        <v>1277</v>
      </c>
      <c r="F64" s="256">
        <v>10057</v>
      </c>
      <c r="G64" s="1211">
        <v>501</v>
      </c>
      <c r="H64" s="1211">
        <v>503</v>
      </c>
      <c r="I64" s="1211"/>
      <c r="J64" s="1211" t="s">
        <v>65</v>
      </c>
      <c r="K64" s="1211"/>
      <c r="L64" s="256"/>
      <c r="M64" s="256"/>
      <c r="N64" s="8"/>
      <c r="O64" s="8"/>
    </row>
    <row r="65" spans="1:15">
      <c r="A65" s="1285" t="s">
        <v>1276</v>
      </c>
      <c r="B65" s="256">
        <v>90543</v>
      </c>
      <c r="C65" s="256"/>
      <c r="D65" s="256" t="s">
        <v>593</v>
      </c>
      <c r="E65" s="256" t="s">
        <v>1277</v>
      </c>
      <c r="F65" s="256">
        <v>10130</v>
      </c>
      <c r="G65" s="256">
        <v>1</v>
      </c>
      <c r="H65" s="256">
        <v>1</v>
      </c>
      <c r="I65" s="256"/>
      <c r="J65" s="256" t="s">
        <v>65</v>
      </c>
      <c r="K65" s="256"/>
      <c r="L65" s="256"/>
      <c r="M65" s="256"/>
      <c r="N65" s="8"/>
      <c r="O65" s="8"/>
    </row>
    <row r="66" spans="1:15">
      <c r="A66" s="1285" t="s">
        <v>1288</v>
      </c>
      <c r="B66" s="8">
        <v>90545</v>
      </c>
      <c r="C66" s="8"/>
      <c r="D66" s="8" t="s">
        <v>593</v>
      </c>
      <c r="E66" s="8" t="s">
        <v>1293</v>
      </c>
      <c r="F66" s="8">
        <v>10057</v>
      </c>
      <c r="G66" s="8">
        <v>868</v>
      </c>
      <c r="H66" s="8"/>
      <c r="I66" s="43">
        <v>338</v>
      </c>
      <c r="J66" s="8" t="s">
        <v>65</v>
      </c>
      <c r="K66" s="8" t="s">
        <v>1575</v>
      </c>
      <c r="L66" s="8" t="s">
        <v>1576</v>
      </c>
      <c r="M66" s="8" t="s">
        <v>1578</v>
      </c>
      <c r="N66" s="8"/>
      <c r="O66" s="8"/>
    </row>
    <row r="67" spans="1:15">
      <c r="A67" s="1285" t="s">
        <v>1288</v>
      </c>
      <c r="B67" s="8">
        <v>90546</v>
      </c>
      <c r="C67" s="8"/>
      <c r="D67" s="8" t="s">
        <v>593</v>
      </c>
      <c r="E67" s="8" t="s">
        <v>1289</v>
      </c>
      <c r="F67" s="8">
        <v>10057</v>
      </c>
      <c r="G67" s="8">
        <v>706</v>
      </c>
      <c r="H67" s="8"/>
      <c r="I67" s="43">
        <v>102</v>
      </c>
      <c r="J67" s="8" t="s">
        <v>65</v>
      </c>
      <c r="K67" s="8" t="s">
        <v>1575</v>
      </c>
      <c r="L67" s="8" t="s">
        <v>1576</v>
      </c>
      <c r="M67" s="8" t="s">
        <v>1579</v>
      </c>
      <c r="N67" s="8"/>
      <c r="O67" s="8"/>
    </row>
    <row r="68" spans="1:15">
      <c r="A68" s="1285" t="s">
        <v>1288</v>
      </c>
      <c r="B68" s="8">
        <v>90547</v>
      </c>
      <c r="C68" s="8"/>
      <c r="D68" s="8" t="s">
        <v>593</v>
      </c>
      <c r="E68" s="8" t="s">
        <v>1290</v>
      </c>
      <c r="F68" s="8">
        <v>10057</v>
      </c>
      <c r="G68" s="8">
        <v>217</v>
      </c>
      <c r="H68" s="8"/>
      <c r="I68" s="8"/>
      <c r="J68" s="8" t="s">
        <v>65</v>
      </c>
      <c r="K68" s="8"/>
      <c r="L68" s="8"/>
      <c r="M68" s="8"/>
      <c r="N68" s="8"/>
      <c r="O68" s="8"/>
    </row>
    <row r="69" spans="1:15">
      <c r="A69" s="1285" t="s">
        <v>1288</v>
      </c>
      <c r="B69" s="8">
        <v>90548</v>
      </c>
      <c r="C69" s="8"/>
      <c r="D69" s="8" t="s">
        <v>593</v>
      </c>
      <c r="E69" s="8" t="s">
        <v>1291</v>
      </c>
      <c r="F69" s="8">
        <v>10057</v>
      </c>
      <c r="G69" s="8">
        <v>434</v>
      </c>
      <c r="H69" s="8"/>
      <c r="I69" s="43">
        <v>227</v>
      </c>
      <c r="J69" s="8" t="s">
        <v>65</v>
      </c>
      <c r="K69" s="8" t="s">
        <v>1575</v>
      </c>
      <c r="L69" s="8" t="s">
        <v>1576</v>
      </c>
      <c r="M69" s="8" t="s">
        <v>1577</v>
      </c>
      <c r="N69" s="8"/>
      <c r="O69" s="8"/>
    </row>
    <row r="70" spans="1:15" s="297" customFormat="1">
      <c r="A70" s="1417" t="s">
        <v>1288</v>
      </c>
      <c r="B70" s="256">
        <v>90549</v>
      </c>
      <c r="C70" s="256"/>
      <c r="D70" s="256" t="s">
        <v>593</v>
      </c>
      <c r="E70" s="256" t="s">
        <v>1292</v>
      </c>
      <c r="F70" s="256">
        <v>10057</v>
      </c>
      <c r="G70" s="1477"/>
      <c r="H70" s="256"/>
      <c r="I70" s="256" t="s">
        <v>1427</v>
      </c>
      <c r="J70" s="256" t="s">
        <v>65</v>
      </c>
      <c r="K70" s="256"/>
      <c r="L70" s="256"/>
      <c r="M70" s="256"/>
      <c r="N70" s="256"/>
      <c r="O70" s="256"/>
    </row>
    <row r="71" spans="1:15">
      <c r="A71" s="1285">
        <v>46209</v>
      </c>
      <c r="B71" s="256">
        <v>90557</v>
      </c>
      <c r="C71" s="256"/>
      <c r="D71" s="256" t="s">
        <v>593</v>
      </c>
      <c r="E71" s="256" t="s">
        <v>1401</v>
      </c>
      <c r="F71" s="256">
        <v>10057</v>
      </c>
      <c r="G71" s="1477">
        <v>66</v>
      </c>
      <c r="H71" s="256"/>
      <c r="I71" s="256"/>
      <c r="J71" s="256" t="s">
        <v>65</v>
      </c>
      <c r="K71" s="256"/>
      <c r="L71" s="256" t="s">
        <v>1421</v>
      </c>
      <c r="M71" s="256" t="s">
        <v>1422</v>
      </c>
      <c r="N71" s="256">
        <v>66</v>
      </c>
      <c r="O71" s="8"/>
    </row>
    <row r="72" spans="1:15">
      <c r="A72" s="1285">
        <v>46209</v>
      </c>
      <c r="B72" s="256">
        <v>90558</v>
      </c>
      <c r="C72" s="256"/>
      <c r="D72" s="256" t="s">
        <v>593</v>
      </c>
      <c r="E72" s="256" t="s">
        <v>1401</v>
      </c>
      <c r="F72" s="256">
        <v>10130</v>
      </c>
      <c r="G72" s="1477">
        <v>12</v>
      </c>
      <c r="H72" s="256"/>
      <c r="I72" s="256"/>
      <c r="J72" s="256" t="s">
        <v>65</v>
      </c>
      <c r="K72" s="256"/>
      <c r="L72" s="256" t="s">
        <v>1421</v>
      </c>
      <c r="M72" s="256" t="s">
        <v>1422</v>
      </c>
      <c r="N72" s="256">
        <v>12</v>
      </c>
      <c r="O72" s="8"/>
    </row>
    <row r="73" spans="1:15">
      <c r="A73" s="1285">
        <v>46220</v>
      </c>
      <c r="B73" s="8">
        <v>90563</v>
      </c>
      <c r="C73" s="8"/>
      <c r="D73" s="8" t="s">
        <v>1640</v>
      </c>
      <c r="E73" s="8" t="s">
        <v>1393</v>
      </c>
      <c r="F73" s="8">
        <v>10040</v>
      </c>
      <c r="G73" s="44">
        <v>152</v>
      </c>
      <c r="H73" s="8"/>
      <c r="I73" s="8"/>
      <c r="J73" s="256" t="s">
        <v>65</v>
      </c>
      <c r="K73" s="8"/>
      <c r="L73" s="16" t="s">
        <v>1660</v>
      </c>
      <c r="M73" s="8" t="s">
        <v>1659</v>
      </c>
      <c r="N73" s="8"/>
      <c r="O73" s="8"/>
    </row>
    <row r="74" spans="1:15">
      <c r="A74" s="1285">
        <v>46219</v>
      </c>
      <c r="B74" s="8">
        <v>90564</v>
      </c>
      <c r="C74" s="8"/>
      <c r="D74" s="8" t="s">
        <v>593</v>
      </c>
      <c r="E74" s="8" t="s">
        <v>1402</v>
      </c>
      <c r="F74" s="8">
        <v>10057</v>
      </c>
      <c r="G74" s="44">
        <v>1390</v>
      </c>
      <c r="H74" s="8"/>
      <c r="I74" s="8">
        <v>1474</v>
      </c>
      <c r="J74" s="256" t="s">
        <v>65</v>
      </c>
      <c r="K74" s="8" t="s">
        <v>67</v>
      </c>
      <c r="L74" s="8" t="s">
        <v>68</v>
      </c>
      <c r="M74" s="8" t="s">
        <v>1580</v>
      </c>
      <c r="N74" s="8">
        <v>1474</v>
      </c>
      <c r="O74" s="8"/>
    </row>
    <row r="75" spans="1:15">
      <c r="A75" s="1285">
        <v>46219</v>
      </c>
      <c r="B75" s="8">
        <v>90565</v>
      </c>
      <c r="C75" s="8"/>
      <c r="D75" s="8" t="s">
        <v>593</v>
      </c>
      <c r="E75" s="8" t="s">
        <v>1402</v>
      </c>
      <c r="F75" s="8">
        <v>10130</v>
      </c>
      <c r="G75" s="44">
        <v>208</v>
      </c>
      <c r="H75" s="8"/>
      <c r="I75" s="8">
        <v>231</v>
      </c>
      <c r="J75" s="256" t="s">
        <v>65</v>
      </c>
      <c r="K75" s="8" t="s">
        <v>67</v>
      </c>
      <c r="L75" s="8" t="s">
        <v>809</v>
      </c>
      <c r="M75" s="8" t="s">
        <v>1580</v>
      </c>
      <c r="N75" s="8">
        <v>231</v>
      </c>
      <c r="O75" s="8"/>
    </row>
    <row r="76" spans="1:15">
      <c r="A76" s="1285">
        <v>46225</v>
      </c>
      <c r="B76" s="8">
        <v>90568</v>
      </c>
      <c r="C76" s="8"/>
      <c r="D76" s="8" t="s">
        <v>593</v>
      </c>
      <c r="E76" s="8" t="s">
        <v>1403</v>
      </c>
      <c r="F76" s="8">
        <v>10057</v>
      </c>
      <c r="G76" s="44">
        <v>1172</v>
      </c>
      <c r="H76" s="8"/>
      <c r="I76" s="8"/>
      <c r="J76" s="256" t="s">
        <v>65</v>
      </c>
      <c r="K76" s="8"/>
      <c r="L76" s="8"/>
      <c r="M76" s="8"/>
      <c r="N76" s="8"/>
      <c r="O76" s="8"/>
    </row>
    <row r="77" spans="1:15">
      <c r="A77" s="1285">
        <v>46225</v>
      </c>
      <c r="B77" s="8">
        <v>90569</v>
      </c>
      <c r="C77" s="8"/>
      <c r="D77" s="8" t="s">
        <v>593</v>
      </c>
      <c r="E77" s="8" t="s">
        <v>1402</v>
      </c>
      <c r="F77" s="8">
        <v>10130</v>
      </c>
      <c r="G77" s="44">
        <v>1131.6666666666663</v>
      </c>
      <c r="H77" s="8"/>
      <c r="I77" s="8"/>
      <c r="J77" s="256" t="s">
        <v>65</v>
      </c>
      <c r="K77" s="8"/>
      <c r="L77" s="8"/>
      <c r="M77" s="8"/>
      <c r="N77" s="8"/>
      <c r="O77" s="8"/>
    </row>
    <row r="78" spans="1:15">
      <c r="A78" s="1285">
        <v>46225</v>
      </c>
      <c r="B78" s="8">
        <v>90570</v>
      </c>
      <c r="C78" s="8"/>
      <c r="D78" s="8" t="s">
        <v>593</v>
      </c>
      <c r="E78" s="8" t="s">
        <v>1402</v>
      </c>
      <c r="F78" s="8">
        <v>10057</v>
      </c>
      <c r="G78" s="44">
        <v>184.43333333333334</v>
      </c>
      <c r="H78" s="8"/>
      <c r="I78" s="8"/>
      <c r="J78" s="256" t="s">
        <v>65</v>
      </c>
      <c r="K78" s="8"/>
      <c r="L78" s="8"/>
      <c r="M78" s="8"/>
      <c r="N78" s="8"/>
      <c r="O78" s="8"/>
    </row>
    <row r="79" spans="1:15">
      <c r="A79" s="8" t="s">
        <v>1642</v>
      </c>
      <c r="B79" s="8">
        <v>90574</v>
      </c>
      <c r="C79" s="8"/>
      <c r="D79" s="8" t="s">
        <v>1640</v>
      </c>
      <c r="E79" s="8" t="s">
        <v>1639</v>
      </c>
      <c r="F79" s="16">
        <v>10057</v>
      </c>
      <c r="G79" s="44">
        <v>48</v>
      </c>
      <c r="H79" s="8"/>
      <c r="I79" s="8"/>
      <c r="J79" s="8" t="s">
        <v>65</v>
      </c>
      <c r="K79" s="8"/>
      <c r="L79" s="8"/>
      <c r="M79" s="8"/>
      <c r="N79" s="8"/>
      <c r="O79" s="8"/>
    </row>
    <row r="80" spans="1:15" s="1624" customFormat="1">
      <c r="A80" s="1625" t="s">
        <v>1643</v>
      </c>
      <c r="B80" s="1625">
        <v>90575</v>
      </c>
      <c r="C80" s="1625"/>
      <c r="D80" s="1625" t="s">
        <v>593</v>
      </c>
      <c r="E80" s="8" t="s">
        <v>1860</v>
      </c>
      <c r="F80" s="16">
        <v>10057</v>
      </c>
      <c r="G80" s="1626">
        <v>325</v>
      </c>
      <c r="H80" s="1625"/>
      <c r="I80" s="1625">
        <v>318</v>
      </c>
      <c r="J80" s="1625" t="s">
        <v>175</v>
      </c>
      <c r="K80" s="1625"/>
      <c r="L80" s="1625"/>
      <c r="M80" s="1625" t="s">
        <v>2096</v>
      </c>
      <c r="N80" s="1625">
        <v>318</v>
      </c>
      <c r="O80" s="1625"/>
    </row>
    <row r="81" spans="1:15">
      <c r="A81" s="8" t="s">
        <v>1643</v>
      </c>
      <c r="B81" s="8">
        <v>90576</v>
      </c>
      <c r="C81" s="8"/>
      <c r="D81" s="8" t="s">
        <v>593</v>
      </c>
      <c r="E81" s="8" t="s">
        <v>69</v>
      </c>
      <c r="F81" s="8">
        <v>10057</v>
      </c>
      <c r="G81" s="44">
        <v>471</v>
      </c>
      <c r="H81" s="8"/>
      <c r="I81" s="8"/>
      <c r="J81" s="8" t="s">
        <v>65</v>
      </c>
      <c r="K81" s="8"/>
      <c r="L81" s="8"/>
      <c r="M81" s="8"/>
      <c r="N81" s="8"/>
      <c r="O81" s="8"/>
    </row>
    <row r="82" spans="1:15">
      <c r="A82" s="8" t="s">
        <v>1721</v>
      </c>
      <c r="B82" s="8">
        <v>90577</v>
      </c>
      <c r="C82" s="8"/>
      <c r="D82" s="8" t="s">
        <v>593</v>
      </c>
      <c r="E82" s="8" t="s">
        <v>1858</v>
      </c>
      <c r="F82" s="8">
        <v>10057</v>
      </c>
      <c r="G82" s="8">
        <v>48</v>
      </c>
      <c r="H82" s="8"/>
      <c r="I82" s="8"/>
      <c r="J82" s="8"/>
      <c r="K82" s="8"/>
      <c r="L82" s="8"/>
      <c r="M82" s="8"/>
      <c r="N82" s="8"/>
      <c r="O82" s="8"/>
    </row>
    <row r="83" spans="1:15">
      <c r="A83" s="8" t="s">
        <v>1721</v>
      </c>
      <c r="B83" s="8">
        <v>90578</v>
      </c>
      <c r="C83" s="8"/>
      <c r="D83" s="8" t="s">
        <v>593</v>
      </c>
      <c r="E83" s="8" t="s">
        <v>1858</v>
      </c>
      <c r="F83" s="8">
        <v>10130</v>
      </c>
      <c r="G83" s="8">
        <v>12</v>
      </c>
      <c r="H83" s="8"/>
      <c r="I83" s="8"/>
      <c r="J83" s="8"/>
      <c r="K83" s="8"/>
      <c r="L83" s="8"/>
      <c r="M83" s="8"/>
      <c r="N83" s="8"/>
      <c r="O83" s="8"/>
    </row>
    <row r="84" spans="1:15">
      <c r="A84" s="8" t="s">
        <v>1859</v>
      </c>
      <c r="B84" s="8">
        <v>90579</v>
      </c>
      <c r="C84" s="8"/>
      <c r="D84" s="8" t="s">
        <v>593</v>
      </c>
      <c r="E84" s="8" t="s">
        <v>1860</v>
      </c>
      <c r="F84" s="8">
        <v>10057</v>
      </c>
      <c r="G84" s="8">
        <v>57</v>
      </c>
      <c r="H84" s="8"/>
      <c r="I84" s="8">
        <v>56.47</v>
      </c>
      <c r="J84" s="8" t="s">
        <v>175</v>
      </c>
      <c r="K84" s="8"/>
      <c r="L84" s="8"/>
      <c r="M84" s="1625" t="s">
        <v>2096</v>
      </c>
      <c r="N84" s="8">
        <v>56.47</v>
      </c>
      <c r="O84" s="8"/>
    </row>
    <row r="85" spans="1:15">
      <c r="A85" s="8" t="s">
        <v>1859</v>
      </c>
      <c r="B85" s="8">
        <v>90580</v>
      </c>
      <c r="C85" s="8"/>
      <c r="D85" s="8" t="s">
        <v>593</v>
      </c>
      <c r="E85" s="8" t="s">
        <v>1860</v>
      </c>
      <c r="F85" s="8">
        <v>10130</v>
      </c>
      <c r="G85" s="8">
        <v>354</v>
      </c>
      <c r="H85" s="8"/>
      <c r="I85" s="8">
        <v>351.09</v>
      </c>
      <c r="J85" s="8" t="s">
        <v>175</v>
      </c>
      <c r="K85" s="8"/>
      <c r="L85" s="8"/>
      <c r="M85" s="1625" t="s">
        <v>2096</v>
      </c>
      <c r="N85" s="8">
        <v>351.09</v>
      </c>
      <c r="O85" s="8"/>
    </row>
    <row r="86" spans="1:15">
      <c r="A86" s="8" t="s">
        <v>1862</v>
      </c>
      <c r="B86" s="8">
        <v>90581</v>
      </c>
      <c r="C86" s="8"/>
      <c r="D86" s="8" t="s">
        <v>593</v>
      </c>
      <c r="E86" s="8" t="s">
        <v>1858</v>
      </c>
      <c r="F86" s="8">
        <v>10130</v>
      </c>
      <c r="G86" s="8">
        <v>45</v>
      </c>
      <c r="H86" s="8"/>
      <c r="I86" s="8"/>
      <c r="J86" s="8"/>
      <c r="K86" s="8"/>
      <c r="L86" s="8" t="s">
        <v>68</v>
      </c>
      <c r="M86" s="8" t="s">
        <v>2099</v>
      </c>
      <c r="N86" s="8"/>
      <c r="O86" s="8"/>
    </row>
    <row r="87" spans="1:15">
      <c r="A87" s="8" t="s">
        <v>1862</v>
      </c>
      <c r="B87" s="8">
        <v>90582</v>
      </c>
      <c r="C87" s="8"/>
      <c r="D87" s="8" t="s">
        <v>593</v>
      </c>
      <c r="E87" s="8" t="s">
        <v>1858</v>
      </c>
      <c r="F87" s="8">
        <v>10130</v>
      </c>
      <c r="G87" s="8">
        <v>88</v>
      </c>
      <c r="H87" s="8"/>
      <c r="I87" s="8"/>
      <c r="J87" s="8"/>
      <c r="K87" s="8"/>
      <c r="L87" s="8"/>
      <c r="M87" s="8"/>
      <c r="N87" s="8"/>
      <c r="O87" s="8"/>
    </row>
    <row r="88" spans="1:15">
      <c r="A88" s="8" t="s">
        <v>1862</v>
      </c>
      <c r="B88" s="8">
        <v>90583</v>
      </c>
      <c r="C88" s="8"/>
      <c r="D88" s="8" t="s">
        <v>593</v>
      </c>
      <c r="E88" s="8" t="s">
        <v>1861</v>
      </c>
      <c r="F88" s="8">
        <v>10057</v>
      </c>
      <c r="G88" s="8">
        <v>213</v>
      </c>
      <c r="H88" s="8"/>
      <c r="I88" s="8"/>
      <c r="J88" s="8"/>
      <c r="K88" s="8"/>
      <c r="L88" s="8" t="s">
        <v>68</v>
      </c>
      <c r="M88" s="8" t="s">
        <v>2098</v>
      </c>
      <c r="N88" s="8"/>
      <c r="O88" s="8"/>
    </row>
    <row r="89" spans="1:15">
      <c r="A89" s="256" t="s">
        <v>1866</v>
      </c>
      <c r="B89" s="256">
        <v>90584</v>
      </c>
      <c r="C89" s="256"/>
      <c r="D89" s="256"/>
      <c r="E89" s="256" t="s">
        <v>1865</v>
      </c>
      <c r="F89" s="256">
        <v>10057</v>
      </c>
      <c r="H89" s="8"/>
      <c r="I89" s="256" t="s">
        <v>411</v>
      </c>
      <c r="J89" s="8"/>
      <c r="K89" s="8"/>
      <c r="L89" s="8"/>
      <c r="M89" s="8"/>
      <c r="N89" s="8"/>
      <c r="O89" s="8"/>
    </row>
    <row r="90" spans="1:15">
      <c r="A90" s="256" t="s">
        <v>1866</v>
      </c>
      <c r="B90" s="256">
        <v>90585</v>
      </c>
      <c r="C90" s="256"/>
      <c r="D90" s="256"/>
      <c r="E90" s="256" t="s">
        <v>1865</v>
      </c>
      <c r="F90" s="256">
        <v>10130</v>
      </c>
      <c r="H90" s="8"/>
      <c r="I90" s="256" t="s">
        <v>411</v>
      </c>
      <c r="J90" s="8"/>
      <c r="K90" s="8"/>
      <c r="L90" s="8"/>
      <c r="M90" s="8"/>
      <c r="N90" s="8"/>
      <c r="O90" s="8"/>
    </row>
    <row r="91" spans="1:15">
      <c r="A91" s="1285">
        <v>46261</v>
      </c>
      <c r="B91" s="8">
        <v>90586</v>
      </c>
      <c r="C91" s="8"/>
      <c r="D91" s="8" t="s">
        <v>593</v>
      </c>
      <c r="E91" s="8" t="s">
        <v>1913</v>
      </c>
      <c r="F91" s="8">
        <v>10027</v>
      </c>
      <c r="G91" s="8">
        <v>57</v>
      </c>
      <c r="H91" s="8"/>
      <c r="I91" s="8"/>
      <c r="J91" s="8" t="s">
        <v>65</v>
      </c>
      <c r="K91" s="8" t="s">
        <v>67</v>
      </c>
      <c r="L91" s="8" t="s">
        <v>68</v>
      </c>
      <c r="M91" s="8" t="s">
        <v>2097</v>
      </c>
      <c r="N91" s="8">
        <v>57</v>
      </c>
      <c r="O91" s="8"/>
    </row>
    <row r="92" spans="1:15">
      <c r="A92" s="8" t="s">
        <v>1949</v>
      </c>
      <c r="B92" s="8">
        <v>90587</v>
      </c>
      <c r="C92" s="8"/>
      <c r="D92" s="8" t="s">
        <v>593</v>
      </c>
      <c r="E92" s="8" t="s">
        <v>1393</v>
      </c>
      <c r="F92" s="8">
        <v>10027</v>
      </c>
      <c r="G92" s="8">
        <v>307</v>
      </c>
      <c r="H92" s="8"/>
      <c r="I92" s="8"/>
      <c r="J92" s="8"/>
      <c r="K92" s="8" t="s">
        <v>67</v>
      </c>
      <c r="L92" s="8" t="s">
        <v>68</v>
      </c>
      <c r="M92" s="1285">
        <v>46268</v>
      </c>
      <c r="N92" s="8"/>
      <c r="O92" s="8"/>
    </row>
    <row r="93" spans="1:15">
      <c r="A93" s="8" t="s">
        <v>1949</v>
      </c>
      <c r="B93" s="8">
        <v>90588</v>
      </c>
      <c r="C93" s="8"/>
      <c r="D93" s="8" t="s">
        <v>593</v>
      </c>
      <c r="E93" s="8" t="s">
        <v>1393</v>
      </c>
      <c r="F93" s="8">
        <v>10057</v>
      </c>
      <c r="G93" s="1510">
        <v>866</v>
      </c>
      <c r="H93" s="8"/>
      <c r="I93" s="8"/>
      <c r="J93" s="8"/>
      <c r="K93" s="8" t="s">
        <v>67</v>
      </c>
      <c r="L93" s="8" t="s">
        <v>68</v>
      </c>
      <c r="M93" s="1285">
        <v>46275</v>
      </c>
      <c r="N93" s="8"/>
      <c r="O93" s="8"/>
    </row>
    <row r="94" spans="1:15">
      <c r="A94" s="8" t="s">
        <v>1974</v>
      </c>
      <c r="B94" s="8">
        <v>90589</v>
      </c>
      <c r="C94" s="8"/>
      <c r="D94" s="8" t="s">
        <v>593</v>
      </c>
      <c r="E94" s="8" t="s">
        <v>2083</v>
      </c>
      <c r="F94" s="8"/>
      <c r="G94" s="8">
        <v>237</v>
      </c>
      <c r="H94" s="8"/>
      <c r="I94" s="8">
        <v>237</v>
      </c>
      <c r="J94" s="8" t="s">
        <v>65</v>
      </c>
      <c r="K94" s="8" t="s">
        <v>67</v>
      </c>
      <c r="L94" s="8" t="s">
        <v>68</v>
      </c>
      <c r="M94" s="8" t="s">
        <v>2084</v>
      </c>
      <c r="N94" s="8">
        <v>237</v>
      </c>
      <c r="O94" s="8"/>
    </row>
    <row r="95" spans="1:15">
      <c r="A95" s="8" t="s">
        <v>1974</v>
      </c>
      <c r="B95" s="8">
        <v>90590</v>
      </c>
      <c r="C95" s="8"/>
      <c r="D95" s="8" t="s">
        <v>593</v>
      </c>
      <c r="E95" s="8" t="s">
        <v>2083</v>
      </c>
      <c r="F95" s="8"/>
      <c r="G95" s="8">
        <v>242</v>
      </c>
      <c r="H95" s="8"/>
      <c r="I95" s="8">
        <v>242</v>
      </c>
      <c r="J95" s="8" t="s">
        <v>65</v>
      </c>
      <c r="K95" s="8" t="s">
        <v>67</v>
      </c>
      <c r="L95" s="8" t="s">
        <v>68</v>
      </c>
      <c r="M95" s="8" t="s">
        <v>2084</v>
      </c>
      <c r="N95" s="8">
        <v>242</v>
      </c>
      <c r="O95" s="8"/>
    </row>
    <row r="96" spans="1:15">
      <c r="A96" s="8" t="s">
        <v>1974</v>
      </c>
      <c r="B96" s="8">
        <v>90591</v>
      </c>
      <c r="C96" s="8"/>
      <c r="D96" s="8" t="s">
        <v>593</v>
      </c>
      <c r="E96" s="8" t="s">
        <v>2083</v>
      </c>
      <c r="F96" s="8">
        <v>10130</v>
      </c>
      <c r="G96" s="8">
        <v>114</v>
      </c>
      <c r="H96" s="8"/>
      <c r="I96" s="8">
        <v>114</v>
      </c>
      <c r="J96" s="8" t="s">
        <v>65</v>
      </c>
      <c r="K96" s="8" t="s">
        <v>67</v>
      </c>
      <c r="L96" s="8" t="s">
        <v>68</v>
      </c>
      <c r="M96" s="8" t="s">
        <v>2084</v>
      </c>
      <c r="N96" s="8">
        <v>114</v>
      </c>
      <c r="O96" s="8"/>
    </row>
    <row r="97" spans="1:15" ht="15" customHeight="1">
      <c r="A97" s="8" t="s">
        <v>2012</v>
      </c>
      <c r="B97" s="8">
        <v>90592</v>
      </c>
      <c r="C97" s="8"/>
      <c r="D97" s="8" t="s">
        <v>593</v>
      </c>
      <c r="E97" s="8" t="s">
        <v>1393</v>
      </c>
      <c r="F97" s="8">
        <v>10057</v>
      </c>
      <c r="G97" s="8">
        <v>337</v>
      </c>
      <c r="H97" s="8"/>
      <c r="I97" s="8"/>
      <c r="J97" s="8" t="s">
        <v>65</v>
      </c>
      <c r="K97" s="8" t="s">
        <v>67</v>
      </c>
      <c r="L97" s="8" t="s">
        <v>68</v>
      </c>
      <c r="M97" s="8" t="s">
        <v>2114</v>
      </c>
      <c r="N97" s="8"/>
      <c r="O97" s="8"/>
    </row>
    <row r="98" spans="1:15">
      <c r="A98" s="8" t="s">
        <v>2012</v>
      </c>
      <c r="B98" s="8">
        <v>90593</v>
      </c>
      <c r="C98" s="8"/>
      <c r="D98" s="8" t="s">
        <v>593</v>
      </c>
      <c r="E98" s="8" t="s">
        <v>1393</v>
      </c>
      <c r="F98" s="8">
        <v>10130</v>
      </c>
      <c r="G98" s="8">
        <v>131</v>
      </c>
      <c r="H98" s="8"/>
      <c r="I98" s="8"/>
      <c r="J98" s="8" t="s">
        <v>65</v>
      </c>
      <c r="K98" s="8" t="s">
        <v>67</v>
      </c>
      <c r="L98" s="8"/>
      <c r="M98" s="8" t="s">
        <v>2112</v>
      </c>
      <c r="N98" s="8"/>
      <c r="O98" s="8"/>
    </row>
    <row r="99" spans="1:15">
      <c r="A99" s="8" t="s">
        <v>2090</v>
      </c>
      <c r="B99" s="8">
        <v>90595</v>
      </c>
      <c r="C99" s="8"/>
      <c r="D99" s="8" t="s">
        <v>593</v>
      </c>
      <c r="E99" s="8" t="s">
        <v>1393</v>
      </c>
      <c r="F99" s="8">
        <v>10057</v>
      </c>
      <c r="G99" s="8">
        <v>867</v>
      </c>
      <c r="H99" s="8"/>
      <c r="I99" s="8"/>
      <c r="J99" s="8" t="s">
        <v>65</v>
      </c>
      <c r="K99" s="8" t="s">
        <v>67</v>
      </c>
      <c r="L99" s="8"/>
      <c r="M99" s="8" t="s">
        <v>2110</v>
      </c>
      <c r="N99" s="8"/>
      <c r="O99" s="8"/>
    </row>
    <row r="100" spans="1:15">
      <c r="A100" s="8" t="s">
        <v>2090</v>
      </c>
      <c r="B100" s="8">
        <v>90596</v>
      </c>
      <c r="C100" s="8"/>
      <c r="D100" s="8" t="s">
        <v>593</v>
      </c>
      <c r="E100" s="8" t="s">
        <v>1393</v>
      </c>
      <c r="F100" s="8">
        <v>10130</v>
      </c>
      <c r="G100" s="8">
        <v>65</v>
      </c>
      <c r="H100" s="8"/>
      <c r="I100" s="8"/>
      <c r="J100" s="8" t="s">
        <v>65</v>
      </c>
      <c r="K100" s="8" t="s">
        <v>67</v>
      </c>
      <c r="L100" s="8"/>
      <c r="M100" s="8" t="s">
        <v>2111</v>
      </c>
      <c r="N100" s="8"/>
      <c r="O100" s="8"/>
    </row>
    <row r="101" spans="1:15">
      <c r="A101" s="8" t="s">
        <v>2113</v>
      </c>
      <c r="B101" s="8">
        <v>90597</v>
      </c>
      <c r="C101" s="8"/>
      <c r="D101" s="8" t="s">
        <v>593</v>
      </c>
      <c r="E101" s="8" t="s">
        <v>155</v>
      </c>
      <c r="F101" s="8">
        <v>10027</v>
      </c>
      <c r="G101" s="8">
        <v>207</v>
      </c>
      <c r="H101" s="8"/>
      <c r="I101" s="8"/>
      <c r="J101" s="8"/>
      <c r="K101" s="8"/>
      <c r="L101" s="8"/>
      <c r="M101" s="8"/>
      <c r="N101" s="8"/>
      <c r="O101" s="8"/>
    </row>
    <row r="102" spans="1:15">
      <c r="G102" s="1719">
        <f>SUM(G2:G101)</f>
        <v>48818.07</v>
      </c>
    </row>
  </sheetData>
  <autoFilter ref="A1:V98" xr:uid="{062694B3-65DA-41E7-8DBC-68E510C007B6}"/>
  <phoneticPr fontId="86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4FD3-48E2-4A55-BFFC-25E539E1DCEA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4559-B75A-4C75-847F-346985E28960}">
  <dimension ref="G13:V63"/>
  <sheetViews>
    <sheetView topLeftCell="A73" workbookViewId="0">
      <selection activeCell="H30" sqref="H30"/>
    </sheetView>
  </sheetViews>
  <sheetFormatPr defaultRowHeight="14.5"/>
  <cols>
    <col min="9" max="9" width="19.453125" bestFit="1" customWidth="1"/>
    <col min="10" max="10" width="14.36328125" bestFit="1" customWidth="1"/>
    <col min="11" max="11" width="14.54296875" bestFit="1" customWidth="1"/>
  </cols>
  <sheetData>
    <row r="13" spans="21:21">
      <c r="U13">
        <f>SUM(U3:U12)</f>
        <v>0</v>
      </c>
    </row>
    <row r="16" spans="21:21">
      <c r="U16">
        <f>SUM(U14:U15)</f>
        <v>0</v>
      </c>
    </row>
    <row r="23" spans="8:8">
      <c r="H23" t="s">
        <v>1375</v>
      </c>
    </row>
    <row r="24" spans="8:8">
      <c r="H24">
        <v>350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B2CF-983A-4842-B9DC-5FE2C29EE1A0}">
  <dimension ref="A1:Y63"/>
  <sheetViews>
    <sheetView workbookViewId="0">
      <selection activeCell="A3" sqref="A3:V19"/>
    </sheetView>
  </sheetViews>
  <sheetFormatPr defaultRowHeight="14.5"/>
  <cols>
    <col min="1" max="1" width="11.54296875" customWidth="1"/>
    <col min="2" max="2" width="11.1796875" customWidth="1"/>
    <col min="3" max="3" width="17.1796875" customWidth="1"/>
    <col min="6" max="6" width="7.1796875" customWidth="1"/>
    <col min="7" max="8" width="12" customWidth="1"/>
    <col min="9" max="9" width="19.453125" bestFit="1" customWidth="1"/>
    <col min="10" max="10" width="18" bestFit="1" customWidth="1"/>
    <col min="11" max="11" width="14.54296875" bestFit="1" customWidth="1"/>
    <col min="13" max="13" width="10.1796875" customWidth="1"/>
    <col min="14" max="14" width="14.54296875" style="16" customWidth="1"/>
    <col min="15" max="15" width="13.453125" customWidth="1"/>
    <col min="18" max="18" width="10.54296875" customWidth="1"/>
    <col min="19" max="19" width="13.453125" customWidth="1"/>
    <col min="22" max="22" width="10.453125" customWidth="1"/>
    <col min="24" max="24" width="15.81640625" customWidth="1"/>
  </cols>
  <sheetData>
    <row r="1" spans="1:22">
      <c r="A1" s="17" t="s">
        <v>19</v>
      </c>
      <c r="B1" s="17" t="s">
        <v>38</v>
      </c>
      <c r="I1" s="16"/>
      <c r="J1" s="16"/>
      <c r="M1" s="18">
        <v>390</v>
      </c>
    </row>
    <row r="2" spans="1:22">
      <c r="A2" s="17"/>
      <c r="I2" s="16"/>
      <c r="J2" s="16"/>
      <c r="M2" s="18"/>
    </row>
    <row r="3" spans="1:22">
      <c r="A3" s="21" t="s">
        <v>20</v>
      </c>
      <c r="B3" s="21" t="s">
        <v>21</v>
      </c>
      <c r="C3" s="21" t="s">
        <v>22</v>
      </c>
      <c r="D3" s="21" t="s">
        <v>23</v>
      </c>
      <c r="E3" s="21" t="s">
        <v>24</v>
      </c>
      <c r="F3" s="21" t="s">
        <v>39</v>
      </c>
      <c r="G3" s="21" t="s">
        <v>25</v>
      </c>
      <c r="H3" s="21"/>
      <c r="I3" s="22" t="s">
        <v>26</v>
      </c>
      <c r="J3" s="22" t="s">
        <v>27</v>
      </c>
      <c r="K3" s="21" t="s">
        <v>28</v>
      </c>
      <c r="L3" s="21" t="s">
        <v>29</v>
      </c>
      <c r="M3" s="19" t="s">
        <v>30</v>
      </c>
      <c r="N3" s="3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/>
    </row>
    <row r="4" spans="1:22">
      <c r="A4" s="14" t="s">
        <v>18</v>
      </c>
      <c r="B4" s="23" t="s">
        <v>40</v>
      </c>
      <c r="C4" s="23" t="s">
        <v>41</v>
      </c>
      <c r="D4" s="24" t="s">
        <v>42</v>
      </c>
      <c r="E4" s="28">
        <v>2</v>
      </c>
      <c r="F4" s="25">
        <v>14</v>
      </c>
      <c r="G4" s="25">
        <f>E4*60+F4</f>
        <v>134</v>
      </c>
      <c r="H4" s="25"/>
      <c r="I4" s="20" t="s">
        <v>53</v>
      </c>
      <c r="J4" s="14" t="s">
        <v>54</v>
      </c>
      <c r="K4" s="14"/>
      <c r="L4" s="26">
        <v>440</v>
      </c>
      <c r="M4" s="27">
        <f>L4/1.1023-$M$1</f>
        <v>9.1653814750974902</v>
      </c>
      <c r="N4" s="8">
        <v>10057</v>
      </c>
      <c r="O4" s="14">
        <v>10070</v>
      </c>
      <c r="P4" s="14"/>
      <c r="Q4" s="14"/>
      <c r="R4" s="14"/>
      <c r="S4" s="14"/>
      <c r="T4" s="14"/>
      <c r="U4" s="14"/>
      <c r="V4" s="30">
        <f>G4/60*L4*1.2</f>
        <v>1179.2</v>
      </c>
    </row>
    <row r="5" spans="1:22">
      <c r="A5" s="14" t="s">
        <v>18</v>
      </c>
      <c r="B5" s="23" t="s">
        <v>40</v>
      </c>
      <c r="C5" s="23" t="s">
        <v>41</v>
      </c>
      <c r="D5" s="24" t="s">
        <v>43</v>
      </c>
      <c r="E5" s="28">
        <v>43</v>
      </c>
      <c r="F5" s="25">
        <v>40</v>
      </c>
      <c r="G5" s="25">
        <f t="shared" ref="G5:G19" si="0">E5*60+F5</f>
        <v>2620</v>
      </c>
      <c r="H5" s="25"/>
      <c r="I5" s="20" t="s">
        <v>53</v>
      </c>
      <c r="J5" s="14" t="s">
        <v>54</v>
      </c>
      <c r="K5" s="14"/>
      <c r="L5" s="26">
        <v>410</v>
      </c>
      <c r="M5" s="27">
        <f t="shared" ref="M5:M19" si="1">L5/1.1023-$M$1</f>
        <v>-18.05043998911367</v>
      </c>
      <c r="N5" s="8">
        <v>10057</v>
      </c>
      <c r="O5" s="14">
        <v>10070</v>
      </c>
      <c r="P5" s="14"/>
      <c r="Q5" s="14"/>
      <c r="R5" s="14"/>
      <c r="S5" s="14"/>
      <c r="T5" s="14"/>
      <c r="U5" s="14"/>
      <c r="V5" s="30">
        <f t="shared" ref="V5:V10" si="2">G5/60*L5*1.2</f>
        <v>21483.999999999996</v>
      </c>
    </row>
    <row r="6" spans="1:22" ht="15" customHeight="1">
      <c r="A6" s="14" t="s">
        <v>18</v>
      </c>
      <c r="B6" s="23" t="s">
        <v>40</v>
      </c>
      <c r="C6" s="23" t="s">
        <v>41</v>
      </c>
      <c r="D6" s="24" t="s">
        <v>44</v>
      </c>
      <c r="E6" s="28">
        <v>2</v>
      </c>
      <c r="F6" s="25">
        <v>50</v>
      </c>
      <c r="G6" s="25">
        <f t="shared" si="0"/>
        <v>170</v>
      </c>
      <c r="H6" s="25"/>
      <c r="I6" s="20" t="s">
        <v>53</v>
      </c>
      <c r="J6" s="14" t="s">
        <v>54</v>
      </c>
      <c r="K6" s="14"/>
      <c r="L6" s="26">
        <v>410</v>
      </c>
      <c r="M6" s="27">
        <f t="shared" si="1"/>
        <v>-18.05043998911367</v>
      </c>
      <c r="N6" s="8">
        <v>10057</v>
      </c>
      <c r="O6" s="14">
        <v>10070</v>
      </c>
      <c r="P6" s="14"/>
      <c r="Q6" s="14"/>
      <c r="R6" s="14"/>
      <c r="S6" s="14"/>
      <c r="T6" s="14"/>
      <c r="U6" s="14"/>
      <c r="V6" s="30">
        <f t="shared" si="2"/>
        <v>1394</v>
      </c>
    </row>
    <row r="7" spans="1:22">
      <c r="A7" s="14" t="s">
        <v>18</v>
      </c>
      <c r="B7" s="23" t="s">
        <v>49</v>
      </c>
      <c r="C7" s="23" t="s">
        <v>41</v>
      </c>
      <c r="D7" s="24" t="s">
        <v>42</v>
      </c>
      <c r="E7" s="28">
        <v>0</v>
      </c>
      <c r="F7" s="25">
        <v>23</v>
      </c>
      <c r="G7" s="25">
        <f>E7*60+F7</f>
        <v>23</v>
      </c>
      <c r="H7" s="25"/>
      <c r="I7" s="20" t="s">
        <v>55</v>
      </c>
      <c r="J7" s="14" t="s">
        <v>56</v>
      </c>
      <c r="K7" s="14"/>
      <c r="L7" s="26">
        <v>400</v>
      </c>
      <c r="M7" s="27">
        <f>L7/1.1023-$M$1</f>
        <v>-27.122380477184095</v>
      </c>
      <c r="N7" s="8">
        <v>10057</v>
      </c>
      <c r="O7" s="14">
        <v>10190</v>
      </c>
      <c r="P7" s="14"/>
      <c r="Q7" s="14"/>
      <c r="R7" s="14"/>
      <c r="S7" s="14"/>
      <c r="T7" s="14"/>
      <c r="U7" s="14"/>
      <c r="V7" s="30">
        <f t="shared" si="2"/>
        <v>184</v>
      </c>
    </row>
    <row r="8" spans="1:22">
      <c r="A8" s="14" t="s">
        <v>18</v>
      </c>
      <c r="B8" s="23" t="s">
        <v>49</v>
      </c>
      <c r="C8" s="23" t="s">
        <v>41</v>
      </c>
      <c r="D8" s="24" t="s">
        <v>43</v>
      </c>
      <c r="E8" s="28">
        <v>8</v>
      </c>
      <c r="F8" s="25">
        <v>19</v>
      </c>
      <c r="G8" s="25">
        <f>E8*60+F8</f>
        <v>499</v>
      </c>
      <c r="H8" s="25"/>
      <c r="I8" s="20" t="s">
        <v>55</v>
      </c>
      <c r="J8" s="14" t="s">
        <v>56</v>
      </c>
      <c r="K8" s="14"/>
      <c r="L8" s="26">
        <v>390</v>
      </c>
      <c r="M8" s="27">
        <f>L8/1.1023-$M$1</f>
        <v>-36.194320965254462</v>
      </c>
      <c r="N8" s="8">
        <v>10057</v>
      </c>
      <c r="O8" s="14">
        <v>10100</v>
      </c>
      <c r="P8" s="14"/>
      <c r="Q8" s="14"/>
      <c r="R8" s="14"/>
      <c r="S8" s="14"/>
      <c r="T8" s="14"/>
      <c r="U8" s="14"/>
      <c r="V8" s="30">
        <f t="shared" si="2"/>
        <v>3892.2</v>
      </c>
    </row>
    <row r="9" spans="1:22">
      <c r="A9" s="14" t="s">
        <v>18</v>
      </c>
      <c r="B9" s="23" t="s">
        <v>49</v>
      </c>
      <c r="C9" s="23" t="s">
        <v>41</v>
      </c>
      <c r="D9" s="24" t="s">
        <v>44</v>
      </c>
      <c r="E9" s="28">
        <v>0</v>
      </c>
      <c r="F9" s="25">
        <v>46</v>
      </c>
      <c r="G9" s="25">
        <f>E9*60+F9</f>
        <v>46</v>
      </c>
      <c r="H9" s="25"/>
      <c r="I9" s="20" t="s">
        <v>55</v>
      </c>
      <c r="J9" s="14" t="s">
        <v>56</v>
      </c>
      <c r="K9" s="14"/>
      <c r="L9" s="26">
        <v>390</v>
      </c>
      <c r="M9" s="27">
        <f>L9/1.1023-$M$1</f>
        <v>-36.194320965254462</v>
      </c>
      <c r="N9" s="8">
        <v>10057</v>
      </c>
      <c r="O9" s="14">
        <v>10100</v>
      </c>
      <c r="P9" s="14"/>
      <c r="Q9" s="14"/>
      <c r="R9" s="14"/>
      <c r="S9" s="14"/>
      <c r="T9" s="14"/>
      <c r="U9" s="14"/>
      <c r="V9" s="30">
        <f t="shared" si="2"/>
        <v>358.8</v>
      </c>
    </row>
    <row r="10" spans="1:22">
      <c r="A10" s="14" t="s">
        <v>18</v>
      </c>
      <c r="B10" s="23" t="s">
        <v>49</v>
      </c>
      <c r="C10" s="23" t="s">
        <v>41</v>
      </c>
      <c r="D10" s="24" t="s">
        <v>45</v>
      </c>
      <c r="E10" s="28">
        <v>10</v>
      </c>
      <c r="F10" s="25">
        <v>26</v>
      </c>
      <c r="G10" s="25">
        <f>E10*60+F10</f>
        <v>626</v>
      </c>
      <c r="H10" s="25"/>
      <c r="I10" s="20" t="s">
        <v>53</v>
      </c>
      <c r="J10" s="14" t="s">
        <v>54</v>
      </c>
      <c r="K10" s="14"/>
      <c r="L10" s="26">
        <v>385</v>
      </c>
      <c r="M10" s="27">
        <f>L10/1.1023-$M$1</f>
        <v>-40.730291209289703</v>
      </c>
      <c r="N10" s="8">
        <v>10057</v>
      </c>
      <c r="O10" s="14">
        <v>10084</v>
      </c>
      <c r="P10" s="14"/>
      <c r="Q10" s="14"/>
      <c r="R10" s="14"/>
      <c r="S10" s="14"/>
      <c r="T10" s="14"/>
      <c r="U10" s="14"/>
      <c r="V10" s="30">
        <f t="shared" si="2"/>
        <v>4820.2</v>
      </c>
    </row>
    <row r="11" spans="1:22">
      <c r="A11" s="14" t="s">
        <v>18</v>
      </c>
      <c r="B11" s="23" t="s">
        <v>40</v>
      </c>
      <c r="C11" s="23" t="s">
        <v>41</v>
      </c>
      <c r="D11" s="24" t="s">
        <v>45</v>
      </c>
      <c r="E11" s="28">
        <v>38</v>
      </c>
      <c r="F11" s="25">
        <v>12</v>
      </c>
      <c r="G11" s="25">
        <f t="shared" si="0"/>
        <v>2292</v>
      </c>
      <c r="H11" s="25"/>
      <c r="I11" s="20" t="s">
        <v>55</v>
      </c>
      <c r="J11" s="14" t="s">
        <v>56</v>
      </c>
      <c r="K11" s="14"/>
      <c r="L11" s="26">
        <v>390</v>
      </c>
      <c r="M11" s="27">
        <f t="shared" si="1"/>
        <v>-36.194320965254462</v>
      </c>
      <c r="N11" s="8">
        <v>10130</v>
      </c>
      <c r="O11" s="14">
        <v>10115</v>
      </c>
      <c r="P11" s="14"/>
      <c r="Q11" s="14"/>
      <c r="R11" s="14"/>
      <c r="S11" s="14"/>
      <c r="T11" s="14"/>
      <c r="U11" s="14"/>
      <c r="V11" s="30">
        <f>G11/60*L11*1.2</f>
        <v>17877.600000000002</v>
      </c>
    </row>
    <row r="12" spans="1:22">
      <c r="A12" s="14" t="s">
        <v>18</v>
      </c>
      <c r="B12" s="23" t="s">
        <v>40</v>
      </c>
      <c r="C12" s="23" t="s">
        <v>41</v>
      </c>
      <c r="D12" s="24" t="s">
        <v>46</v>
      </c>
      <c r="E12" s="28">
        <v>3</v>
      </c>
      <c r="F12" s="25">
        <v>45</v>
      </c>
      <c r="G12" s="25">
        <f t="shared" si="0"/>
        <v>225</v>
      </c>
      <c r="H12" s="25"/>
      <c r="I12" s="20">
        <v>5</v>
      </c>
      <c r="J12" s="14" t="s">
        <v>57</v>
      </c>
      <c r="K12" s="14"/>
      <c r="L12" s="26">
        <v>383</v>
      </c>
      <c r="M12" s="27">
        <f t="shared" si="1"/>
        <v>-42.544679306903788</v>
      </c>
      <c r="N12" s="8">
        <v>10130</v>
      </c>
      <c r="O12" s="14">
        <v>10100</v>
      </c>
      <c r="P12" s="14"/>
      <c r="Q12" s="14"/>
      <c r="R12" s="14"/>
      <c r="S12" s="14"/>
      <c r="T12" s="14"/>
      <c r="U12" s="14"/>
      <c r="V12" s="30">
        <f t="shared" ref="V12:V19" si="3">G12/60*L12*1.2</f>
        <v>1723.5</v>
      </c>
    </row>
    <row r="13" spans="1:22">
      <c r="A13" s="14" t="s">
        <v>18</v>
      </c>
      <c r="B13" s="23" t="s">
        <v>40</v>
      </c>
      <c r="C13" s="23" t="s">
        <v>41</v>
      </c>
      <c r="D13" s="24" t="s">
        <v>47</v>
      </c>
      <c r="E13" s="28">
        <v>11</v>
      </c>
      <c r="F13" s="25">
        <v>58</v>
      </c>
      <c r="G13" s="25">
        <f t="shared" si="0"/>
        <v>718</v>
      </c>
      <c r="H13" s="25"/>
      <c r="I13" s="20" t="s">
        <v>58</v>
      </c>
      <c r="J13" s="14" t="s">
        <v>59</v>
      </c>
      <c r="K13" s="14"/>
      <c r="L13" s="26">
        <v>260</v>
      </c>
      <c r="M13" s="27">
        <f t="shared" si="1"/>
        <v>-154.12954731016967</v>
      </c>
      <c r="N13" s="8">
        <v>10130</v>
      </c>
      <c r="O13" s="14">
        <v>10120</v>
      </c>
      <c r="P13" s="14"/>
      <c r="Q13" s="14"/>
      <c r="R13" s="14"/>
      <c r="S13" s="14"/>
      <c r="T13" s="14"/>
      <c r="U13" s="14">
        <f>SUM(U3:U12)</f>
        <v>0</v>
      </c>
      <c r="V13" s="30">
        <f t="shared" si="3"/>
        <v>3733.6</v>
      </c>
    </row>
    <row r="14" spans="1:22">
      <c r="A14" s="14" t="s">
        <v>18</v>
      </c>
      <c r="B14" s="23" t="s">
        <v>40</v>
      </c>
      <c r="C14" s="23" t="s">
        <v>41</v>
      </c>
      <c r="D14" s="24" t="s">
        <v>48</v>
      </c>
      <c r="E14" s="28">
        <v>1</v>
      </c>
      <c r="F14" s="25">
        <v>0</v>
      </c>
      <c r="G14" s="25">
        <f t="shared" si="0"/>
        <v>60</v>
      </c>
      <c r="H14" s="25"/>
      <c r="I14" s="20" t="s">
        <v>58</v>
      </c>
      <c r="J14" s="14" t="s">
        <v>59</v>
      </c>
      <c r="K14" s="14"/>
      <c r="L14" s="26">
        <v>210</v>
      </c>
      <c r="M14" s="27">
        <f t="shared" si="1"/>
        <v>-199.48924975052165</v>
      </c>
      <c r="N14" s="8">
        <v>10130</v>
      </c>
      <c r="O14" s="14">
        <v>10130</v>
      </c>
      <c r="P14" s="14"/>
      <c r="Q14" s="14"/>
      <c r="R14" s="14"/>
      <c r="S14" s="14"/>
      <c r="T14" s="14"/>
      <c r="U14" s="14"/>
      <c r="V14" s="30">
        <f t="shared" si="3"/>
        <v>252</v>
      </c>
    </row>
    <row r="15" spans="1:22">
      <c r="A15" s="14" t="s">
        <v>18</v>
      </c>
      <c r="B15" s="23" t="s">
        <v>49</v>
      </c>
      <c r="C15" s="23" t="s">
        <v>41</v>
      </c>
      <c r="D15" s="24" t="s">
        <v>46</v>
      </c>
      <c r="E15" s="28">
        <v>1</v>
      </c>
      <c r="F15" s="25">
        <v>35</v>
      </c>
      <c r="G15" s="25">
        <f t="shared" si="0"/>
        <v>95</v>
      </c>
      <c r="H15" s="25"/>
      <c r="I15" s="20">
        <v>6</v>
      </c>
      <c r="J15" s="14" t="s">
        <v>60</v>
      </c>
      <c r="K15" s="14"/>
      <c r="L15" s="26">
        <v>375</v>
      </c>
      <c r="M15" s="27">
        <f t="shared" si="1"/>
        <v>-49.802231697360071</v>
      </c>
      <c r="N15" s="8">
        <v>10130</v>
      </c>
      <c r="O15" s="14">
        <v>10130</v>
      </c>
      <c r="P15" s="14"/>
      <c r="Q15" s="14"/>
      <c r="R15" s="14"/>
      <c r="S15" s="14"/>
      <c r="T15" s="14"/>
      <c r="U15" s="14"/>
      <c r="V15" s="30">
        <f t="shared" si="3"/>
        <v>712.5</v>
      </c>
    </row>
    <row r="16" spans="1:22">
      <c r="A16" s="14" t="s">
        <v>18</v>
      </c>
      <c r="B16" s="23" t="s">
        <v>49</v>
      </c>
      <c r="C16" s="23" t="s">
        <v>41</v>
      </c>
      <c r="D16" s="24" t="s">
        <v>47</v>
      </c>
      <c r="E16" s="28">
        <v>5</v>
      </c>
      <c r="F16" s="25">
        <v>24</v>
      </c>
      <c r="G16" s="25">
        <f t="shared" si="0"/>
        <v>324</v>
      </c>
      <c r="H16" s="25"/>
      <c r="I16" s="20" t="s">
        <v>58</v>
      </c>
      <c r="J16" s="14" t="s">
        <v>59</v>
      </c>
      <c r="K16" s="14"/>
      <c r="L16" s="26">
        <v>260</v>
      </c>
      <c r="M16" s="27">
        <f t="shared" si="1"/>
        <v>-154.12954731016967</v>
      </c>
      <c r="N16" s="8">
        <v>10130</v>
      </c>
      <c r="O16" s="14">
        <v>10120</v>
      </c>
      <c r="P16" s="14"/>
      <c r="Q16" s="14"/>
      <c r="R16" s="14"/>
      <c r="S16" s="14"/>
      <c r="T16" s="14"/>
      <c r="U16" s="14">
        <f>SUM(U14:U15)</f>
        <v>0</v>
      </c>
      <c r="V16" s="30">
        <f t="shared" si="3"/>
        <v>1684.8</v>
      </c>
    </row>
    <row r="17" spans="1:25">
      <c r="A17" s="14" t="s">
        <v>18</v>
      </c>
      <c r="B17" s="23" t="s">
        <v>49</v>
      </c>
      <c r="C17" s="23" t="s">
        <v>41</v>
      </c>
      <c r="D17" s="24" t="s">
        <v>48</v>
      </c>
      <c r="E17" s="28">
        <v>0</v>
      </c>
      <c r="F17" s="25">
        <v>32</v>
      </c>
      <c r="G17" s="25">
        <f t="shared" si="0"/>
        <v>32</v>
      </c>
      <c r="H17" s="25"/>
      <c r="I17" s="20" t="s">
        <v>61</v>
      </c>
      <c r="J17" s="14" t="s">
        <v>62</v>
      </c>
      <c r="K17" s="14"/>
      <c r="L17" s="26">
        <v>222</v>
      </c>
      <c r="M17" s="27">
        <f t="shared" si="1"/>
        <v>-188.60292116483717</v>
      </c>
      <c r="N17" s="8">
        <v>10130</v>
      </c>
      <c r="O17" s="14">
        <v>10130</v>
      </c>
      <c r="P17" s="14"/>
      <c r="Q17" s="14"/>
      <c r="R17" s="14"/>
      <c r="S17" s="14"/>
      <c r="T17" s="14"/>
      <c r="U17" s="14"/>
      <c r="V17" s="30">
        <f t="shared" si="3"/>
        <v>142.07999999999998</v>
      </c>
    </row>
    <row r="18" spans="1:25">
      <c r="A18" s="14" t="s">
        <v>18</v>
      </c>
      <c r="B18" s="23" t="s">
        <v>50</v>
      </c>
      <c r="C18" s="23" t="s">
        <v>41</v>
      </c>
      <c r="D18" s="24" t="s">
        <v>51</v>
      </c>
      <c r="E18" s="28">
        <v>8</v>
      </c>
      <c r="F18" s="25">
        <v>34</v>
      </c>
      <c r="G18" s="25">
        <f t="shared" si="0"/>
        <v>514</v>
      </c>
      <c r="H18" s="25"/>
      <c r="I18" s="20">
        <v>6</v>
      </c>
      <c r="J18" s="14" t="s">
        <v>60</v>
      </c>
      <c r="K18" s="14"/>
      <c r="L18" s="26">
        <v>263</v>
      </c>
      <c r="M18" s="27">
        <f t="shared" si="1"/>
        <v>-151.40796516374854</v>
      </c>
      <c r="N18" s="8">
        <v>10130</v>
      </c>
      <c r="O18" s="14">
        <v>10130</v>
      </c>
      <c r="P18" s="14"/>
      <c r="Q18" s="14"/>
      <c r="R18" s="14"/>
      <c r="S18" s="14"/>
      <c r="T18" s="14"/>
      <c r="U18" s="14"/>
      <c r="V18" s="30">
        <f t="shared" si="3"/>
        <v>2703.64</v>
      </c>
    </row>
    <row r="19" spans="1:25">
      <c r="A19" s="14" t="s">
        <v>18</v>
      </c>
      <c r="B19" s="23" t="s">
        <v>50</v>
      </c>
      <c r="C19" s="23" t="s">
        <v>41</v>
      </c>
      <c r="D19" s="24" t="s">
        <v>52</v>
      </c>
      <c r="E19" s="28">
        <v>4</v>
      </c>
      <c r="F19" s="25">
        <v>43</v>
      </c>
      <c r="G19" s="25">
        <f t="shared" si="0"/>
        <v>283</v>
      </c>
      <c r="H19" s="25"/>
      <c r="I19" s="20"/>
      <c r="J19" s="14" t="s">
        <v>63</v>
      </c>
      <c r="K19" s="14"/>
      <c r="L19" s="26">
        <v>260</v>
      </c>
      <c r="M19" s="27">
        <f t="shared" si="1"/>
        <v>-154.12954731016967</v>
      </c>
      <c r="N19" s="8">
        <v>10130</v>
      </c>
      <c r="O19" s="14">
        <v>10135</v>
      </c>
      <c r="P19" s="14"/>
      <c r="Q19" s="14"/>
      <c r="R19" s="14"/>
      <c r="S19" s="14"/>
      <c r="T19" s="14"/>
      <c r="U19" s="14"/>
      <c r="V19" s="30">
        <f t="shared" si="3"/>
        <v>1471.6</v>
      </c>
    </row>
    <row r="20" spans="1:25">
      <c r="E20" s="29">
        <f>SUM(E4:E19)</f>
        <v>136</v>
      </c>
      <c r="F20" s="29">
        <f t="shared" ref="F20:G20" si="4">SUM(F4:F19)</f>
        <v>501</v>
      </c>
      <c r="G20" s="29">
        <f t="shared" si="4"/>
        <v>8661</v>
      </c>
      <c r="H20" s="29"/>
    </row>
    <row r="21" spans="1:25">
      <c r="E21" s="30" cm="1">
        <f t="array" ref="E21:E22">P25:P26</f>
        <v>0</v>
      </c>
      <c r="G21" s="29">
        <f>SUM(G4:G19)</f>
        <v>8661</v>
      </c>
      <c r="H21" s="29"/>
      <c r="V21" s="30">
        <f>SUM(V4:V20)</f>
        <v>63613.72</v>
      </c>
      <c r="X21" s="30"/>
      <c r="Y21" s="30"/>
    </row>
    <row r="22" spans="1:25">
      <c r="E22">
        <v>0</v>
      </c>
    </row>
    <row r="23" spans="1:25">
      <c r="E23" s="30">
        <f>G21/60</f>
        <v>144.35</v>
      </c>
      <c r="H23" t="s">
        <v>1375</v>
      </c>
    </row>
    <row r="24" spans="1:25">
      <c r="H24" s="27">
        <v>350</v>
      </c>
    </row>
    <row r="25" spans="1:25">
      <c r="H25" s="27">
        <f t="shared" ref="H25" si="5">G25/1.1023-$M$1</f>
        <v>-390</v>
      </c>
    </row>
    <row r="27" spans="1:25">
      <c r="H27" s="246">
        <v>-199.48924975052165</v>
      </c>
    </row>
    <row r="28" spans="1:25">
      <c r="H28" s="246">
        <v>-49.802231697360071</v>
      </c>
    </row>
    <row r="29" spans="1:25">
      <c r="H29" s="246">
        <v>-18.05043998911367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9EB7-07A8-4500-931B-D8851C623F66}">
  <dimension ref="A1:V63"/>
  <sheetViews>
    <sheetView workbookViewId="0">
      <selection activeCell="A3" sqref="A3:U3"/>
    </sheetView>
  </sheetViews>
  <sheetFormatPr defaultRowHeight="14.5"/>
  <cols>
    <col min="1" max="1" width="13.1796875" customWidth="1"/>
    <col min="3" max="3" width="10.81640625" customWidth="1"/>
    <col min="9" max="9" width="19.453125" bestFit="1" customWidth="1"/>
    <col min="10" max="10" width="14.36328125" bestFit="1" customWidth="1"/>
    <col min="11" max="11" width="14.54296875" bestFit="1" customWidth="1"/>
    <col min="13" max="13" width="11.81640625" customWidth="1"/>
    <col min="14" max="14" width="14.81640625" customWidth="1"/>
    <col min="19" max="19" width="16.1796875" customWidth="1"/>
    <col min="20" max="20" width="10" customWidth="1"/>
    <col min="21" max="21" width="12.54296875" customWidth="1"/>
  </cols>
  <sheetData>
    <row r="1" spans="1:22">
      <c r="A1" s="17" t="s">
        <v>69</v>
      </c>
      <c r="B1" s="17" t="s">
        <v>76</v>
      </c>
      <c r="I1" s="16"/>
      <c r="J1" s="16"/>
      <c r="M1" s="18">
        <v>372</v>
      </c>
      <c r="N1" s="16"/>
    </row>
    <row r="2" spans="1:22">
      <c r="A2" s="17"/>
      <c r="I2" s="16"/>
      <c r="J2" s="16"/>
      <c r="M2" s="18"/>
      <c r="N2" s="16"/>
      <c r="P2" s="17" t="s">
        <v>157</v>
      </c>
    </row>
    <row r="3" spans="1:22">
      <c r="A3" s="2" t="s">
        <v>20</v>
      </c>
      <c r="B3" s="21" t="s">
        <v>21</v>
      </c>
      <c r="C3" s="21" t="s">
        <v>22</v>
      </c>
      <c r="D3" s="21" t="s">
        <v>23</v>
      </c>
      <c r="E3" s="21" t="s">
        <v>24</v>
      </c>
      <c r="F3" s="21" t="s">
        <v>39</v>
      </c>
      <c r="G3" s="21" t="s">
        <v>25</v>
      </c>
      <c r="H3" s="21"/>
      <c r="I3" s="22" t="s">
        <v>26</v>
      </c>
      <c r="J3" s="22" t="s">
        <v>27</v>
      </c>
      <c r="K3" s="2" t="s">
        <v>1206</v>
      </c>
      <c r="L3" s="2" t="s">
        <v>29</v>
      </c>
      <c r="M3" s="19" t="s">
        <v>30</v>
      </c>
      <c r="N3" s="3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/>
    </row>
    <row r="4" spans="1:22">
      <c r="A4" s="14" t="s">
        <v>75</v>
      </c>
      <c r="B4" s="32" t="s">
        <v>70</v>
      </c>
      <c r="C4" s="32" t="s">
        <v>71</v>
      </c>
      <c r="D4" s="32" t="s">
        <v>42</v>
      </c>
      <c r="E4" s="33">
        <v>50</v>
      </c>
      <c r="F4" s="33">
        <v>24</v>
      </c>
      <c r="G4" s="33">
        <v>3024</v>
      </c>
      <c r="H4" s="33"/>
      <c r="I4" s="33" t="s">
        <v>72</v>
      </c>
      <c r="J4" s="14">
        <v>500</v>
      </c>
      <c r="K4" s="964">
        <v>90502</v>
      </c>
      <c r="L4" s="33">
        <v>500</v>
      </c>
      <c r="M4" s="15">
        <f>(L4/1.1023)-$M$1</f>
        <v>81.597024403519868</v>
      </c>
      <c r="N4" s="14">
        <v>10027</v>
      </c>
      <c r="O4" s="14">
        <v>10010</v>
      </c>
      <c r="P4" s="14">
        <v>50</v>
      </c>
      <c r="Q4" s="14">
        <v>0</v>
      </c>
      <c r="R4" s="14">
        <v>3000.1</v>
      </c>
      <c r="S4" s="14">
        <v>542.6</v>
      </c>
      <c r="T4" s="14"/>
      <c r="U4" s="14"/>
    </row>
    <row r="5" spans="1:22">
      <c r="A5" s="14" t="s">
        <v>75</v>
      </c>
      <c r="B5" s="32" t="s">
        <v>70</v>
      </c>
      <c r="C5" s="32" t="s">
        <v>71</v>
      </c>
      <c r="D5" s="32" t="s">
        <v>43</v>
      </c>
      <c r="E5" s="33">
        <v>55</v>
      </c>
      <c r="F5" s="33">
        <v>36</v>
      </c>
      <c r="G5" s="33">
        <v>3336</v>
      </c>
      <c r="H5" s="33"/>
      <c r="I5" s="33" t="s">
        <v>72</v>
      </c>
      <c r="J5" s="14">
        <v>450</v>
      </c>
      <c r="K5" s="964">
        <v>90502</v>
      </c>
      <c r="L5" s="33">
        <v>450</v>
      </c>
      <c r="M5" s="15">
        <f t="shared" ref="M5:M9" si="0">(L5/1.1023)-$M$1</f>
        <v>36.237321963167915</v>
      </c>
      <c r="N5" s="14">
        <v>10027</v>
      </c>
      <c r="O5" s="14">
        <v>10020</v>
      </c>
      <c r="P5" s="14">
        <v>55</v>
      </c>
      <c r="Q5" s="14">
        <v>21</v>
      </c>
      <c r="R5" s="14">
        <v>3320.6</v>
      </c>
      <c r="S5" s="14">
        <v>1820.2</v>
      </c>
      <c r="T5" s="14"/>
      <c r="U5" s="14"/>
    </row>
    <row r="6" spans="1:22">
      <c r="A6" s="14" t="s">
        <v>75</v>
      </c>
      <c r="B6" s="32" t="s">
        <v>70</v>
      </c>
      <c r="C6" s="32" t="s">
        <v>71</v>
      </c>
      <c r="D6" s="32" t="s">
        <v>44</v>
      </c>
      <c r="E6" s="33">
        <v>9</v>
      </c>
      <c r="F6" s="33">
        <v>46</v>
      </c>
      <c r="G6" s="33">
        <v>586</v>
      </c>
      <c r="H6" s="33"/>
      <c r="I6" s="33" t="s">
        <v>72</v>
      </c>
      <c r="J6" s="14">
        <v>450</v>
      </c>
      <c r="K6" s="964">
        <v>90502</v>
      </c>
      <c r="L6" s="33">
        <v>450</v>
      </c>
      <c r="M6" s="15">
        <f t="shared" si="0"/>
        <v>36.237321963167915</v>
      </c>
      <c r="N6" s="14">
        <v>10027</v>
      </c>
      <c r="O6" s="14">
        <v>10020</v>
      </c>
      <c r="P6" s="14">
        <v>9</v>
      </c>
      <c r="Q6" s="14">
        <v>41</v>
      </c>
      <c r="R6" s="14">
        <v>581</v>
      </c>
      <c r="S6" s="14"/>
      <c r="T6" s="14"/>
      <c r="U6" s="14"/>
    </row>
    <row r="7" spans="1:22">
      <c r="A7" s="14" t="s">
        <v>75</v>
      </c>
      <c r="B7" s="32" t="s">
        <v>73</v>
      </c>
      <c r="C7" s="32" t="s">
        <v>74</v>
      </c>
      <c r="D7" s="32" t="s">
        <v>42</v>
      </c>
      <c r="E7" s="33">
        <v>65</v>
      </c>
      <c r="F7" s="33">
        <v>13</v>
      </c>
      <c r="G7" s="33">
        <v>3913</v>
      </c>
      <c r="H7" s="33"/>
      <c r="I7" s="33" t="s">
        <v>72</v>
      </c>
      <c r="J7" s="14">
        <v>500</v>
      </c>
      <c r="K7" s="964">
        <v>90502</v>
      </c>
      <c r="L7" s="33">
        <v>500</v>
      </c>
      <c r="M7" s="15">
        <f t="shared" si="0"/>
        <v>81.597024403519868</v>
      </c>
      <c r="N7" s="14">
        <v>10027</v>
      </c>
      <c r="O7" s="14">
        <v>10010</v>
      </c>
      <c r="P7" s="14">
        <v>64</v>
      </c>
      <c r="Q7" s="14">
        <v>52</v>
      </c>
      <c r="R7" s="14">
        <v>3891.6</v>
      </c>
      <c r="S7" s="14">
        <v>1809.6</v>
      </c>
      <c r="T7" s="14"/>
      <c r="U7" s="14"/>
    </row>
    <row r="8" spans="1:22">
      <c r="A8" s="14" t="s">
        <v>75</v>
      </c>
      <c r="B8" s="32" t="s">
        <v>73</v>
      </c>
      <c r="C8" s="32" t="s">
        <v>74</v>
      </c>
      <c r="D8" s="32" t="s">
        <v>43</v>
      </c>
      <c r="E8" s="33">
        <v>82</v>
      </c>
      <c r="F8" s="33">
        <v>0</v>
      </c>
      <c r="G8" s="33">
        <v>4920</v>
      </c>
      <c r="H8" s="33"/>
      <c r="I8" s="33" t="s">
        <v>72</v>
      </c>
      <c r="J8" s="14">
        <v>450</v>
      </c>
      <c r="K8" s="964">
        <v>90502</v>
      </c>
      <c r="L8" s="33">
        <v>450</v>
      </c>
      <c r="M8" s="15">
        <f t="shared" si="0"/>
        <v>36.237321963167915</v>
      </c>
      <c r="N8" s="14">
        <v>10027</v>
      </c>
      <c r="O8" s="14">
        <v>10020</v>
      </c>
      <c r="P8" s="14">
        <v>81</v>
      </c>
      <c r="Q8" s="14">
        <v>44</v>
      </c>
      <c r="R8" s="14">
        <v>4904.2</v>
      </c>
      <c r="S8" s="14"/>
      <c r="T8" s="14"/>
      <c r="U8" s="14"/>
    </row>
    <row r="9" spans="1:22">
      <c r="A9" s="14" t="s">
        <v>75</v>
      </c>
      <c r="B9" s="32" t="s">
        <v>73</v>
      </c>
      <c r="C9" s="32" t="s">
        <v>74</v>
      </c>
      <c r="D9" s="32" t="s">
        <v>44</v>
      </c>
      <c r="E9" s="33">
        <v>11</v>
      </c>
      <c r="F9" s="33">
        <v>13</v>
      </c>
      <c r="G9" s="33">
        <v>673</v>
      </c>
      <c r="H9" s="33"/>
      <c r="I9" s="33" t="s">
        <v>72</v>
      </c>
      <c r="J9" s="14">
        <v>450</v>
      </c>
      <c r="K9" s="964">
        <v>90502</v>
      </c>
      <c r="L9" s="20">
        <v>450</v>
      </c>
      <c r="M9" s="15">
        <f t="shared" si="0"/>
        <v>36.237321963167915</v>
      </c>
      <c r="N9" s="14">
        <v>10027</v>
      </c>
      <c r="O9" s="14">
        <v>10020</v>
      </c>
      <c r="P9" s="14">
        <v>11</v>
      </c>
      <c r="Q9" s="14">
        <v>8</v>
      </c>
      <c r="R9" s="14">
        <v>668.2</v>
      </c>
      <c r="S9" s="14"/>
      <c r="T9" s="14"/>
      <c r="U9" s="14"/>
    </row>
    <row r="10" spans="1:22">
      <c r="E10">
        <f>G10/60</f>
        <v>274.2</v>
      </c>
      <c r="F10">
        <f t="shared" ref="F10:G10" si="1">SUM(F4:F9)</f>
        <v>132</v>
      </c>
      <c r="G10">
        <f t="shared" si="1"/>
        <v>16452</v>
      </c>
      <c r="N10" s="111">
        <f>R10/60</f>
        <v>272.76166666666666</v>
      </c>
      <c r="R10" s="17">
        <f>SUM(R4:R9)</f>
        <v>16365.7</v>
      </c>
      <c r="U10" s="17" t="s">
        <v>77</v>
      </c>
      <c r="V10" s="17">
        <v>471.08</v>
      </c>
    </row>
    <row r="12" spans="1:22">
      <c r="D12" s="112" t="s">
        <v>244</v>
      </c>
      <c r="E12" s="111">
        <f>E10-N10</f>
        <v>1.4383333333333326</v>
      </c>
    </row>
    <row r="13" spans="1:22">
      <c r="U13">
        <f>SUM(U3:U12)</f>
        <v>0</v>
      </c>
    </row>
    <row r="16" spans="1:22">
      <c r="U16">
        <f>SUM(U14:U15)</f>
        <v>0</v>
      </c>
    </row>
    <row r="23" spans="8:8">
      <c r="H23" t="s">
        <v>1375</v>
      </c>
    </row>
    <row r="24" spans="8:8">
      <c r="H24">
        <v>350</v>
      </c>
    </row>
    <row r="29" spans="8:8">
      <c r="H29" s="246">
        <v>36.237321963167915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17D3-C789-4C55-8217-A56F727798EC}">
  <dimension ref="A1:V63"/>
  <sheetViews>
    <sheetView workbookViewId="0">
      <selection activeCell="A2" sqref="A2"/>
    </sheetView>
  </sheetViews>
  <sheetFormatPr defaultRowHeight="14.5"/>
  <cols>
    <col min="2" max="2" width="12.1796875" customWidth="1"/>
    <col min="3" max="3" width="12.81640625" customWidth="1"/>
    <col min="9" max="9" width="19.453125" bestFit="1" customWidth="1"/>
    <col min="10" max="10" width="17.90625" bestFit="1" customWidth="1"/>
    <col min="11" max="11" width="14.54296875" bestFit="1" customWidth="1"/>
    <col min="14" max="14" width="14.1796875" customWidth="1"/>
    <col min="19" max="19" width="18.1796875" bestFit="1" customWidth="1"/>
  </cols>
  <sheetData>
    <row r="1" spans="1:21" ht="15" thickBot="1">
      <c r="A1" s="17" t="s">
        <v>1202</v>
      </c>
      <c r="B1" s="17"/>
    </row>
    <row r="2" spans="1:21" ht="15.5" thickTop="1" thickBot="1">
      <c r="A2" s="34" t="s">
        <v>78</v>
      </c>
      <c r="B2" s="35" t="s">
        <v>79</v>
      </c>
      <c r="C2" s="34" t="s">
        <v>80</v>
      </c>
      <c r="D2" s="34" t="s">
        <v>81</v>
      </c>
      <c r="E2" s="34" t="s">
        <v>33</v>
      </c>
      <c r="F2" s="34" t="s">
        <v>82</v>
      </c>
      <c r="G2" s="34" t="s">
        <v>83</v>
      </c>
      <c r="H2" s="34"/>
      <c r="I2" s="34" t="s">
        <v>4</v>
      </c>
      <c r="J2" s="36" t="s">
        <v>84</v>
      </c>
      <c r="K2" s="37" t="s">
        <v>85</v>
      </c>
      <c r="L2" s="3">
        <v>356.72</v>
      </c>
      <c r="M2" s="3" t="s">
        <v>31</v>
      </c>
      <c r="N2" s="3" t="s">
        <v>1203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/>
    </row>
    <row r="3" spans="1:21" ht="15" thickTop="1">
      <c r="A3" s="38" t="s">
        <v>86</v>
      </c>
      <c r="B3" s="39" t="s">
        <v>87</v>
      </c>
      <c r="C3" s="38" t="s">
        <v>88</v>
      </c>
      <c r="D3" s="39" t="s">
        <v>42</v>
      </c>
      <c r="E3" s="40">
        <v>69</v>
      </c>
      <c r="F3" s="41">
        <v>10</v>
      </c>
      <c r="G3" s="42">
        <v>4144</v>
      </c>
      <c r="H3" s="1123"/>
      <c r="I3" s="41" t="s">
        <v>72</v>
      </c>
      <c r="J3" s="40" t="s">
        <v>89</v>
      </c>
      <c r="K3" s="43">
        <v>475</v>
      </c>
      <c r="L3" s="44">
        <f>(K3/1.1023)-$L$2</f>
        <v>74.197173183343864</v>
      </c>
      <c r="M3" s="14">
        <v>10027</v>
      </c>
      <c r="N3" s="963">
        <v>90507</v>
      </c>
      <c r="O3" s="14">
        <v>10010</v>
      </c>
      <c r="P3" s="14">
        <v>68</v>
      </c>
      <c r="Q3" s="14">
        <v>50</v>
      </c>
      <c r="R3" s="14">
        <v>4130</v>
      </c>
      <c r="S3" s="14"/>
      <c r="T3" s="14"/>
      <c r="U3" s="14"/>
    </row>
    <row r="4" spans="1:21">
      <c r="A4" s="38" t="s">
        <v>86</v>
      </c>
      <c r="B4" s="39" t="s">
        <v>87</v>
      </c>
      <c r="C4" s="38" t="s">
        <v>88</v>
      </c>
      <c r="D4" s="39" t="s">
        <v>43</v>
      </c>
      <c r="E4" s="40">
        <v>40</v>
      </c>
      <c r="F4" s="40">
        <v>32</v>
      </c>
      <c r="G4" s="42">
        <v>2430</v>
      </c>
      <c r="H4" s="42"/>
      <c r="I4" s="40" t="s">
        <v>72</v>
      </c>
      <c r="J4" s="40" t="s">
        <v>89</v>
      </c>
      <c r="K4" s="43">
        <v>420</v>
      </c>
      <c r="L4" s="44">
        <f t="shared" ref="L4:L24" si="0">(K4/1.1023)-$L$2</f>
        <v>24.301500498956671</v>
      </c>
      <c r="M4" s="14">
        <v>10027</v>
      </c>
      <c r="N4" s="963">
        <v>90507</v>
      </c>
      <c r="O4" s="14">
        <v>10040</v>
      </c>
      <c r="P4" s="14">
        <v>40</v>
      </c>
      <c r="Q4" s="14">
        <v>13</v>
      </c>
      <c r="R4" s="14">
        <v>2413.1</v>
      </c>
      <c r="S4" s="14"/>
      <c r="T4" s="14"/>
      <c r="U4" s="14"/>
    </row>
    <row r="5" spans="1:21">
      <c r="A5" s="38" t="s">
        <v>86</v>
      </c>
      <c r="B5" s="39" t="s">
        <v>87</v>
      </c>
      <c r="C5" s="38" t="s">
        <v>88</v>
      </c>
      <c r="D5" s="39" t="s">
        <v>45</v>
      </c>
      <c r="E5" s="40">
        <v>4</v>
      </c>
      <c r="F5" s="40">
        <v>9</v>
      </c>
      <c r="G5" s="42">
        <f t="shared" ref="G5:G8" si="1">E5*60+F5</f>
        <v>249</v>
      </c>
      <c r="H5" s="42"/>
      <c r="I5" s="40" t="s">
        <v>72</v>
      </c>
      <c r="J5" s="40" t="s">
        <v>89</v>
      </c>
      <c r="K5" s="43">
        <v>420</v>
      </c>
      <c r="L5" s="44">
        <f t="shared" si="0"/>
        <v>24.301500498956671</v>
      </c>
      <c r="M5" s="14">
        <v>10057</v>
      </c>
      <c r="N5" s="963">
        <v>90508</v>
      </c>
      <c r="O5" s="14">
        <v>10084</v>
      </c>
      <c r="P5" s="14">
        <v>8</v>
      </c>
      <c r="Q5" s="14">
        <v>8.5</v>
      </c>
      <c r="R5" s="14">
        <v>248.5</v>
      </c>
      <c r="S5" s="14"/>
      <c r="T5" s="14"/>
      <c r="U5" s="14"/>
    </row>
    <row r="6" spans="1:21">
      <c r="A6" s="32" t="s">
        <v>86</v>
      </c>
      <c r="B6" s="32" t="s">
        <v>90</v>
      </c>
      <c r="C6" s="32" t="s">
        <v>91</v>
      </c>
      <c r="D6" s="32" t="s">
        <v>42</v>
      </c>
      <c r="E6" s="33">
        <v>27</v>
      </c>
      <c r="F6" s="45">
        <v>48</v>
      </c>
      <c r="G6" s="42">
        <v>1663</v>
      </c>
      <c r="H6" s="42"/>
      <c r="I6" s="46" t="s">
        <v>72</v>
      </c>
      <c r="J6" s="33" t="s">
        <v>89</v>
      </c>
      <c r="K6" s="43">
        <v>475</v>
      </c>
      <c r="L6" s="44">
        <f t="shared" si="0"/>
        <v>74.197173183343864</v>
      </c>
      <c r="M6" s="14">
        <v>10027</v>
      </c>
      <c r="N6" s="963">
        <v>90507</v>
      </c>
      <c r="O6" s="14">
        <v>10010</v>
      </c>
      <c r="P6" s="14">
        <v>27</v>
      </c>
      <c r="Q6" s="14">
        <v>35</v>
      </c>
      <c r="R6" s="14">
        <v>1654.8</v>
      </c>
      <c r="S6" s="14"/>
      <c r="T6" s="14"/>
      <c r="U6" s="14"/>
    </row>
    <row r="7" spans="1:21">
      <c r="A7" s="32" t="s">
        <v>86</v>
      </c>
      <c r="B7" s="32" t="s">
        <v>90</v>
      </c>
      <c r="C7" s="32" t="s">
        <v>91</v>
      </c>
      <c r="D7" s="32" t="s">
        <v>43</v>
      </c>
      <c r="E7" s="33">
        <v>26</v>
      </c>
      <c r="F7" s="45">
        <v>43</v>
      </c>
      <c r="G7" s="42">
        <v>1594</v>
      </c>
      <c r="H7" s="42"/>
      <c r="I7" s="46" t="s">
        <v>72</v>
      </c>
      <c r="J7" s="33" t="s">
        <v>89</v>
      </c>
      <c r="K7" s="43">
        <v>420</v>
      </c>
      <c r="L7" s="44">
        <f t="shared" si="0"/>
        <v>24.301500498956671</v>
      </c>
      <c r="M7" s="14">
        <v>10027</v>
      </c>
      <c r="N7" s="963">
        <v>90507</v>
      </c>
      <c r="O7" s="14">
        <v>10040</v>
      </c>
      <c r="P7" s="14">
        <v>26</v>
      </c>
      <c r="Q7" s="14">
        <v>34</v>
      </c>
      <c r="R7" s="14">
        <v>1589.7</v>
      </c>
      <c r="S7" s="14"/>
      <c r="T7" s="14"/>
      <c r="U7" s="14"/>
    </row>
    <row r="8" spans="1:21">
      <c r="A8" s="32" t="s">
        <v>86</v>
      </c>
      <c r="B8" s="32" t="s">
        <v>90</v>
      </c>
      <c r="C8" s="32" t="s">
        <v>91</v>
      </c>
      <c r="D8" s="32" t="s">
        <v>44</v>
      </c>
      <c r="E8" s="33">
        <v>4</v>
      </c>
      <c r="F8" s="45">
        <v>31</v>
      </c>
      <c r="G8" s="42">
        <f t="shared" si="1"/>
        <v>271</v>
      </c>
      <c r="H8" s="42"/>
      <c r="I8" s="46" t="s">
        <v>72</v>
      </c>
      <c r="J8" s="33" t="s">
        <v>89</v>
      </c>
      <c r="K8" s="43">
        <v>420</v>
      </c>
      <c r="L8" s="44">
        <f t="shared" si="0"/>
        <v>24.301500498956671</v>
      </c>
      <c r="M8" s="14">
        <v>10027</v>
      </c>
      <c r="N8" s="963">
        <v>90507</v>
      </c>
      <c r="O8" s="14">
        <v>10040</v>
      </c>
      <c r="P8" s="14">
        <v>4</v>
      </c>
      <c r="Q8" s="14">
        <v>32</v>
      </c>
      <c r="R8" s="14">
        <v>271.5</v>
      </c>
      <c r="S8" s="14"/>
      <c r="T8" s="14"/>
      <c r="U8" s="14"/>
    </row>
    <row r="9" spans="1:21">
      <c r="A9" s="32" t="s">
        <v>86</v>
      </c>
      <c r="B9" s="32" t="s">
        <v>92</v>
      </c>
      <c r="C9" s="32" t="s">
        <v>93</v>
      </c>
      <c r="D9" s="32" t="s">
        <v>42</v>
      </c>
      <c r="E9" s="33">
        <v>73</v>
      </c>
      <c r="F9" s="45">
        <v>64</v>
      </c>
      <c r="G9" s="42">
        <v>4428</v>
      </c>
      <c r="H9" s="42"/>
      <c r="I9" s="46" t="s">
        <v>72</v>
      </c>
      <c r="J9" s="33" t="s">
        <v>94</v>
      </c>
      <c r="K9" s="43">
        <v>475</v>
      </c>
      <c r="L9" s="44">
        <f t="shared" si="0"/>
        <v>74.197173183343864</v>
      </c>
      <c r="M9" s="14">
        <v>10027</v>
      </c>
      <c r="N9" s="963">
        <v>90507</v>
      </c>
      <c r="O9" s="14">
        <v>10010</v>
      </c>
      <c r="P9" s="14">
        <v>73</v>
      </c>
      <c r="Q9" s="14">
        <v>42</v>
      </c>
      <c r="R9" s="14">
        <v>4422.3999999999996</v>
      </c>
      <c r="S9" s="14"/>
      <c r="T9" s="14"/>
      <c r="U9" s="14"/>
    </row>
    <row r="10" spans="1:21">
      <c r="A10" s="32" t="s">
        <v>86</v>
      </c>
      <c r="B10" s="32" t="s">
        <v>92</v>
      </c>
      <c r="C10" s="32" t="s">
        <v>93</v>
      </c>
      <c r="D10" s="32" t="s">
        <v>43</v>
      </c>
      <c r="E10" s="33">
        <v>54</v>
      </c>
      <c r="F10" s="45">
        <v>26</v>
      </c>
      <c r="G10" s="42">
        <v>3267</v>
      </c>
      <c r="H10" s="42"/>
      <c r="I10" s="46" t="s">
        <v>72</v>
      </c>
      <c r="J10" s="33" t="s">
        <v>94</v>
      </c>
      <c r="K10" s="43">
        <v>420</v>
      </c>
      <c r="L10" s="44">
        <f t="shared" si="0"/>
        <v>24.301500498956671</v>
      </c>
      <c r="M10" s="14">
        <v>10027</v>
      </c>
      <c r="N10" s="963">
        <v>90507</v>
      </c>
      <c r="O10" s="14">
        <v>10040</v>
      </c>
      <c r="P10" s="14">
        <v>54</v>
      </c>
      <c r="Q10" s="14">
        <v>4</v>
      </c>
      <c r="R10" s="14">
        <v>3243.5</v>
      </c>
      <c r="S10" s="14"/>
      <c r="T10" s="14"/>
      <c r="U10" s="14"/>
    </row>
    <row r="11" spans="1:21">
      <c r="A11" s="32" t="s">
        <v>86</v>
      </c>
      <c r="B11" s="32" t="s">
        <v>95</v>
      </c>
      <c r="C11" s="32" t="s">
        <v>96</v>
      </c>
      <c r="D11" s="32" t="s">
        <v>42</v>
      </c>
      <c r="E11" s="33">
        <v>74</v>
      </c>
      <c r="F11" s="45">
        <v>0</v>
      </c>
      <c r="G11" s="42">
        <v>4427</v>
      </c>
      <c r="H11" s="42"/>
      <c r="I11" s="46" t="s">
        <v>72</v>
      </c>
      <c r="J11" s="33" t="s">
        <v>89</v>
      </c>
      <c r="K11" s="43">
        <v>475</v>
      </c>
      <c r="L11" s="44">
        <f t="shared" si="0"/>
        <v>74.197173183343864</v>
      </c>
      <c r="M11" s="14">
        <v>10027</v>
      </c>
      <c r="N11" s="963">
        <v>90507</v>
      </c>
      <c r="O11" s="14">
        <v>10010</v>
      </c>
      <c r="P11" s="14">
        <v>73</v>
      </c>
      <c r="Q11" s="14">
        <v>42</v>
      </c>
      <c r="R11" s="14">
        <v>4422.3999999999996</v>
      </c>
      <c r="S11" s="14"/>
      <c r="T11" s="14"/>
      <c r="U11" s="14"/>
    </row>
    <row r="12" spans="1:21">
      <c r="A12" s="32" t="s">
        <v>86</v>
      </c>
      <c r="B12" s="32" t="s">
        <v>95</v>
      </c>
      <c r="C12" s="32" t="s">
        <v>96</v>
      </c>
      <c r="D12" s="32" t="s">
        <v>43</v>
      </c>
      <c r="E12" s="33">
        <v>78</v>
      </c>
      <c r="F12" s="45">
        <v>21</v>
      </c>
      <c r="G12" s="42">
        <v>4683</v>
      </c>
      <c r="H12" s="42"/>
      <c r="I12" s="46" t="s">
        <v>72</v>
      </c>
      <c r="J12" s="33" t="s">
        <v>89</v>
      </c>
      <c r="K12" s="43">
        <v>420</v>
      </c>
      <c r="L12" s="44">
        <f t="shared" si="0"/>
        <v>24.301500498956671</v>
      </c>
      <c r="M12" s="14">
        <v>10027</v>
      </c>
      <c r="N12" s="963">
        <v>90507</v>
      </c>
      <c r="O12" s="14">
        <v>10040</v>
      </c>
      <c r="P12" s="14">
        <v>78</v>
      </c>
      <c r="Q12" s="14">
        <v>3</v>
      </c>
      <c r="R12" s="14">
        <v>4673.8999999999996</v>
      </c>
      <c r="S12" s="14"/>
      <c r="T12" s="14"/>
      <c r="U12" s="14"/>
    </row>
    <row r="13" spans="1:21">
      <c r="A13" s="32" t="s">
        <v>86</v>
      </c>
      <c r="B13" s="32" t="s">
        <v>97</v>
      </c>
      <c r="C13" s="32" t="s">
        <v>98</v>
      </c>
      <c r="D13" s="32" t="s">
        <v>42</v>
      </c>
      <c r="E13" s="33">
        <v>36</v>
      </c>
      <c r="F13" s="45">
        <v>16</v>
      </c>
      <c r="G13" s="42">
        <v>2168</v>
      </c>
      <c r="H13" s="42"/>
      <c r="I13" s="46" t="s">
        <v>99</v>
      </c>
      <c r="J13" s="33" t="s">
        <v>100</v>
      </c>
      <c r="K13" s="43">
        <v>475</v>
      </c>
      <c r="L13" s="44">
        <f t="shared" si="0"/>
        <v>74.197173183343864</v>
      </c>
      <c r="M13" s="14">
        <v>10027</v>
      </c>
      <c r="N13" s="963">
        <v>90507</v>
      </c>
      <c r="O13" s="14">
        <v>10010</v>
      </c>
      <c r="P13" s="14">
        <v>36</v>
      </c>
      <c r="Q13" s="14">
        <v>8</v>
      </c>
      <c r="R13" s="14">
        <v>2167.6999999999998</v>
      </c>
      <c r="S13" s="14"/>
      <c r="T13" s="14"/>
      <c r="U13" s="14">
        <f>SUM(U3:U12)</f>
        <v>0</v>
      </c>
    </row>
    <row r="14" spans="1:21">
      <c r="A14" s="32" t="s">
        <v>86</v>
      </c>
      <c r="B14" s="32" t="s">
        <v>97</v>
      </c>
      <c r="C14" s="32" t="s">
        <v>98</v>
      </c>
      <c r="D14" s="32" t="s">
        <v>43</v>
      </c>
      <c r="E14" s="33">
        <v>57</v>
      </c>
      <c r="F14" s="45">
        <v>54</v>
      </c>
      <c r="G14" s="42">
        <v>3469</v>
      </c>
      <c r="H14" s="42"/>
      <c r="I14" s="46" t="s">
        <v>99</v>
      </c>
      <c r="J14" s="33" t="s">
        <v>100</v>
      </c>
      <c r="K14" s="43">
        <v>420</v>
      </c>
      <c r="L14" s="44">
        <f t="shared" si="0"/>
        <v>24.301500498956671</v>
      </c>
      <c r="M14" s="14">
        <v>10027</v>
      </c>
      <c r="N14" s="963">
        <v>90507</v>
      </c>
      <c r="O14" s="14">
        <v>10040</v>
      </c>
      <c r="P14" s="14">
        <v>57</v>
      </c>
      <c r="Q14" s="14">
        <v>49</v>
      </c>
      <c r="R14" s="14">
        <v>3461.8</v>
      </c>
      <c r="S14" s="14"/>
      <c r="T14" s="14"/>
      <c r="U14" s="14"/>
    </row>
    <row r="15" spans="1:21">
      <c r="A15" s="32" t="s">
        <v>86</v>
      </c>
      <c r="B15" s="32" t="s">
        <v>97</v>
      </c>
      <c r="C15" s="32" t="s">
        <v>98</v>
      </c>
      <c r="D15" s="32" t="s">
        <v>45</v>
      </c>
      <c r="E15" s="33">
        <v>8</v>
      </c>
      <c r="F15" s="45">
        <v>27</v>
      </c>
      <c r="G15" s="42">
        <f>E15*60+F15</f>
        <v>507</v>
      </c>
      <c r="H15" s="42"/>
      <c r="I15" s="46" t="s">
        <v>53</v>
      </c>
      <c r="J15" s="33" t="s">
        <v>54</v>
      </c>
      <c r="K15" s="43">
        <v>375</v>
      </c>
      <c r="L15" s="44">
        <f t="shared" si="0"/>
        <v>-16.522231697360098</v>
      </c>
      <c r="M15" s="47">
        <v>10057</v>
      </c>
      <c r="N15" s="963">
        <v>90508</v>
      </c>
      <c r="O15" s="14">
        <v>10084</v>
      </c>
      <c r="P15" s="14">
        <v>8</v>
      </c>
      <c r="Q15" s="14">
        <v>27</v>
      </c>
      <c r="R15" s="14">
        <v>505.9</v>
      </c>
      <c r="S15" s="14"/>
      <c r="T15" s="14"/>
      <c r="U15" s="14"/>
    </row>
    <row r="16" spans="1:21">
      <c r="A16" s="32" t="s">
        <v>86</v>
      </c>
      <c r="B16" s="32" t="s">
        <v>87</v>
      </c>
      <c r="C16" s="32" t="s">
        <v>101</v>
      </c>
      <c r="D16" s="32" t="s">
        <v>42</v>
      </c>
      <c r="E16" s="33">
        <v>66</v>
      </c>
      <c r="F16" s="45">
        <v>51</v>
      </c>
      <c r="G16" s="42">
        <v>3999</v>
      </c>
      <c r="H16" s="42"/>
      <c r="I16" s="46" t="s">
        <v>99</v>
      </c>
      <c r="J16" s="33" t="s">
        <v>100</v>
      </c>
      <c r="K16" s="43">
        <v>475</v>
      </c>
      <c r="L16" s="44">
        <f t="shared" si="0"/>
        <v>74.197173183343864</v>
      </c>
      <c r="M16" s="14">
        <v>10027</v>
      </c>
      <c r="N16" s="963">
        <v>90507</v>
      </c>
      <c r="O16" s="14">
        <v>10010</v>
      </c>
      <c r="P16" s="14">
        <v>66</v>
      </c>
      <c r="Q16" s="14">
        <v>38</v>
      </c>
      <c r="R16" s="14">
        <v>3997.7</v>
      </c>
      <c r="S16" s="14"/>
      <c r="T16" s="14"/>
      <c r="U16" s="14">
        <f>SUM(U14:U15)</f>
        <v>0</v>
      </c>
    </row>
    <row r="17" spans="1:21">
      <c r="A17" s="32" t="s">
        <v>86</v>
      </c>
      <c r="B17" s="32" t="s">
        <v>87</v>
      </c>
      <c r="C17" s="32" t="s">
        <v>101</v>
      </c>
      <c r="D17" s="32" t="s">
        <v>43</v>
      </c>
      <c r="E17" s="33">
        <v>41</v>
      </c>
      <c r="F17" s="45">
        <v>26</v>
      </c>
      <c r="G17" s="42">
        <v>2480</v>
      </c>
      <c r="H17" s="42"/>
      <c r="I17" s="46" t="s">
        <v>99</v>
      </c>
      <c r="J17" s="33" t="s">
        <v>100</v>
      </c>
      <c r="K17" s="43">
        <v>420</v>
      </c>
      <c r="L17" s="44">
        <f t="shared" si="0"/>
        <v>24.301500498956671</v>
      </c>
      <c r="M17" s="14">
        <v>10027</v>
      </c>
      <c r="N17" s="963">
        <v>90507</v>
      </c>
      <c r="O17" s="14">
        <v>10040</v>
      </c>
      <c r="P17" s="14">
        <v>41</v>
      </c>
      <c r="Q17" s="14">
        <v>20</v>
      </c>
      <c r="R17" s="14">
        <v>2483.1999999999998</v>
      </c>
      <c r="S17" s="14"/>
      <c r="T17" s="14"/>
      <c r="U17" s="14"/>
    </row>
    <row r="18" spans="1:21">
      <c r="A18" s="32" t="s">
        <v>86</v>
      </c>
      <c r="B18" s="32" t="s">
        <v>102</v>
      </c>
      <c r="C18" s="32" t="s">
        <v>103</v>
      </c>
      <c r="D18" s="32" t="s">
        <v>42</v>
      </c>
      <c r="E18" s="33">
        <v>60</v>
      </c>
      <c r="F18" s="45">
        <v>57</v>
      </c>
      <c r="G18" s="42">
        <v>3643</v>
      </c>
      <c r="H18" s="42"/>
      <c r="I18" s="46" t="s">
        <v>99</v>
      </c>
      <c r="J18" s="33" t="s">
        <v>100</v>
      </c>
      <c r="K18" s="43">
        <v>475</v>
      </c>
      <c r="L18" s="44">
        <f t="shared" si="0"/>
        <v>74.197173183343864</v>
      </c>
      <c r="M18" s="14">
        <v>10027</v>
      </c>
      <c r="N18" s="963">
        <v>90507</v>
      </c>
      <c r="O18" s="14">
        <v>10010</v>
      </c>
      <c r="P18" s="14">
        <v>60</v>
      </c>
      <c r="Q18" s="14">
        <v>43</v>
      </c>
      <c r="R18" s="14">
        <v>3632.2</v>
      </c>
      <c r="S18" s="14"/>
      <c r="T18" s="14"/>
      <c r="U18" s="14"/>
    </row>
    <row r="19" spans="1:21">
      <c r="A19" s="32" t="s">
        <v>86</v>
      </c>
      <c r="B19" s="32" t="s">
        <v>102</v>
      </c>
      <c r="C19" s="32" t="s">
        <v>103</v>
      </c>
      <c r="D19" s="32" t="s">
        <v>43</v>
      </c>
      <c r="E19" s="33">
        <v>51</v>
      </c>
      <c r="F19" s="45">
        <v>53</v>
      </c>
      <c r="G19" s="42">
        <v>3097</v>
      </c>
      <c r="H19" s="42"/>
      <c r="I19" s="46"/>
      <c r="J19" s="33" t="s">
        <v>100</v>
      </c>
      <c r="K19" s="43">
        <v>420</v>
      </c>
      <c r="L19" s="44">
        <f t="shared" si="0"/>
        <v>24.301500498956671</v>
      </c>
      <c r="M19" s="14">
        <v>10027</v>
      </c>
      <c r="N19" s="963">
        <v>90507</v>
      </c>
      <c r="O19" s="14">
        <v>10040</v>
      </c>
      <c r="P19" s="14">
        <v>51</v>
      </c>
      <c r="Q19" s="14">
        <v>37</v>
      </c>
      <c r="R19" s="14">
        <v>3096.2</v>
      </c>
      <c r="S19" s="14"/>
      <c r="T19" s="14"/>
      <c r="U19" s="14"/>
    </row>
    <row r="20" spans="1:21">
      <c r="A20" s="32" t="s">
        <v>86</v>
      </c>
      <c r="B20" s="32" t="s">
        <v>102</v>
      </c>
      <c r="C20" s="32" t="s">
        <v>103</v>
      </c>
      <c r="D20" s="32" t="s">
        <v>44</v>
      </c>
      <c r="E20" s="33">
        <v>5</v>
      </c>
      <c r="F20" s="45">
        <v>41</v>
      </c>
      <c r="G20" s="42">
        <f>E20*60+F20</f>
        <v>341</v>
      </c>
      <c r="H20" s="42"/>
      <c r="I20" s="46"/>
      <c r="J20" s="33" t="s">
        <v>100</v>
      </c>
      <c r="K20" s="43">
        <v>420</v>
      </c>
      <c r="L20" s="44">
        <f t="shared" si="0"/>
        <v>24.301500498956671</v>
      </c>
      <c r="M20" s="14">
        <v>10027</v>
      </c>
      <c r="N20" s="963">
        <v>90507</v>
      </c>
      <c r="O20" s="14">
        <v>10040</v>
      </c>
      <c r="P20" s="14">
        <v>5</v>
      </c>
      <c r="Q20" s="14">
        <v>42</v>
      </c>
      <c r="R20" s="14">
        <v>341.6</v>
      </c>
      <c r="S20" s="14"/>
      <c r="T20" s="14"/>
      <c r="U20" s="14"/>
    </row>
    <row r="21" spans="1:21">
      <c r="A21" s="32" t="s">
        <v>86</v>
      </c>
      <c r="B21" s="32" t="s">
        <v>95</v>
      </c>
      <c r="C21" s="32" t="s">
        <v>104</v>
      </c>
      <c r="D21" s="32" t="s">
        <v>42</v>
      </c>
      <c r="E21" s="33">
        <v>72</v>
      </c>
      <c r="F21" s="45">
        <v>17</v>
      </c>
      <c r="G21" s="42">
        <v>4331</v>
      </c>
      <c r="H21" s="42"/>
      <c r="I21" s="45" t="s">
        <v>99</v>
      </c>
      <c r="J21" s="33" t="s">
        <v>100</v>
      </c>
      <c r="K21" s="43">
        <v>475</v>
      </c>
      <c r="L21" s="44">
        <f t="shared" si="0"/>
        <v>74.197173183343864</v>
      </c>
      <c r="M21" s="14">
        <v>10027</v>
      </c>
      <c r="N21" s="963">
        <v>90507</v>
      </c>
      <c r="O21" s="14">
        <v>10010</v>
      </c>
      <c r="P21" s="14">
        <v>72</v>
      </c>
      <c r="Q21" s="14">
        <v>11</v>
      </c>
      <c r="R21" s="14">
        <v>4345.3</v>
      </c>
      <c r="S21" s="14"/>
      <c r="T21" s="14"/>
      <c r="U21" s="14"/>
    </row>
    <row r="22" spans="1:21">
      <c r="A22" s="32" t="s">
        <v>86</v>
      </c>
      <c r="B22" s="32" t="s">
        <v>95</v>
      </c>
      <c r="C22" s="32" t="s">
        <v>104</v>
      </c>
      <c r="D22" s="32" t="s">
        <v>43</v>
      </c>
      <c r="E22" s="33">
        <v>100</v>
      </c>
      <c r="F22" s="45">
        <v>27</v>
      </c>
      <c r="G22" s="42">
        <v>6030</v>
      </c>
      <c r="H22" s="42"/>
      <c r="I22" s="45" t="s">
        <v>99</v>
      </c>
      <c r="J22" s="33" t="s">
        <v>100</v>
      </c>
      <c r="K22" s="43">
        <v>420</v>
      </c>
      <c r="L22" s="44">
        <f t="shared" si="0"/>
        <v>24.301500498956671</v>
      </c>
      <c r="M22" s="14">
        <v>10027</v>
      </c>
      <c r="N22" s="963">
        <v>90507</v>
      </c>
      <c r="O22" s="14">
        <v>10040</v>
      </c>
      <c r="P22" s="14">
        <v>100</v>
      </c>
      <c r="Q22" s="14">
        <v>30</v>
      </c>
      <c r="R22" s="14">
        <v>6047.1</v>
      </c>
      <c r="S22" s="14"/>
      <c r="T22" s="14"/>
      <c r="U22" s="14"/>
    </row>
    <row r="23" spans="1:21">
      <c r="A23" s="32" t="s">
        <v>86</v>
      </c>
      <c r="B23" s="32" t="s">
        <v>95</v>
      </c>
      <c r="C23" s="32" t="s">
        <v>104</v>
      </c>
      <c r="D23" s="32" t="s">
        <v>44</v>
      </c>
      <c r="E23" s="33">
        <v>9</v>
      </c>
      <c r="F23" s="45">
        <v>11</v>
      </c>
      <c r="G23" s="42">
        <f>E23*60+F23</f>
        <v>551</v>
      </c>
      <c r="H23" s="42" t="s">
        <v>1375</v>
      </c>
      <c r="I23" s="45" t="s">
        <v>99</v>
      </c>
      <c r="J23" s="33" t="s">
        <v>100</v>
      </c>
      <c r="K23" s="43">
        <v>420</v>
      </c>
      <c r="L23" s="44">
        <f t="shared" si="0"/>
        <v>24.301500498956671</v>
      </c>
      <c r="M23" s="14">
        <v>10027</v>
      </c>
      <c r="N23" s="963">
        <v>90507</v>
      </c>
      <c r="O23" s="14">
        <v>10040</v>
      </c>
      <c r="P23" s="14">
        <v>9</v>
      </c>
      <c r="Q23" s="14">
        <v>11</v>
      </c>
      <c r="R23" s="14">
        <v>554</v>
      </c>
      <c r="S23" s="14"/>
      <c r="T23" s="14"/>
      <c r="U23" s="14"/>
    </row>
    <row r="24" spans="1:21">
      <c r="A24" s="32" t="s">
        <v>86</v>
      </c>
      <c r="B24" s="32" t="s">
        <v>95</v>
      </c>
      <c r="C24" s="32" t="s">
        <v>104</v>
      </c>
      <c r="D24" s="32" t="s">
        <v>45</v>
      </c>
      <c r="E24" s="33">
        <v>15</v>
      </c>
      <c r="F24" s="45">
        <v>49</v>
      </c>
      <c r="G24" s="42">
        <v>943</v>
      </c>
      <c r="H24" s="14">
        <v>350</v>
      </c>
      <c r="I24" s="45" t="s">
        <v>53</v>
      </c>
      <c r="J24" s="33" t="s">
        <v>54</v>
      </c>
      <c r="K24" s="43">
        <v>375</v>
      </c>
      <c r="L24" s="44">
        <f t="shared" si="0"/>
        <v>-16.522231697360098</v>
      </c>
      <c r="M24" s="47">
        <v>10057</v>
      </c>
      <c r="N24" s="963">
        <v>90508</v>
      </c>
      <c r="O24" s="14">
        <v>10084</v>
      </c>
      <c r="P24" s="14">
        <v>15</v>
      </c>
      <c r="Q24" s="14">
        <v>43</v>
      </c>
      <c r="R24" s="14">
        <v>949.6</v>
      </c>
      <c r="S24" s="14"/>
      <c r="T24" s="14"/>
      <c r="U24" s="14"/>
    </row>
    <row r="25" spans="1:21">
      <c r="E25" s="17">
        <f>SUM(E3:E24)</f>
        <v>969</v>
      </c>
      <c r="F25" s="17"/>
      <c r="G25" s="17">
        <f>SUM(G3:G24)</f>
        <v>58715</v>
      </c>
      <c r="H25" s="14">
        <v>10027</v>
      </c>
      <c r="K25" s="16"/>
      <c r="L25" s="16"/>
      <c r="R25">
        <f>SUM(R3:R24)</f>
        <v>58652.099999999991</v>
      </c>
    </row>
    <row r="27" spans="1:21">
      <c r="H27">
        <v>10027</v>
      </c>
      <c r="Q27" s="17" t="s">
        <v>378</v>
      </c>
      <c r="R27" s="17">
        <f>R25-G25</f>
        <v>-62.900000000008731</v>
      </c>
    </row>
    <row r="28" spans="1:21">
      <c r="H28">
        <v>10057</v>
      </c>
    </row>
    <row r="29" spans="1:21">
      <c r="H29">
        <v>10027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8A17-D867-4316-A613-E7610D81C400}">
  <dimension ref="A1:V63"/>
  <sheetViews>
    <sheetView workbookViewId="0">
      <selection activeCell="G11" sqref="G11"/>
    </sheetView>
  </sheetViews>
  <sheetFormatPr defaultRowHeight="14.5"/>
  <cols>
    <col min="1" max="1" width="15.81640625" bestFit="1" customWidth="1"/>
    <col min="2" max="2" width="7.81640625" bestFit="1" customWidth="1"/>
    <col min="5" max="5" width="10" bestFit="1" customWidth="1"/>
    <col min="6" max="6" width="19.81640625" bestFit="1" customWidth="1"/>
    <col min="7" max="7" width="14.54296875" bestFit="1" customWidth="1"/>
    <col min="8" max="8" width="14.54296875" customWidth="1"/>
    <col min="9" max="9" width="19.453125" bestFit="1" customWidth="1"/>
    <col min="10" max="10" width="14.36328125" bestFit="1" customWidth="1"/>
    <col min="11" max="11" width="14.54296875" bestFit="1" customWidth="1"/>
  </cols>
  <sheetData>
    <row r="1" spans="1:21">
      <c r="A1" s="17"/>
      <c r="B1" s="17"/>
      <c r="C1" s="17"/>
      <c r="D1" s="17"/>
      <c r="E1" s="17"/>
      <c r="F1" s="17"/>
      <c r="G1" s="17"/>
      <c r="H1" s="17"/>
      <c r="I1" s="17"/>
      <c r="J1" s="17" t="s">
        <v>134</v>
      </c>
      <c r="K1" s="2">
        <v>369.8</v>
      </c>
      <c r="L1" s="2" t="s">
        <v>135</v>
      </c>
      <c r="M1" s="17"/>
      <c r="N1" s="17"/>
    </row>
    <row r="2" spans="1:21">
      <c r="A2" s="3" t="s">
        <v>136</v>
      </c>
      <c r="B2" s="3"/>
      <c r="C2" s="3"/>
      <c r="D2" s="3"/>
      <c r="E2" s="3"/>
      <c r="F2" s="3"/>
      <c r="G2" s="3"/>
      <c r="H2" s="3"/>
      <c r="I2" s="3"/>
      <c r="J2" s="52"/>
      <c r="K2" s="2">
        <v>369.85</v>
      </c>
      <c r="L2" s="2" t="s">
        <v>135</v>
      </c>
      <c r="M2" s="17"/>
      <c r="N2" s="17"/>
    </row>
    <row r="3" spans="1:21" ht="15" thickBot="1">
      <c r="A3" s="22" t="s">
        <v>137</v>
      </c>
      <c r="B3" s="22" t="s">
        <v>138</v>
      </c>
      <c r="C3" s="22" t="s">
        <v>24</v>
      </c>
      <c r="D3" s="22" t="s">
        <v>111</v>
      </c>
      <c r="E3" s="22" t="s">
        <v>139</v>
      </c>
      <c r="F3" s="22" t="s">
        <v>140</v>
      </c>
      <c r="G3" s="22" t="s">
        <v>141</v>
      </c>
      <c r="H3" s="22"/>
      <c r="I3" s="22" t="s">
        <v>142</v>
      </c>
      <c r="J3" s="52" t="s">
        <v>143</v>
      </c>
      <c r="K3" s="2">
        <v>370</v>
      </c>
      <c r="L3" s="2" t="s">
        <v>135</v>
      </c>
      <c r="M3" s="17"/>
      <c r="N3" s="17"/>
    </row>
    <row r="4" spans="1:21">
      <c r="A4" s="53" t="s">
        <v>144</v>
      </c>
      <c r="B4" s="54" t="s">
        <v>42</v>
      </c>
      <c r="C4" s="54">
        <v>111</v>
      </c>
      <c r="D4" s="54">
        <v>43</v>
      </c>
      <c r="E4" s="54">
        <v>6703</v>
      </c>
      <c r="F4" s="54">
        <v>90491</v>
      </c>
      <c r="G4" s="54">
        <v>10310</v>
      </c>
      <c r="H4" s="1121"/>
      <c r="I4" s="55">
        <v>425</v>
      </c>
      <c r="J4" s="52"/>
      <c r="K4" s="2">
        <v>380.7</v>
      </c>
      <c r="L4" s="2" t="s">
        <v>135</v>
      </c>
      <c r="M4" s="17"/>
      <c r="N4" s="17"/>
    </row>
    <row r="5" spans="1:21">
      <c r="A5" s="56" t="s">
        <v>144</v>
      </c>
      <c r="B5" s="3" t="s">
        <v>43</v>
      </c>
      <c r="C5" s="3">
        <v>213</v>
      </c>
      <c r="D5" s="3">
        <v>45</v>
      </c>
      <c r="E5" s="3">
        <v>12825</v>
      </c>
      <c r="F5" s="3">
        <v>90491</v>
      </c>
      <c r="G5" s="3">
        <v>10310</v>
      </c>
      <c r="H5" s="4"/>
      <c r="I5" s="57">
        <v>425</v>
      </c>
      <c r="J5" s="52"/>
      <c r="K5" s="17"/>
      <c r="L5" s="17"/>
      <c r="M5" s="17"/>
      <c r="N5" s="17"/>
    </row>
    <row r="6" spans="1:21">
      <c r="A6" s="56" t="s">
        <v>144</v>
      </c>
      <c r="B6" s="3" t="s">
        <v>44</v>
      </c>
      <c r="C6" s="3">
        <v>20</v>
      </c>
      <c r="D6" s="3">
        <v>12</v>
      </c>
      <c r="E6" s="3">
        <v>1212</v>
      </c>
      <c r="F6" s="3">
        <v>90491</v>
      </c>
      <c r="G6" s="3">
        <v>10310</v>
      </c>
      <c r="H6" s="4"/>
      <c r="I6" s="57">
        <v>425</v>
      </c>
      <c r="J6" s="52"/>
      <c r="K6" s="17"/>
      <c r="L6" s="17"/>
      <c r="M6" s="17"/>
      <c r="N6" s="17"/>
    </row>
    <row r="7" spans="1:21">
      <c r="A7" s="56" t="s">
        <v>145</v>
      </c>
      <c r="B7" s="3" t="s">
        <v>42</v>
      </c>
      <c r="C7" s="3">
        <v>31</v>
      </c>
      <c r="D7" s="3">
        <v>55</v>
      </c>
      <c r="E7" s="3">
        <v>1915</v>
      </c>
      <c r="F7" s="3">
        <v>90491</v>
      </c>
      <c r="G7" s="3">
        <v>10310</v>
      </c>
      <c r="H7" s="4"/>
      <c r="I7" s="57">
        <v>425</v>
      </c>
      <c r="J7" s="52"/>
      <c r="K7" s="17"/>
      <c r="L7" s="17"/>
      <c r="M7" s="17"/>
      <c r="N7" s="17"/>
    </row>
    <row r="8" spans="1:21">
      <c r="A8" s="56" t="s">
        <v>145</v>
      </c>
      <c r="B8" s="3" t="s">
        <v>43</v>
      </c>
      <c r="C8" s="3">
        <v>77</v>
      </c>
      <c r="D8" s="3">
        <v>20</v>
      </c>
      <c r="E8" s="3">
        <v>4640</v>
      </c>
      <c r="F8" s="3">
        <v>90491</v>
      </c>
      <c r="G8" s="3">
        <v>10310</v>
      </c>
      <c r="H8" s="4"/>
      <c r="I8" s="57">
        <v>425</v>
      </c>
      <c r="J8" s="52"/>
      <c r="K8" s="17"/>
      <c r="L8" s="17"/>
      <c r="M8" s="17"/>
      <c r="N8" s="17"/>
    </row>
    <row r="9" spans="1:21">
      <c r="A9" s="56" t="s">
        <v>145</v>
      </c>
      <c r="B9" s="3" t="s">
        <v>44</v>
      </c>
      <c r="C9" s="3">
        <v>7</v>
      </c>
      <c r="D9" s="3">
        <v>18</v>
      </c>
      <c r="E9" s="3">
        <v>438</v>
      </c>
      <c r="F9" s="3">
        <v>90491</v>
      </c>
      <c r="G9" s="3">
        <v>10310</v>
      </c>
      <c r="H9" s="4"/>
      <c r="I9" s="57">
        <v>425</v>
      </c>
      <c r="J9" s="52"/>
      <c r="K9" s="17"/>
      <c r="L9" s="17"/>
      <c r="M9" s="17"/>
      <c r="N9" s="17"/>
    </row>
    <row r="10" spans="1:21">
      <c r="A10" s="56" t="s">
        <v>130</v>
      </c>
      <c r="B10" s="3" t="s">
        <v>42</v>
      </c>
      <c r="C10" s="3">
        <v>17</v>
      </c>
      <c r="D10" s="3">
        <v>0</v>
      </c>
      <c r="E10" s="3">
        <v>1020</v>
      </c>
      <c r="F10" s="3">
        <v>90491</v>
      </c>
      <c r="G10" s="3">
        <v>10310</v>
      </c>
      <c r="H10" s="4"/>
      <c r="I10" s="57">
        <v>425</v>
      </c>
      <c r="J10" s="52"/>
      <c r="K10" s="17"/>
      <c r="L10" s="17"/>
      <c r="M10" s="17"/>
      <c r="N10" s="17"/>
    </row>
    <row r="11" spans="1:21" ht="15" thickBot="1">
      <c r="A11" s="58" t="s">
        <v>130</v>
      </c>
      <c r="B11" s="59" t="s">
        <v>43</v>
      </c>
      <c r="C11" s="59">
        <v>46</v>
      </c>
      <c r="D11" s="59">
        <v>0</v>
      </c>
      <c r="E11" s="59">
        <v>2760</v>
      </c>
      <c r="F11" s="59">
        <v>90491</v>
      </c>
      <c r="G11" s="59">
        <v>10310</v>
      </c>
      <c r="H11" s="1122"/>
      <c r="I11" s="60">
        <v>425</v>
      </c>
      <c r="J11" s="52"/>
      <c r="K11" s="17"/>
      <c r="L11" s="17"/>
      <c r="M11" s="17"/>
      <c r="N11" s="17"/>
    </row>
    <row r="12" spans="1:21" ht="15" thickBot="1">
      <c r="A12" s="61"/>
      <c r="B12" s="62"/>
      <c r="C12" s="63">
        <f>SUM(C4:C11)</f>
        <v>522</v>
      </c>
      <c r="D12" s="64">
        <f>SUM(D4:D11)</f>
        <v>193</v>
      </c>
      <c r="E12" s="65">
        <f>SUM(E4:E11)</f>
        <v>31513</v>
      </c>
      <c r="F12" s="66"/>
      <c r="G12" s="61"/>
      <c r="H12" s="61"/>
      <c r="I12" s="61"/>
      <c r="J12" s="52"/>
      <c r="K12" s="17"/>
      <c r="L12" s="17"/>
      <c r="M12" s="17"/>
      <c r="N12" s="17"/>
    </row>
    <row r="13" spans="1:21">
      <c r="A13" s="3"/>
      <c r="B13" s="3"/>
      <c r="C13" s="61"/>
      <c r="D13" s="61"/>
      <c r="E13" s="61"/>
      <c r="F13" s="3">
        <f>E12/60</f>
        <v>525.2166666666667</v>
      </c>
      <c r="G13" s="3"/>
      <c r="H13" s="3"/>
      <c r="I13" s="3"/>
      <c r="J13" s="52"/>
      <c r="K13" s="17"/>
      <c r="L13" s="17"/>
      <c r="M13" s="17"/>
      <c r="N13" s="17"/>
      <c r="U13">
        <f>SUM(U3:U12)</f>
        <v>0</v>
      </c>
    </row>
    <row r="14" spans="1:21" ht="15" thickBot="1">
      <c r="A14" s="22"/>
      <c r="B14" s="22"/>
      <c r="C14" s="22"/>
      <c r="D14" s="22"/>
      <c r="E14" s="22"/>
      <c r="F14" s="22"/>
      <c r="G14" s="22"/>
      <c r="H14" s="22"/>
      <c r="I14" s="22"/>
      <c r="J14" s="52"/>
      <c r="K14" s="17"/>
      <c r="L14" s="17"/>
      <c r="M14" s="17"/>
      <c r="N14" s="17"/>
    </row>
    <row r="15" spans="1:21">
      <c r="A15" s="53" t="s">
        <v>144</v>
      </c>
      <c r="B15" s="54" t="s">
        <v>45</v>
      </c>
      <c r="C15" s="54">
        <v>33</v>
      </c>
      <c r="D15" s="54">
        <v>25</v>
      </c>
      <c r="E15" s="54">
        <v>2005</v>
      </c>
      <c r="F15" s="54">
        <v>90492</v>
      </c>
      <c r="G15" s="54">
        <v>10045</v>
      </c>
      <c r="H15" s="1121"/>
      <c r="I15" s="55">
        <v>400</v>
      </c>
      <c r="J15" s="52" t="s">
        <v>146</v>
      </c>
      <c r="K15" s="17"/>
      <c r="L15" s="17"/>
      <c r="M15" s="17"/>
      <c r="N15" s="17"/>
    </row>
    <row r="16" spans="1:21" ht="15" thickBot="1">
      <c r="A16" s="58" t="s">
        <v>145</v>
      </c>
      <c r="B16" s="59" t="s">
        <v>45</v>
      </c>
      <c r="C16" s="59">
        <v>22</v>
      </c>
      <c r="D16" s="59">
        <v>35</v>
      </c>
      <c r="E16" s="59">
        <v>1355</v>
      </c>
      <c r="F16" s="59">
        <v>90492</v>
      </c>
      <c r="G16" s="59">
        <v>10045</v>
      </c>
      <c r="H16" s="1122"/>
      <c r="I16" s="60">
        <v>400</v>
      </c>
      <c r="J16" s="52"/>
      <c r="K16" s="17"/>
      <c r="L16" s="17" t="s">
        <v>147</v>
      </c>
      <c r="M16" s="17"/>
      <c r="N16" s="17"/>
      <c r="U16">
        <f>SUM(U14:U15)</f>
        <v>0</v>
      </c>
    </row>
    <row r="17" spans="1:14" ht="15" thickBot="1">
      <c r="A17" s="61"/>
      <c r="B17" s="62"/>
      <c r="C17" s="63">
        <f>SUM(C15:C16)</f>
        <v>55</v>
      </c>
      <c r="D17" s="64">
        <f>SUM(D15:D16)</f>
        <v>60</v>
      </c>
      <c r="E17" s="65">
        <f>SUM(E15:E16)</f>
        <v>3360</v>
      </c>
      <c r="F17" s="66">
        <f>E17/60</f>
        <v>56</v>
      </c>
      <c r="G17" s="61"/>
      <c r="H17" s="61"/>
      <c r="I17" s="61"/>
      <c r="J17" s="52"/>
      <c r="K17" s="17"/>
      <c r="L17" s="17"/>
      <c r="M17" s="17"/>
      <c r="N17" s="17"/>
    </row>
    <row r="18" spans="1:14">
      <c r="A18" s="3"/>
      <c r="B18" s="3"/>
      <c r="C18" s="61"/>
      <c r="D18" s="61"/>
      <c r="E18" s="61"/>
      <c r="F18" s="3"/>
      <c r="G18" s="3"/>
      <c r="H18" s="3"/>
      <c r="I18" s="3"/>
      <c r="J18" s="52"/>
      <c r="K18" s="17"/>
      <c r="L18" s="17"/>
      <c r="M18" s="17"/>
      <c r="N18" s="17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17"/>
      <c r="K19" s="17"/>
      <c r="L19" s="17"/>
      <c r="M19" s="17"/>
      <c r="N19" s="17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17"/>
      <c r="K20" s="17"/>
      <c r="L20" s="17"/>
      <c r="M20" s="17"/>
      <c r="N20" s="17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17"/>
      <c r="K21" s="17"/>
      <c r="L21" s="17"/>
      <c r="M21" s="17"/>
      <c r="N21" s="17"/>
    </row>
    <row r="22" spans="1:1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>
      <c r="A23" s="17"/>
      <c r="B23" s="17"/>
      <c r="C23" s="17"/>
      <c r="D23" s="17"/>
      <c r="E23" s="17"/>
      <c r="F23" s="17"/>
      <c r="G23" s="17"/>
      <c r="H23" s="17" t="s">
        <v>1375</v>
      </c>
      <c r="I23" s="17"/>
      <c r="J23" s="17"/>
      <c r="K23" s="17"/>
      <c r="L23" s="17"/>
      <c r="M23" s="17"/>
      <c r="N23" s="17"/>
    </row>
    <row r="24" spans="1:14">
      <c r="H24" s="17">
        <v>350</v>
      </c>
      <c r="J24" s="48"/>
    </row>
    <row r="25" spans="1:14">
      <c r="H25" s="17"/>
      <c r="J25" s="48"/>
    </row>
    <row r="26" spans="1:14">
      <c r="J26" s="48"/>
    </row>
    <row r="27" spans="1:14">
      <c r="J27" s="48"/>
    </row>
    <row r="28" spans="1:14">
      <c r="J28" s="48"/>
    </row>
    <row r="29" spans="1:14">
      <c r="J29" s="48"/>
    </row>
    <row r="30" spans="1:14">
      <c r="J30" s="48"/>
    </row>
    <row r="31" spans="1:14">
      <c r="J31" s="48"/>
    </row>
    <row r="32" spans="1:14">
      <c r="J32" s="48"/>
    </row>
    <row r="33" spans="10:10">
      <c r="J33" s="48"/>
    </row>
    <row r="34" spans="10:10">
      <c r="J34" s="48"/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52BE-A9BA-48C0-B681-E1AC9CCA4493}">
  <dimension ref="A1:V63"/>
  <sheetViews>
    <sheetView workbookViewId="0">
      <selection activeCell="G13" sqref="G13"/>
    </sheetView>
  </sheetViews>
  <sheetFormatPr defaultRowHeight="14.5"/>
  <cols>
    <col min="1" max="1" width="16.1796875" bestFit="1" customWidth="1"/>
    <col min="5" max="5" width="10" bestFit="1" customWidth="1"/>
    <col min="6" max="6" width="19.81640625" bestFit="1" customWidth="1"/>
    <col min="7" max="7" width="14.54296875" bestFit="1" customWidth="1"/>
    <col min="8" max="8" width="14.54296875" customWidth="1"/>
    <col min="9" max="9" width="19.453125" bestFit="1" customWidth="1"/>
    <col min="10" max="10" width="14.36328125" bestFit="1" customWidth="1"/>
    <col min="11" max="11" width="14.54296875" bestFit="1" customWidth="1"/>
  </cols>
  <sheetData>
    <row r="1" spans="1:2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21">
      <c r="A2" s="3" t="s">
        <v>148</v>
      </c>
      <c r="B2" s="3"/>
      <c r="C2" s="3"/>
      <c r="D2" s="3"/>
      <c r="E2" s="3"/>
      <c r="F2" s="3"/>
      <c r="G2" s="3"/>
      <c r="H2" s="3"/>
      <c r="I2" s="3"/>
      <c r="J2" s="52"/>
      <c r="K2" s="17"/>
      <c r="L2" s="17"/>
    </row>
    <row r="3" spans="1:21" ht="15" thickBot="1">
      <c r="A3" s="22" t="s">
        <v>137</v>
      </c>
      <c r="B3" s="22" t="s">
        <v>138</v>
      </c>
      <c r="C3" s="22" t="s">
        <v>24</v>
      </c>
      <c r="D3" s="22" t="s">
        <v>111</v>
      </c>
      <c r="E3" s="22" t="s">
        <v>139</v>
      </c>
      <c r="F3" s="22" t="s">
        <v>140</v>
      </c>
      <c r="G3" s="22" t="s">
        <v>141</v>
      </c>
      <c r="H3" s="22"/>
      <c r="I3" s="22" t="s">
        <v>142</v>
      </c>
      <c r="J3" s="52"/>
      <c r="K3" s="17"/>
      <c r="L3" s="17"/>
    </row>
    <row r="4" spans="1:21" ht="15" thickBot="1">
      <c r="A4" s="53" t="s">
        <v>130</v>
      </c>
      <c r="B4" s="54" t="s">
        <v>43</v>
      </c>
      <c r="C4" s="54">
        <v>163</v>
      </c>
      <c r="D4" s="54">
        <v>0</v>
      </c>
      <c r="E4" s="54">
        <v>9780</v>
      </c>
      <c r="F4" s="54">
        <v>90491</v>
      </c>
      <c r="G4" s="54">
        <v>10310</v>
      </c>
      <c r="H4" s="1121"/>
      <c r="I4" s="55">
        <v>425</v>
      </c>
      <c r="J4" s="67" t="s">
        <v>149</v>
      </c>
      <c r="K4" s="17"/>
      <c r="L4" s="17"/>
    </row>
    <row r="5" spans="1:21">
      <c r="A5" s="56" t="s">
        <v>130</v>
      </c>
      <c r="B5" s="3" t="s">
        <v>42</v>
      </c>
      <c r="C5" s="3">
        <v>68</v>
      </c>
      <c r="D5" s="3">
        <v>0</v>
      </c>
      <c r="E5" s="3">
        <v>4080</v>
      </c>
      <c r="F5" s="3">
        <v>90491</v>
      </c>
      <c r="G5" s="3">
        <v>10310</v>
      </c>
      <c r="H5" s="4"/>
      <c r="I5" s="57">
        <v>425</v>
      </c>
    </row>
    <row r="6" spans="1:21">
      <c r="A6" s="56" t="s">
        <v>130</v>
      </c>
      <c r="B6" s="3" t="s">
        <v>44</v>
      </c>
      <c r="C6" s="3">
        <v>20</v>
      </c>
      <c r="D6" s="3">
        <v>0</v>
      </c>
      <c r="E6" s="3">
        <v>1200</v>
      </c>
      <c r="F6" s="3">
        <v>90491</v>
      </c>
      <c r="G6" s="3">
        <v>10310</v>
      </c>
      <c r="H6" s="4"/>
      <c r="I6" s="57">
        <v>425</v>
      </c>
    </row>
    <row r="7" spans="1:21">
      <c r="A7" s="56" t="s">
        <v>150</v>
      </c>
      <c r="B7" s="3" t="s">
        <v>43</v>
      </c>
      <c r="C7" s="3">
        <v>11</v>
      </c>
      <c r="D7" s="3">
        <v>0</v>
      </c>
      <c r="E7" s="3">
        <v>660</v>
      </c>
      <c r="F7" s="3">
        <v>90491</v>
      </c>
      <c r="G7" s="3">
        <v>10310</v>
      </c>
      <c r="H7" s="4"/>
      <c r="I7" s="57">
        <v>425</v>
      </c>
    </row>
    <row r="8" spans="1:21">
      <c r="A8" s="56" t="s">
        <v>150</v>
      </c>
      <c r="B8" s="3" t="s">
        <v>42</v>
      </c>
      <c r="C8" s="3">
        <v>73</v>
      </c>
      <c r="D8" s="3">
        <v>0</v>
      </c>
      <c r="E8" s="3">
        <v>4380</v>
      </c>
      <c r="F8" s="3">
        <v>90491</v>
      </c>
      <c r="G8" s="3">
        <v>10310</v>
      </c>
      <c r="H8" s="4"/>
      <c r="I8" s="57">
        <v>425</v>
      </c>
    </row>
    <row r="9" spans="1:21">
      <c r="A9" s="56" t="s">
        <v>150</v>
      </c>
      <c r="B9" s="3" t="s">
        <v>44</v>
      </c>
      <c r="C9" s="3">
        <v>25</v>
      </c>
      <c r="D9" s="3">
        <v>0</v>
      </c>
      <c r="E9" s="3">
        <v>1500</v>
      </c>
      <c r="F9" s="3">
        <v>90491</v>
      </c>
      <c r="G9" s="3">
        <v>10310</v>
      </c>
      <c r="H9" s="4"/>
      <c r="I9" s="57">
        <v>425</v>
      </c>
    </row>
    <row r="10" spans="1:21">
      <c r="A10" s="56" t="s">
        <v>129</v>
      </c>
      <c r="B10" s="3" t="s">
        <v>43</v>
      </c>
      <c r="C10" s="3">
        <v>88</v>
      </c>
      <c r="D10" s="3">
        <v>0</v>
      </c>
      <c r="E10" s="3">
        <v>5280</v>
      </c>
      <c r="F10" s="3">
        <v>90491</v>
      </c>
      <c r="G10" s="3">
        <v>10310</v>
      </c>
      <c r="H10" s="4"/>
      <c r="I10" s="57">
        <v>425</v>
      </c>
    </row>
    <row r="11" spans="1:21">
      <c r="A11" s="56" t="s">
        <v>151</v>
      </c>
      <c r="B11" s="3" t="s">
        <v>42</v>
      </c>
      <c r="C11" s="3">
        <v>22</v>
      </c>
      <c r="D11" s="3">
        <v>0</v>
      </c>
      <c r="E11" s="3">
        <v>1320</v>
      </c>
      <c r="F11" s="3">
        <v>90491</v>
      </c>
      <c r="G11" s="3">
        <v>10310</v>
      </c>
      <c r="H11" s="4"/>
      <c r="I11" s="57">
        <v>425</v>
      </c>
    </row>
    <row r="12" spans="1:21">
      <c r="A12" s="56" t="s">
        <v>151</v>
      </c>
      <c r="B12" s="3" t="s">
        <v>43</v>
      </c>
      <c r="C12" s="3">
        <v>218</v>
      </c>
      <c r="D12" s="3">
        <v>0</v>
      </c>
      <c r="E12" s="3">
        <v>13080</v>
      </c>
      <c r="F12" s="3">
        <v>90491</v>
      </c>
      <c r="G12" s="3">
        <v>10310</v>
      </c>
      <c r="H12" s="4"/>
      <c r="I12" s="57">
        <v>425</v>
      </c>
    </row>
    <row r="13" spans="1:21">
      <c r="A13" s="56" t="s">
        <v>151</v>
      </c>
      <c r="B13" s="3" t="s">
        <v>43</v>
      </c>
      <c r="C13" s="3">
        <v>205</v>
      </c>
      <c r="D13" s="3">
        <v>0</v>
      </c>
      <c r="E13" s="3">
        <v>12300</v>
      </c>
      <c r="F13" s="3">
        <v>90491</v>
      </c>
      <c r="G13" s="3">
        <v>10310</v>
      </c>
      <c r="H13" s="4"/>
      <c r="I13" s="57">
        <v>425</v>
      </c>
      <c r="U13">
        <f>SUM(U3:U12)</f>
        <v>0</v>
      </c>
    </row>
    <row r="14" spans="1:21">
      <c r="A14" s="56" t="s">
        <v>151</v>
      </c>
      <c r="B14" s="3" t="s">
        <v>44</v>
      </c>
      <c r="C14" s="3">
        <v>24</v>
      </c>
      <c r="D14" s="3">
        <v>0</v>
      </c>
      <c r="E14" s="3">
        <v>1440</v>
      </c>
      <c r="F14" s="3">
        <v>90491</v>
      </c>
      <c r="G14" s="3">
        <v>10310</v>
      </c>
      <c r="H14" s="4"/>
      <c r="I14" s="57">
        <v>425</v>
      </c>
    </row>
    <row r="15" spans="1:21" ht="15" thickBot="1">
      <c r="A15" s="58" t="s">
        <v>151</v>
      </c>
      <c r="B15" s="59" t="s">
        <v>42</v>
      </c>
      <c r="C15" s="59">
        <v>61</v>
      </c>
      <c r="D15" s="59">
        <v>0</v>
      </c>
      <c r="E15" s="59">
        <v>3660</v>
      </c>
      <c r="F15" s="59">
        <v>90491</v>
      </c>
      <c r="G15" s="59">
        <v>10310</v>
      </c>
      <c r="H15" s="1122"/>
      <c r="I15" s="60">
        <v>425</v>
      </c>
    </row>
    <row r="16" spans="1:21" ht="15" thickBot="1">
      <c r="A16" s="61"/>
      <c r="B16" s="62"/>
      <c r="C16" s="64">
        <f>SUM(C4:C15)</f>
        <v>978</v>
      </c>
      <c r="D16" s="64">
        <f>SUM(D4:D15)</f>
        <v>0</v>
      </c>
      <c r="E16" s="64">
        <f>SUM(E4:E15)</f>
        <v>58680</v>
      </c>
      <c r="F16" s="66"/>
      <c r="G16" s="62"/>
      <c r="H16" s="52"/>
      <c r="I16" s="64">
        <f>SUMPRODUCT(E4:E15,I4:I15)/E16</f>
        <v>425</v>
      </c>
      <c r="U16">
        <f>SUM(U14:U15)</f>
        <v>0</v>
      </c>
    </row>
    <row r="17" spans="1:10">
      <c r="A17" s="3"/>
      <c r="B17" s="3"/>
      <c r="C17" s="61"/>
      <c r="D17" s="61"/>
      <c r="E17" s="61"/>
      <c r="F17" s="3"/>
      <c r="G17" s="3"/>
      <c r="H17" s="61"/>
      <c r="I17" s="61"/>
    </row>
    <row r="18" spans="1:10" ht="15" thickBot="1">
      <c r="A18" s="22"/>
      <c r="B18" s="22"/>
      <c r="C18" s="22"/>
      <c r="D18" s="22"/>
      <c r="E18" s="22"/>
      <c r="F18" s="22"/>
      <c r="G18" s="22"/>
      <c r="H18" s="22"/>
      <c r="I18" s="22"/>
    </row>
    <row r="19" spans="1:10" ht="15" thickBot="1">
      <c r="A19" s="53" t="s">
        <v>130</v>
      </c>
      <c r="B19" s="54" t="s">
        <v>45</v>
      </c>
      <c r="C19" s="54">
        <v>39</v>
      </c>
      <c r="D19" s="54">
        <v>0</v>
      </c>
      <c r="E19" s="54">
        <v>2340</v>
      </c>
      <c r="F19" s="54">
        <v>90492</v>
      </c>
      <c r="G19" s="54">
        <v>10045</v>
      </c>
      <c r="H19" s="1121"/>
      <c r="I19" s="55"/>
      <c r="J19" s="68" t="s">
        <v>152</v>
      </c>
    </row>
    <row r="20" spans="1:10">
      <c r="A20" s="69" t="s">
        <v>150</v>
      </c>
      <c r="B20" s="61" t="s">
        <v>45</v>
      </c>
      <c r="C20" s="61">
        <v>69</v>
      </c>
      <c r="D20" s="61">
        <v>0</v>
      </c>
      <c r="E20" s="61">
        <v>4140</v>
      </c>
      <c r="F20" s="61">
        <v>90492</v>
      </c>
      <c r="G20" s="61">
        <v>10045</v>
      </c>
      <c r="H20" s="62"/>
      <c r="I20" s="70"/>
    </row>
    <row r="21" spans="1:10">
      <c r="A21" s="56" t="s">
        <v>129</v>
      </c>
      <c r="B21" s="3" t="s">
        <v>45</v>
      </c>
      <c r="C21" s="3">
        <v>24</v>
      </c>
      <c r="D21" s="3">
        <v>0</v>
      </c>
      <c r="E21" s="3">
        <v>1440</v>
      </c>
      <c r="F21" s="3">
        <v>90492</v>
      </c>
      <c r="G21" s="3">
        <v>10045</v>
      </c>
      <c r="H21" s="4"/>
      <c r="I21" s="57">
        <v>400</v>
      </c>
    </row>
    <row r="22" spans="1:10" ht="15" thickBot="1">
      <c r="A22" s="58" t="s">
        <v>151</v>
      </c>
      <c r="B22" s="59" t="s">
        <v>45</v>
      </c>
      <c r="C22" s="59">
        <v>50</v>
      </c>
      <c r="D22" s="59">
        <v>0</v>
      </c>
      <c r="E22" s="59">
        <v>3000</v>
      </c>
      <c r="F22" s="59">
        <v>90492</v>
      </c>
      <c r="G22" s="59">
        <v>10045</v>
      </c>
      <c r="H22" s="1122"/>
      <c r="I22" s="60">
        <v>400</v>
      </c>
    </row>
    <row r="23" spans="1:10" ht="15" thickBot="1">
      <c r="A23" s="61"/>
      <c r="B23" s="62"/>
      <c r="C23" s="63">
        <f>SUM(C19:C22)</f>
        <v>182</v>
      </c>
      <c r="D23" s="64">
        <f>SUM(D19:D22)</f>
        <v>0</v>
      </c>
      <c r="E23" s="65">
        <f>SUM(E19:E22)</f>
        <v>10920</v>
      </c>
      <c r="F23" s="66"/>
      <c r="G23" s="62"/>
      <c r="H23" s="52" t="s">
        <v>1375</v>
      </c>
      <c r="I23" s="64">
        <f>SUMPRODUCT(E19:E22,I19:I22)/E23</f>
        <v>162.63736263736263</v>
      </c>
    </row>
    <row r="24" spans="1:10" ht="15" thickBot="1">
      <c r="A24" s="3"/>
      <c r="B24" s="3"/>
      <c r="C24" s="71"/>
      <c r="D24" s="61"/>
      <c r="E24" s="71"/>
      <c r="F24" s="3"/>
      <c r="G24" s="3"/>
      <c r="H24">
        <v>350</v>
      </c>
      <c r="I24" s="61"/>
    </row>
    <row r="25" spans="1:10" ht="15" thickBot="1">
      <c r="C25" s="68">
        <f>C16+C23</f>
        <v>1160</v>
      </c>
      <c r="E25" s="68">
        <f>E16+E23</f>
        <v>69600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526B-FCC0-47FB-9DD5-5DD977BC72A6}">
  <dimension ref="A1:V63"/>
  <sheetViews>
    <sheetView workbookViewId="0">
      <selection activeCell="A3" sqref="A3:K3"/>
    </sheetView>
  </sheetViews>
  <sheetFormatPr defaultRowHeight="14.5"/>
  <cols>
    <col min="1" max="1" width="14.453125" bestFit="1" customWidth="1"/>
    <col min="5" max="5" width="10.54296875" bestFit="1" customWidth="1"/>
    <col min="6" max="6" width="11.453125" bestFit="1" customWidth="1"/>
    <col min="9" max="9" width="19.453125" bestFit="1" customWidth="1"/>
    <col min="10" max="10" width="14.36328125" bestFit="1" customWidth="1"/>
    <col min="11" max="11" width="14.54296875" bestFit="1" customWidth="1"/>
  </cols>
  <sheetData>
    <row r="1" spans="1:21">
      <c r="A1" t="s">
        <v>153</v>
      </c>
    </row>
    <row r="2" spans="1:21" ht="15" thickBot="1">
      <c r="A2" s="48"/>
      <c r="B2" s="48"/>
      <c r="C2" s="48"/>
      <c r="D2" s="48"/>
      <c r="E2" s="48"/>
      <c r="F2" s="48"/>
      <c r="G2" s="48"/>
      <c r="H2" s="48"/>
      <c r="I2" s="48"/>
    </row>
    <row r="3" spans="1:21" ht="15" thickBot="1">
      <c r="A3" s="72" t="s">
        <v>22</v>
      </c>
      <c r="B3" s="73" t="s">
        <v>23</v>
      </c>
      <c r="C3" s="51" t="s">
        <v>24</v>
      </c>
      <c r="D3" s="73" t="s">
        <v>111</v>
      </c>
      <c r="E3" s="51" t="s">
        <v>112</v>
      </c>
      <c r="F3" s="73" t="s">
        <v>113</v>
      </c>
      <c r="G3" s="51" t="s">
        <v>114</v>
      </c>
      <c r="H3" s="51"/>
      <c r="I3" s="67" t="s">
        <v>140</v>
      </c>
      <c r="J3" s="74" t="s">
        <v>141</v>
      </c>
      <c r="K3" s="67" t="s">
        <v>142</v>
      </c>
      <c r="L3" s="75"/>
      <c r="M3" s="76" t="s">
        <v>154</v>
      </c>
    </row>
    <row r="4" spans="1:21" ht="15" thickBot="1">
      <c r="A4" s="77" t="s">
        <v>115</v>
      </c>
      <c r="B4" s="78" t="s">
        <v>42</v>
      </c>
      <c r="C4" s="79">
        <v>18</v>
      </c>
      <c r="D4" s="78">
        <v>0</v>
      </c>
      <c r="E4" s="79">
        <v>1080</v>
      </c>
      <c r="F4" s="78" t="s">
        <v>116</v>
      </c>
      <c r="G4" s="79" t="s">
        <v>117</v>
      </c>
      <c r="H4" s="79"/>
      <c r="I4" s="80">
        <v>90491</v>
      </c>
      <c r="J4" s="81">
        <v>10310</v>
      </c>
      <c r="K4" s="82">
        <v>425</v>
      </c>
      <c r="L4" s="83"/>
      <c r="M4" s="84">
        <v>9602</v>
      </c>
    </row>
    <row r="5" spans="1:21" ht="15" thickBot="1">
      <c r="A5" s="85" t="s">
        <v>115</v>
      </c>
      <c r="B5" s="49" t="s">
        <v>44</v>
      </c>
      <c r="C5" s="49">
        <v>11</v>
      </c>
      <c r="D5" s="49">
        <v>0</v>
      </c>
      <c r="E5" s="49">
        <v>660</v>
      </c>
      <c r="F5" s="49" t="s">
        <v>116</v>
      </c>
      <c r="G5" s="49" t="s">
        <v>118</v>
      </c>
      <c r="H5" s="78"/>
      <c r="I5" s="80">
        <v>90491</v>
      </c>
      <c r="J5" s="81">
        <v>10310</v>
      </c>
      <c r="K5" s="82">
        <v>425</v>
      </c>
      <c r="L5" s="86"/>
    </row>
    <row r="6" spans="1:21" ht="15" thickBot="1">
      <c r="A6" s="85" t="s">
        <v>119</v>
      </c>
      <c r="B6" s="49" t="s">
        <v>42</v>
      </c>
      <c r="C6" s="49">
        <v>23</v>
      </c>
      <c r="D6" s="49"/>
      <c r="E6" s="49">
        <v>1380</v>
      </c>
      <c r="F6" s="49" t="s">
        <v>116</v>
      </c>
      <c r="G6" s="49" t="s">
        <v>117</v>
      </c>
      <c r="H6" s="78"/>
      <c r="I6" s="80">
        <v>90491</v>
      </c>
      <c r="J6" s="81">
        <v>10310</v>
      </c>
      <c r="K6" s="86">
        <v>425</v>
      </c>
      <c r="L6" s="86"/>
    </row>
    <row r="7" spans="1:21" ht="15" thickBot="1">
      <c r="A7" s="85" t="s">
        <v>119</v>
      </c>
      <c r="B7" s="49" t="s">
        <v>120</v>
      </c>
      <c r="C7" s="49">
        <v>66</v>
      </c>
      <c r="D7" s="49">
        <v>0</v>
      </c>
      <c r="E7" s="49">
        <v>3960</v>
      </c>
      <c r="F7" s="49" t="s">
        <v>116</v>
      </c>
      <c r="G7" s="49" t="s">
        <v>118</v>
      </c>
      <c r="H7" s="78"/>
      <c r="I7" s="80">
        <v>90491</v>
      </c>
      <c r="J7" s="81">
        <v>10310</v>
      </c>
      <c r="K7" s="82">
        <v>425</v>
      </c>
      <c r="L7" s="86"/>
    </row>
    <row r="8" spans="1:21" ht="15" thickBot="1">
      <c r="A8" s="85" t="s">
        <v>119</v>
      </c>
      <c r="B8" s="49" t="s">
        <v>44</v>
      </c>
      <c r="C8" s="49">
        <v>8</v>
      </c>
      <c r="D8" s="49">
        <v>0</v>
      </c>
      <c r="E8" s="49">
        <v>480</v>
      </c>
      <c r="F8" s="49" t="s">
        <v>116</v>
      </c>
      <c r="G8" s="49" t="s">
        <v>117</v>
      </c>
      <c r="H8" s="78"/>
      <c r="I8" s="80">
        <v>90491</v>
      </c>
      <c r="J8" s="81">
        <v>10310</v>
      </c>
      <c r="K8" s="82">
        <v>425</v>
      </c>
      <c r="L8" s="86"/>
    </row>
    <row r="9" spans="1:21" ht="15" thickBot="1">
      <c r="A9" s="85" t="s">
        <v>119</v>
      </c>
      <c r="B9" s="49" t="s">
        <v>120</v>
      </c>
      <c r="C9" s="49">
        <v>83</v>
      </c>
      <c r="D9" s="49"/>
      <c r="E9" s="49">
        <v>4980</v>
      </c>
      <c r="F9" s="49" t="s">
        <v>116</v>
      </c>
      <c r="G9" s="49" t="s">
        <v>117</v>
      </c>
      <c r="H9" s="78"/>
      <c r="I9" s="80">
        <v>90491</v>
      </c>
      <c r="J9" s="81">
        <v>10310</v>
      </c>
      <c r="K9" s="82">
        <v>425</v>
      </c>
      <c r="L9" s="86"/>
    </row>
    <row r="10" spans="1:21" ht="15" thickBot="1">
      <c r="A10" s="85" t="s">
        <v>121</v>
      </c>
      <c r="B10" s="49" t="s">
        <v>44</v>
      </c>
      <c r="C10" s="49">
        <v>11</v>
      </c>
      <c r="D10" s="49">
        <v>0</v>
      </c>
      <c r="E10" s="49">
        <v>660</v>
      </c>
      <c r="F10" s="49" t="s">
        <v>116</v>
      </c>
      <c r="G10" s="49" t="s">
        <v>117</v>
      </c>
      <c r="H10" s="78"/>
      <c r="I10" s="80">
        <v>90491</v>
      </c>
      <c r="J10" s="81">
        <v>10310</v>
      </c>
      <c r="K10" s="86">
        <v>425</v>
      </c>
      <c r="L10" s="86"/>
    </row>
    <row r="11" spans="1:21" ht="15" thickBot="1">
      <c r="A11" s="87" t="s">
        <v>121</v>
      </c>
      <c r="B11" s="50" t="s">
        <v>43</v>
      </c>
      <c r="C11" s="49">
        <v>46</v>
      </c>
      <c r="D11" s="49">
        <v>0</v>
      </c>
      <c r="E11" s="49">
        <v>2760</v>
      </c>
      <c r="F11" s="50" t="s">
        <v>126</v>
      </c>
      <c r="G11" s="50" t="s">
        <v>128</v>
      </c>
      <c r="H11" s="94"/>
      <c r="I11" s="80">
        <v>90491</v>
      </c>
      <c r="J11" s="81">
        <v>10310</v>
      </c>
      <c r="K11" s="82">
        <v>425</v>
      </c>
      <c r="L11" s="86"/>
    </row>
    <row r="12" spans="1:21" ht="15" thickBot="1">
      <c r="A12" s="87" t="s">
        <v>129</v>
      </c>
      <c r="B12" s="50" t="s">
        <v>42</v>
      </c>
      <c r="C12" s="49">
        <v>22</v>
      </c>
      <c r="D12" s="49">
        <v>0</v>
      </c>
      <c r="E12" s="49">
        <v>1320</v>
      </c>
      <c r="F12" s="50" t="s">
        <v>126</v>
      </c>
      <c r="G12" s="50" t="s">
        <v>127</v>
      </c>
      <c r="H12" s="94"/>
      <c r="I12" s="80">
        <v>90491</v>
      </c>
      <c r="J12" s="81">
        <v>10310</v>
      </c>
      <c r="K12" s="82">
        <v>425</v>
      </c>
      <c r="L12" s="86"/>
    </row>
    <row r="13" spans="1:21" ht="15" thickBot="1">
      <c r="A13" s="87" t="s">
        <v>130</v>
      </c>
      <c r="B13" s="50" t="s">
        <v>44</v>
      </c>
      <c r="C13" s="49">
        <v>10</v>
      </c>
      <c r="D13" s="49"/>
      <c r="E13" s="49">
        <v>600</v>
      </c>
      <c r="F13" s="50" t="s">
        <v>126</v>
      </c>
      <c r="G13" s="50" t="s">
        <v>128</v>
      </c>
      <c r="H13" s="94"/>
      <c r="I13" s="80">
        <v>90491</v>
      </c>
      <c r="J13" s="81">
        <v>10310</v>
      </c>
      <c r="K13" s="86">
        <v>425</v>
      </c>
      <c r="L13" s="86"/>
      <c r="U13">
        <f>SUM(U3:U12)</f>
        <v>0</v>
      </c>
    </row>
    <row r="14" spans="1:21" ht="15" thickBot="1">
      <c r="A14" s="87" t="s">
        <v>121</v>
      </c>
      <c r="B14" s="50" t="s">
        <v>42</v>
      </c>
      <c r="C14" s="49">
        <v>24</v>
      </c>
      <c r="D14" s="49"/>
      <c r="E14" s="49">
        <v>1440</v>
      </c>
      <c r="F14" s="50" t="s">
        <v>131</v>
      </c>
      <c r="G14" s="50" t="s">
        <v>132</v>
      </c>
      <c r="H14" s="94"/>
      <c r="I14" s="80">
        <v>90491</v>
      </c>
      <c r="J14" s="81">
        <v>10310</v>
      </c>
      <c r="K14" s="86">
        <v>425</v>
      </c>
      <c r="L14" s="86"/>
    </row>
    <row r="15" spans="1:21" ht="15" thickBot="1">
      <c r="A15" s="87" t="s">
        <v>121</v>
      </c>
      <c r="B15" s="50" t="s">
        <v>43</v>
      </c>
      <c r="C15" s="49">
        <v>50</v>
      </c>
      <c r="D15" s="49"/>
      <c r="E15" s="88">
        <v>3000</v>
      </c>
      <c r="F15" s="50" t="s">
        <v>131</v>
      </c>
      <c r="G15" s="50" t="s">
        <v>133</v>
      </c>
      <c r="H15" s="94"/>
      <c r="I15" s="80">
        <v>90491</v>
      </c>
      <c r="J15" s="81">
        <v>10310</v>
      </c>
      <c r="K15" s="89">
        <v>425</v>
      </c>
      <c r="L15" s="86"/>
    </row>
    <row r="16" spans="1:21" ht="15" thickBot="1">
      <c r="A16" s="87"/>
      <c r="B16" s="50"/>
      <c r="C16" s="49"/>
      <c r="D16" s="90"/>
      <c r="E16" s="91">
        <f>SUM(E4:E15)</f>
        <v>22320</v>
      </c>
      <c r="F16" s="92"/>
      <c r="G16" s="50"/>
      <c r="H16" s="94"/>
      <c r="I16" s="80"/>
      <c r="J16" s="81"/>
      <c r="K16" s="68">
        <f>SUMPRODUCT(E4:E15,K4:K15)/E16</f>
        <v>425</v>
      </c>
      <c r="L16" s="86"/>
      <c r="U16">
        <f>SUM(U14:U15)</f>
        <v>0</v>
      </c>
    </row>
    <row r="17" spans="1:13" ht="15" thickBot="1">
      <c r="A17" s="87"/>
      <c r="B17" s="50"/>
      <c r="C17" s="49"/>
      <c r="D17" s="49"/>
      <c r="E17" s="78"/>
      <c r="F17" s="50"/>
      <c r="G17" s="50"/>
      <c r="H17" s="94"/>
      <c r="I17" s="80"/>
      <c r="J17" s="81"/>
      <c r="K17" s="82"/>
      <c r="L17" s="86"/>
    </row>
    <row r="18" spans="1:13" ht="15" thickBot="1">
      <c r="A18" s="85" t="s">
        <v>115</v>
      </c>
      <c r="B18" s="49" t="s">
        <v>45</v>
      </c>
      <c r="C18" s="49">
        <v>33</v>
      </c>
      <c r="D18" s="49">
        <v>0</v>
      </c>
      <c r="E18" s="49">
        <v>1980</v>
      </c>
      <c r="F18" s="49" t="s">
        <v>116</v>
      </c>
      <c r="G18" s="49" t="s">
        <v>118</v>
      </c>
      <c r="H18" s="78"/>
      <c r="I18" s="80">
        <v>90492</v>
      </c>
      <c r="J18" s="81">
        <v>10045</v>
      </c>
      <c r="K18" s="82">
        <v>400</v>
      </c>
      <c r="L18" s="86"/>
      <c r="M18" s="84">
        <v>9603</v>
      </c>
    </row>
    <row r="19" spans="1:13" ht="15" thickBot="1">
      <c r="A19" s="85" t="s">
        <v>119</v>
      </c>
      <c r="B19" s="49" t="s">
        <v>45</v>
      </c>
      <c r="C19" s="49">
        <v>22</v>
      </c>
      <c r="D19" s="49">
        <v>0</v>
      </c>
      <c r="E19" s="49">
        <v>1320</v>
      </c>
      <c r="F19" s="49" t="s">
        <v>116</v>
      </c>
      <c r="G19" s="49" t="s">
        <v>118</v>
      </c>
      <c r="H19" s="78"/>
      <c r="I19" s="80"/>
      <c r="J19" s="81">
        <v>10045</v>
      </c>
      <c r="K19" s="82">
        <v>400</v>
      </c>
      <c r="L19" s="86"/>
    </row>
    <row r="20" spans="1:13" ht="15" thickBot="1">
      <c r="A20" s="85" t="s">
        <v>121</v>
      </c>
      <c r="B20" s="49" t="s">
        <v>45</v>
      </c>
      <c r="C20" s="49">
        <v>15</v>
      </c>
      <c r="D20" s="49">
        <v>0</v>
      </c>
      <c r="E20" s="49">
        <v>900</v>
      </c>
      <c r="F20" s="49" t="s">
        <v>116</v>
      </c>
      <c r="G20" s="49" t="s">
        <v>118</v>
      </c>
      <c r="H20" s="78"/>
      <c r="I20" s="80"/>
      <c r="J20" s="81">
        <v>10045</v>
      </c>
      <c r="K20" s="86">
        <v>400</v>
      </c>
      <c r="L20" s="86"/>
    </row>
    <row r="21" spans="1:13" ht="15" thickBot="1">
      <c r="A21" s="87" t="s">
        <v>129</v>
      </c>
      <c r="B21" s="50" t="s">
        <v>45</v>
      </c>
      <c r="C21" s="49">
        <v>5</v>
      </c>
      <c r="D21" s="49">
        <v>0</v>
      </c>
      <c r="E21" s="49">
        <v>300</v>
      </c>
      <c r="F21" s="50" t="s">
        <v>126</v>
      </c>
      <c r="G21" s="50" t="s">
        <v>128</v>
      </c>
      <c r="H21" s="94"/>
      <c r="I21" s="80">
        <v>90492</v>
      </c>
      <c r="J21" s="81">
        <v>10045</v>
      </c>
      <c r="K21" s="86">
        <v>400</v>
      </c>
      <c r="L21" s="86"/>
    </row>
    <row r="22" spans="1:13" ht="15" thickBot="1">
      <c r="A22" s="87" t="s">
        <v>130</v>
      </c>
      <c r="B22" s="50" t="s">
        <v>45</v>
      </c>
      <c r="C22" s="49">
        <v>6</v>
      </c>
      <c r="D22" s="49"/>
      <c r="E22" s="49">
        <v>360</v>
      </c>
      <c r="F22" s="50" t="s">
        <v>126</v>
      </c>
      <c r="G22" s="50" t="s">
        <v>127</v>
      </c>
      <c r="H22" s="94"/>
      <c r="I22" s="80">
        <v>90492</v>
      </c>
      <c r="J22" s="81">
        <v>10045</v>
      </c>
      <c r="K22" s="82">
        <v>400</v>
      </c>
      <c r="L22" s="86"/>
    </row>
    <row r="23" spans="1:13" ht="15" thickBot="1">
      <c r="A23" s="93" t="s">
        <v>121</v>
      </c>
      <c r="B23" s="94" t="s">
        <v>45</v>
      </c>
      <c r="C23" s="78">
        <v>15</v>
      </c>
      <c r="D23" s="78"/>
      <c r="E23" s="95">
        <v>900</v>
      </c>
      <c r="F23" s="94" t="s">
        <v>131</v>
      </c>
      <c r="G23" s="94" t="s">
        <v>132</v>
      </c>
      <c r="H23" s="94" t="s">
        <v>1375</v>
      </c>
      <c r="I23" s="80">
        <v>90492</v>
      </c>
      <c r="J23" s="81">
        <v>10045</v>
      </c>
      <c r="K23" s="89">
        <v>400</v>
      </c>
      <c r="L23" s="82"/>
    </row>
    <row r="24" spans="1:13" ht="15" thickBot="1">
      <c r="A24" s="93"/>
      <c r="B24" s="94"/>
      <c r="C24" s="78"/>
      <c r="D24" s="96"/>
      <c r="E24" s="91">
        <f>SUM(E18:E23)</f>
        <v>5760</v>
      </c>
      <c r="F24" s="97"/>
      <c r="G24" s="94"/>
      <c r="H24">
        <v>350</v>
      </c>
      <c r="I24" s="80"/>
      <c r="J24" s="81"/>
      <c r="K24" s="68">
        <f>SUMPRODUCT(E18:E23,K18:K23)/E24</f>
        <v>400</v>
      </c>
      <c r="L24" s="82"/>
    </row>
    <row r="25" spans="1:13" ht="15" thickBot="1">
      <c r="A25" s="93"/>
      <c r="B25" s="94"/>
      <c r="C25" s="78"/>
      <c r="D25" s="78"/>
      <c r="E25" s="78"/>
      <c r="F25" s="94"/>
      <c r="G25" s="94"/>
      <c r="I25" s="80"/>
      <c r="J25" s="81"/>
      <c r="K25" s="82"/>
      <c r="L25" s="82"/>
    </row>
    <row r="26" spans="1:13" ht="15" thickBot="1">
      <c r="A26" s="98" t="s">
        <v>122</v>
      </c>
      <c r="B26" s="50" t="s">
        <v>123</v>
      </c>
      <c r="C26" s="49">
        <v>280</v>
      </c>
      <c r="D26" s="49"/>
      <c r="E26" s="49">
        <v>17400</v>
      </c>
      <c r="F26" s="50" t="s">
        <v>124</v>
      </c>
      <c r="G26" s="50" t="s">
        <v>125</v>
      </c>
      <c r="H26" s="94"/>
      <c r="I26" s="80">
        <v>90494</v>
      </c>
      <c r="J26" s="81">
        <v>10040</v>
      </c>
      <c r="K26" s="82">
        <v>435</v>
      </c>
      <c r="L26" s="86"/>
      <c r="M26" s="84">
        <v>9604</v>
      </c>
    </row>
    <row r="27" spans="1:13" ht="15" thickBot="1">
      <c r="A27" s="99" t="s">
        <v>122</v>
      </c>
      <c r="B27" s="100" t="s">
        <v>123</v>
      </c>
      <c r="C27" s="101">
        <v>155</v>
      </c>
      <c r="D27" s="101">
        <v>0</v>
      </c>
      <c r="E27" s="88">
        <v>9300</v>
      </c>
      <c r="F27" s="100" t="s">
        <v>126</v>
      </c>
      <c r="G27" s="100" t="s">
        <v>127</v>
      </c>
      <c r="H27" s="1131"/>
      <c r="I27" s="80">
        <v>90494</v>
      </c>
      <c r="J27" s="81">
        <v>10040</v>
      </c>
      <c r="K27" s="102">
        <v>435</v>
      </c>
      <c r="L27" s="103"/>
    </row>
    <row r="28" spans="1:13" ht="15" thickBot="1">
      <c r="A28" s="72"/>
      <c r="B28" s="104"/>
      <c r="C28" s="73"/>
      <c r="D28" s="51"/>
      <c r="E28" s="91">
        <f>SUM(E26:E27)</f>
        <v>26700</v>
      </c>
      <c r="F28" s="105"/>
      <c r="G28" s="106"/>
      <c r="H28" s="1132"/>
      <c r="I28" s="51"/>
      <c r="J28" s="107"/>
      <c r="K28" s="68">
        <f>SUMPRODUCT(E26:E27,K26:K27)/E28</f>
        <v>435</v>
      </c>
      <c r="L28" s="108"/>
    </row>
    <row r="29" spans="1:13">
      <c r="A29" s="48"/>
      <c r="B29" s="48"/>
      <c r="C29" s="48"/>
      <c r="D29" s="48"/>
      <c r="E29" s="48"/>
      <c r="F29" s="48"/>
      <c r="G29" s="48"/>
      <c r="H29" s="1133"/>
      <c r="I29" s="48"/>
    </row>
    <row r="30" spans="1:13">
      <c r="A30" s="48"/>
      <c r="B30" s="48"/>
      <c r="C30" s="48"/>
      <c r="D30" s="48"/>
      <c r="E30" s="48"/>
      <c r="F30" s="48"/>
      <c r="G30" s="48"/>
      <c r="H30" s="48"/>
      <c r="I30" s="48"/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137B-460C-47EB-B325-6503D8C462AC}">
  <dimension ref="A1:K2"/>
  <sheetViews>
    <sheetView workbookViewId="0">
      <selection activeCell="C8" sqref="C8"/>
    </sheetView>
  </sheetViews>
  <sheetFormatPr defaultRowHeight="14.5"/>
  <cols>
    <col min="1" max="1" width="11.81640625" style="16" bestFit="1" customWidth="1"/>
    <col min="2" max="4" width="8.90625" style="16"/>
    <col min="6" max="6" width="17.90625" bestFit="1" customWidth="1"/>
    <col min="7" max="8" width="17.90625" customWidth="1"/>
    <col min="9" max="9" width="13.1796875" bestFit="1" customWidth="1"/>
    <col min="11" max="11" width="10.1796875" bestFit="1" customWidth="1"/>
  </cols>
  <sheetData>
    <row r="1" spans="1:11">
      <c r="A1" s="1711" t="s">
        <v>22</v>
      </c>
      <c r="B1" s="1712" t="s">
        <v>23</v>
      </c>
      <c r="C1" s="1712" t="s">
        <v>24</v>
      </c>
      <c r="D1" s="1712" t="s">
        <v>111</v>
      </c>
      <c r="E1" s="1712" t="s">
        <v>112</v>
      </c>
      <c r="F1" s="54" t="s">
        <v>2095</v>
      </c>
      <c r="G1" s="54" t="s">
        <v>1055</v>
      </c>
      <c r="H1" s="54" t="s">
        <v>1265</v>
      </c>
      <c r="I1" s="54" t="s">
        <v>141</v>
      </c>
      <c r="J1" s="54" t="s">
        <v>142</v>
      </c>
      <c r="K1" s="55" t="s">
        <v>2011</v>
      </c>
    </row>
    <row r="2" spans="1:11" ht="16.5" thickBot="1">
      <c r="A2" s="1708" t="s">
        <v>2094</v>
      </c>
      <c r="B2" s="1709" t="s">
        <v>120</v>
      </c>
      <c r="C2" s="1709">
        <v>37</v>
      </c>
      <c r="D2" s="1709">
        <v>38</v>
      </c>
      <c r="E2" s="1709">
        <f>C2*60+38</f>
        <v>2258</v>
      </c>
      <c r="F2" s="1709" t="s">
        <v>910</v>
      </c>
      <c r="G2" s="1709" t="s">
        <v>464</v>
      </c>
      <c r="H2" s="1709" t="s">
        <v>45</v>
      </c>
      <c r="I2" s="1709"/>
      <c r="J2" s="1709">
        <v>425</v>
      </c>
      <c r="K2" s="1710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33F5-1063-42FA-9C50-AEA12DC1403D}">
  <dimension ref="A2:V63"/>
  <sheetViews>
    <sheetView topLeftCell="E1" workbookViewId="0">
      <selection activeCell="H30" sqref="H30"/>
    </sheetView>
  </sheetViews>
  <sheetFormatPr defaultRowHeight="14.5"/>
  <cols>
    <col min="2" max="2" width="9.54296875" customWidth="1"/>
    <col min="3" max="3" width="11.1796875" customWidth="1"/>
    <col min="9" max="9" width="19.453125" bestFit="1" customWidth="1"/>
    <col min="10" max="10" width="14.36328125" bestFit="1" customWidth="1"/>
    <col min="11" max="11" width="14.54296875" bestFit="1" customWidth="1"/>
    <col min="12" max="12" width="9.54296875" customWidth="1"/>
    <col min="13" max="13" width="12.81640625" customWidth="1"/>
    <col min="14" max="14" width="12.1796875" customWidth="1"/>
    <col min="15" max="15" width="13.54296875" customWidth="1"/>
    <col min="16" max="16" width="13.453125" bestFit="1" customWidth="1"/>
    <col min="17" max="17" width="12.81640625" bestFit="1" customWidth="1"/>
    <col min="18" max="18" width="12.453125" bestFit="1" customWidth="1"/>
    <col min="19" max="19" width="14.54296875" bestFit="1" customWidth="1"/>
  </cols>
  <sheetData>
    <row r="2" spans="1:21">
      <c r="J2" s="17" t="s">
        <v>158</v>
      </c>
      <c r="K2" s="17"/>
      <c r="L2" s="17">
        <v>291.55</v>
      </c>
      <c r="M2" t="s">
        <v>174</v>
      </c>
    </row>
    <row r="3" spans="1:21">
      <c r="A3" s="115" t="s">
        <v>159</v>
      </c>
      <c r="B3" s="115" t="s">
        <v>160</v>
      </c>
      <c r="C3" s="115" t="s">
        <v>22</v>
      </c>
      <c r="D3" s="115" t="s">
        <v>23</v>
      </c>
      <c r="E3" s="115" t="s">
        <v>24</v>
      </c>
      <c r="F3" s="115" t="s">
        <v>161</v>
      </c>
      <c r="G3" s="115" t="s">
        <v>112</v>
      </c>
      <c r="H3" s="115"/>
      <c r="I3" s="115" t="s">
        <v>162</v>
      </c>
      <c r="J3" s="115" t="s">
        <v>163</v>
      </c>
      <c r="K3" s="921" t="s">
        <v>1</v>
      </c>
      <c r="L3" s="115" t="s">
        <v>30</v>
      </c>
      <c r="M3" s="115" t="s">
        <v>24</v>
      </c>
      <c r="N3" s="115" t="s">
        <v>161</v>
      </c>
      <c r="O3" s="115" t="s">
        <v>112</v>
      </c>
      <c r="P3" s="221" t="s">
        <v>705</v>
      </c>
      <c r="Q3" s="221" t="s">
        <v>703</v>
      </c>
      <c r="R3" s="221" t="s">
        <v>704</v>
      </c>
      <c r="S3" s="221" t="s">
        <v>157</v>
      </c>
    </row>
    <row r="4" spans="1:21">
      <c r="A4" s="237" t="s">
        <v>86</v>
      </c>
      <c r="B4" s="237" t="s">
        <v>95</v>
      </c>
      <c r="C4" s="237" t="s">
        <v>164</v>
      </c>
      <c r="D4" s="237" t="s">
        <v>43</v>
      </c>
      <c r="E4" s="238">
        <v>59</v>
      </c>
      <c r="F4" s="238">
        <v>63</v>
      </c>
      <c r="G4" s="238">
        <v>3603</v>
      </c>
      <c r="H4" s="238"/>
      <c r="I4" s="920">
        <v>380</v>
      </c>
      <c r="J4" s="238">
        <v>10040</v>
      </c>
      <c r="K4" s="922">
        <v>90507</v>
      </c>
      <c r="L4" s="239">
        <f>(I4/1.1023)-$L$2</f>
        <v>53.183738546675102</v>
      </c>
      <c r="M4" s="119"/>
      <c r="N4" s="119"/>
      <c r="O4" s="119"/>
      <c r="P4" s="222">
        <v>60</v>
      </c>
      <c r="Q4" s="222">
        <v>60</v>
      </c>
      <c r="R4" s="222">
        <v>25</v>
      </c>
      <c r="S4" s="222">
        <v>3625</v>
      </c>
    </row>
    <row r="5" spans="1:21">
      <c r="A5" s="237" t="s">
        <v>86</v>
      </c>
      <c r="B5" s="237" t="s">
        <v>95</v>
      </c>
      <c r="C5" s="237" t="s">
        <v>165</v>
      </c>
      <c r="D5" s="237" t="s">
        <v>43</v>
      </c>
      <c r="E5" s="238">
        <v>84</v>
      </c>
      <c r="F5" s="238">
        <v>48</v>
      </c>
      <c r="G5" s="238">
        <v>5088</v>
      </c>
      <c r="H5" s="238"/>
      <c r="I5" s="920">
        <v>380</v>
      </c>
      <c r="J5" s="238">
        <v>10040</v>
      </c>
      <c r="K5" s="922">
        <v>90507</v>
      </c>
      <c r="L5" s="239">
        <f t="shared" ref="L5:L14" si="0">(I5/1.1023)-$L$2</f>
        <v>53.183738546675102</v>
      </c>
      <c r="M5" s="119"/>
      <c r="N5" s="119"/>
      <c r="O5" s="119"/>
      <c r="P5" s="222">
        <v>85</v>
      </c>
      <c r="Q5" s="222">
        <v>85</v>
      </c>
      <c r="R5" s="222">
        <v>2.5</v>
      </c>
      <c r="S5" s="222">
        <v>5102.5</v>
      </c>
    </row>
    <row r="6" spans="1:21" ht="21.65" customHeight="1">
      <c r="A6" s="240" t="s">
        <v>86</v>
      </c>
      <c r="B6" s="240" t="s">
        <v>95</v>
      </c>
      <c r="C6" s="241" t="s">
        <v>404</v>
      </c>
      <c r="D6" s="240" t="s">
        <v>43</v>
      </c>
      <c r="E6" s="242">
        <v>83</v>
      </c>
      <c r="F6" s="242">
        <v>11</v>
      </c>
      <c r="G6" s="242">
        <v>4991</v>
      </c>
      <c r="H6" s="242"/>
      <c r="I6" s="920">
        <v>380</v>
      </c>
      <c r="J6" s="242">
        <v>10040</v>
      </c>
      <c r="K6" s="922">
        <v>90507</v>
      </c>
      <c r="L6" s="243">
        <f t="shared" si="0"/>
        <v>53.183738546675102</v>
      </c>
      <c r="M6" s="119"/>
      <c r="N6" s="119"/>
      <c r="O6" s="119"/>
      <c r="P6" s="222">
        <v>84</v>
      </c>
      <c r="Q6" s="222">
        <v>83</v>
      </c>
      <c r="R6" s="222">
        <v>46.4</v>
      </c>
      <c r="S6" s="222">
        <v>5026.3999999999996</v>
      </c>
    </row>
    <row r="7" spans="1:21">
      <c r="A7" s="237" t="s">
        <v>86</v>
      </c>
      <c r="B7" s="237" t="s">
        <v>87</v>
      </c>
      <c r="C7" s="237" t="s">
        <v>166</v>
      </c>
      <c r="D7" s="237" t="s">
        <v>43</v>
      </c>
      <c r="E7" s="238">
        <v>42</v>
      </c>
      <c r="F7" s="238">
        <v>57</v>
      </c>
      <c r="G7" s="238">
        <v>2577</v>
      </c>
      <c r="H7" s="238"/>
      <c r="I7" s="920">
        <v>380</v>
      </c>
      <c r="J7" s="238">
        <v>10040</v>
      </c>
      <c r="K7" s="922">
        <v>90507</v>
      </c>
      <c r="L7" s="239">
        <f t="shared" si="0"/>
        <v>53.183738546675102</v>
      </c>
      <c r="M7" s="119"/>
      <c r="N7" s="119"/>
      <c r="O7" s="119"/>
      <c r="P7" s="222">
        <v>43</v>
      </c>
      <c r="Q7" s="222">
        <v>42</v>
      </c>
      <c r="R7" s="222">
        <v>58.3</v>
      </c>
      <c r="S7" s="222">
        <v>2578.3000000000002</v>
      </c>
    </row>
    <row r="8" spans="1:21">
      <c r="A8" s="237" t="s">
        <v>86</v>
      </c>
      <c r="B8" s="237" t="s">
        <v>87</v>
      </c>
      <c r="C8" s="237" t="s">
        <v>167</v>
      </c>
      <c r="D8" s="237" t="s">
        <v>43</v>
      </c>
      <c r="E8" s="238">
        <v>58</v>
      </c>
      <c r="F8" s="238">
        <v>0</v>
      </c>
      <c r="G8" s="238">
        <v>3480</v>
      </c>
      <c r="H8" s="238"/>
      <c r="I8" s="920">
        <v>380</v>
      </c>
      <c r="J8" s="238">
        <v>10040</v>
      </c>
      <c r="K8" s="922">
        <v>90507</v>
      </c>
      <c r="L8" s="239">
        <f t="shared" si="0"/>
        <v>53.183738546675102</v>
      </c>
      <c r="M8" s="119"/>
      <c r="N8" s="119"/>
      <c r="O8" s="119"/>
      <c r="P8" s="222">
        <v>58</v>
      </c>
      <c r="Q8" s="222">
        <v>58</v>
      </c>
      <c r="R8" s="222">
        <v>32.799999999999997</v>
      </c>
      <c r="S8" s="222">
        <v>3512.8</v>
      </c>
    </row>
    <row r="9" spans="1:21">
      <c r="A9" s="244" t="s">
        <v>86</v>
      </c>
      <c r="B9" s="244" t="s">
        <v>87</v>
      </c>
      <c r="C9" s="244" t="s">
        <v>168</v>
      </c>
      <c r="D9" s="244" t="s">
        <v>43</v>
      </c>
      <c r="E9" s="245">
        <v>52</v>
      </c>
      <c r="F9" s="245">
        <v>34</v>
      </c>
      <c r="G9" s="245">
        <v>3154</v>
      </c>
      <c r="H9" s="245"/>
      <c r="I9" s="920">
        <v>380</v>
      </c>
      <c r="J9" s="238">
        <v>10040</v>
      </c>
      <c r="K9" s="922">
        <v>90507</v>
      </c>
      <c r="L9" s="239">
        <f t="shared" si="0"/>
        <v>53.183738546675102</v>
      </c>
      <c r="M9" s="119"/>
      <c r="N9" s="119"/>
      <c r="O9" s="119"/>
      <c r="P9" s="222">
        <v>53</v>
      </c>
      <c r="Q9" s="222">
        <v>52</v>
      </c>
      <c r="R9" s="222">
        <v>53.3</v>
      </c>
      <c r="S9" s="222">
        <v>3173.3</v>
      </c>
    </row>
    <row r="10" spans="1:21">
      <c r="A10" s="244" t="s">
        <v>86</v>
      </c>
      <c r="B10" s="244" t="s">
        <v>102</v>
      </c>
      <c r="C10" s="244" t="s">
        <v>169</v>
      </c>
      <c r="D10" s="244" t="s">
        <v>43</v>
      </c>
      <c r="E10" s="245">
        <v>46</v>
      </c>
      <c r="F10" s="245">
        <v>24</v>
      </c>
      <c r="G10" s="245">
        <v>2784</v>
      </c>
      <c r="H10" s="245"/>
      <c r="I10" s="920">
        <v>380</v>
      </c>
      <c r="J10" s="238">
        <v>10040</v>
      </c>
      <c r="K10" s="922">
        <v>90507</v>
      </c>
      <c r="L10" s="239">
        <f t="shared" si="0"/>
        <v>53.183738546675102</v>
      </c>
      <c r="M10" s="119"/>
      <c r="N10" s="119"/>
      <c r="O10" s="119"/>
      <c r="P10" s="222">
        <v>47</v>
      </c>
      <c r="Q10" s="222">
        <v>46</v>
      </c>
      <c r="R10" s="222">
        <v>14.7</v>
      </c>
      <c r="S10" s="222">
        <v>2774.7</v>
      </c>
    </row>
    <row r="11" spans="1:21">
      <c r="A11" s="244" t="s">
        <v>86</v>
      </c>
      <c r="B11" s="244" t="s">
        <v>102</v>
      </c>
      <c r="C11" s="244" t="s">
        <v>170</v>
      </c>
      <c r="D11" s="244" t="s">
        <v>43</v>
      </c>
      <c r="E11" s="245">
        <v>56</v>
      </c>
      <c r="F11" s="245">
        <v>45</v>
      </c>
      <c r="G11" s="245">
        <v>3405</v>
      </c>
      <c r="H11" s="245"/>
      <c r="I11" s="920">
        <v>380</v>
      </c>
      <c r="J11" s="238">
        <v>10040</v>
      </c>
      <c r="K11" s="922">
        <v>90507</v>
      </c>
      <c r="L11" s="239">
        <f t="shared" si="0"/>
        <v>53.183738546675102</v>
      </c>
      <c r="M11" s="119"/>
      <c r="N11" s="119"/>
      <c r="O11" s="119"/>
      <c r="P11" s="222">
        <v>57</v>
      </c>
      <c r="Q11" s="222">
        <v>56</v>
      </c>
      <c r="R11" s="222">
        <v>54.7</v>
      </c>
      <c r="S11" s="222">
        <v>3415</v>
      </c>
    </row>
    <row r="12" spans="1:21">
      <c r="A12" s="244" t="s">
        <v>86</v>
      </c>
      <c r="B12" s="244" t="s">
        <v>97</v>
      </c>
      <c r="C12" s="244" t="s">
        <v>171</v>
      </c>
      <c r="D12" s="244" t="s">
        <v>43</v>
      </c>
      <c r="E12" s="245">
        <v>65</v>
      </c>
      <c r="F12" s="245">
        <v>28</v>
      </c>
      <c r="G12" s="245">
        <v>3929</v>
      </c>
      <c r="H12" s="245"/>
      <c r="I12" s="920">
        <v>380</v>
      </c>
      <c r="J12" s="238">
        <v>10040</v>
      </c>
      <c r="K12" s="922">
        <v>90507</v>
      </c>
      <c r="L12" s="239">
        <f t="shared" si="0"/>
        <v>53.183738546675102</v>
      </c>
      <c r="M12" s="119"/>
      <c r="N12" s="119"/>
      <c r="O12" s="119"/>
      <c r="P12" s="222">
        <v>66</v>
      </c>
      <c r="Q12" s="222">
        <v>65</v>
      </c>
      <c r="R12" s="222">
        <v>32.6</v>
      </c>
      <c r="S12" s="222">
        <v>3932.6</v>
      </c>
    </row>
    <row r="13" spans="1:21">
      <c r="A13" s="244" t="s">
        <v>86</v>
      </c>
      <c r="B13" s="244" t="s">
        <v>92</v>
      </c>
      <c r="C13" s="244" t="s">
        <v>172</v>
      </c>
      <c r="D13" s="244" t="s">
        <v>43</v>
      </c>
      <c r="E13" s="245">
        <v>13</v>
      </c>
      <c r="F13" s="245">
        <v>40</v>
      </c>
      <c r="G13" s="245">
        <v>820</v>
      </c>
      <c r="H13" s="245"/>
      <c r="I13" s="920">
        <v>380</v>
      </c>
      <c r="J13" s="238">
        <v>10040</v>
      </c>
      <c r="K13" s="922">
        <v>90507</v>
      </c>
      <c r="L13" s="239">
        <f t="shared" si="0"/>
        <v>53.183738546675102</v>
      </c>
      <c r="M13" s="119"/>
      <c r="N13" s="119"/>
      <c r="O13" s="119"/>
      <c r="P13" s="222">
        <v>14</v>
      </c>
      <c r="Q13" s="222">
        <v>13</v>
      </c>
      <c r="R13" s="222">
        <v>35.4</v>
      </c>
      <c r="S13" s="222">
        <v>815.4</v>
      </c>
      <c r="U13">
        <f>SUM(U3:U12)</f>
        <v>0</v>
      </c>
    </row>
    <row r="14" spans="1:21">
      <c r="A14" s="237" t="s">
        <v>86</v>
      </c>
      <c r="B14" s="237" t="s">
        <v>92</v>
      </c>
      <c r="C14" s="237" t="s">
        <v>173</v>
      </c>
      <c r="D14" s="237" t="s">
        <v>43</v>
      </c>
      <c r="E14" s="238">
        <v>56</v>
      </c>
      <c r="F14" s="238">
        <v>37</v>
      </c>
      <c r="G14" s="238">
        <v>3397</v>
      </c>
      <c r="H14" s="238"/>
      <c r="I14" s="920">
        <v>380</v>
      </c>
      <c r="J14" s="238">
        <v>10040</v>
      </c>
      <c r="K14" s="922">
        <v>90507</v>
      </c>
      <c r="L14" s="239">
        <f t="shared" si="0"/>
        <v>53.183738546675102</v>
      </c>
      <c r="M14" s="119"/>
      <c r="N14" s="119"/>
      <c r="O14" s="119"/>
      <c r="P14" s="222">
        <v>57</v>
      </c>
      <c r="Q14" s="222">
        <v>56</v>
      </c>
      <c r="R14" s="222">
        <v>43.7</v>
      </c>
      <c r="S14" s="222">
        <v>3403.7</v>
      </c>
    </row>
    <row r="15" spans="1:21">
      <c r="E15" s="109">
        <f>G15/60</f>
        <v>620.4666666666667</v>
      </c>
      <c r="F15" s="110"/>
      <c r="G15" s="110">
        <f>SUM(G4:G14)</f>
        <v>37228</v>
      </c>
      <c r="H15" s="110"/>
      <c r="S15">
        <f>SUM(S4:S14)</f>
        <v>37359.699999999997</v>
      </c>
    </row>
    <row r="16" spans="1:21">
      <c r="S16">
        <f>S15/60</f>
        <v>622.66166666666663</v>
      </c>
      <c r="U16">
        <f>SUM(U14:U15)</f>
        <v>0</v>
      </c>
    </row>
    <row r="23" spans="8:8">
      <c r="H23" t="s">
        <v>1375</v>
      </c>
    </row>
    <row r="24" spans="8:8">
      <c r="H24" s="119">
        <v>350</v>
      </c>
    </row>
    <row r="25" spans="8:8">
      <c r="H25" s="119"/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D4C3-F263-4F8B-B1D1-95C99B0991A1}">
  <dimension ref="A1:AC89"/>
  <sheetViews>
    <sheetView workbookViewId="0">
      <selection activeCell="K20" sqref="K20"/>
    </sheetView>
  </sheetViews>
  <sheetFormatPr defaultColWidth="8.81640625" defaultRowHeight="13"/>
  <cols>
    <col min="1" max="1" width="9.81640625" style="116" customWidth="1"/>
    <col min="2" max="2" width="12.453125" style="116" customWidth="1"/>
    <col min="3" max="3" width="11.81640625" style="116" customWidth="1"/>
    <col min="4" max="4" width="8.81640625" style="116"/>
    <col min="5" max="8" width="8.81640625" style="116" customWidth="1"/>
    <col min="9" max="9" width="17.90625" style="116" bestFit="1" customWidth="1"/>
    <col min="10" max="10" width="16.81640625" style="122" bestFit="1" customWidth="1"/>
    <col min="11" max="11" width="13.1796875" style="116" bestFit="1" customWidth="1"/>
    <col min="12" max="12" width="8.81640625" style="116" customWidth="1"/>
    <col min="13" max="13" width="8.81640625" style="122" customWidth="1"/>
    <col min="14" max="14" width="14" style="919" customWidth="1"/>
    <col min="15" max="15" width="12.81640625" style="116" customWidth="1"/>
    <col min="16" max="16" width="10.453125" style="116" customWidth="1"/>
    <col min="17" max="18" width="8.81640625" style="116" customWidth="1"/>
    <col min="19" max="19" width="12.81640625" style="121" customWidth="1"/>
    <col min="20" max="21" width="8.81640625" style="116" customWidth="1"/>
    <col min="22" max="22" width="10.1796875" style="116" customWidth="1"/>
    <col min="23" max="23" width="14" style="116" customWidth="1"/>
    <col min="24" max="24" width="14.1796875" style="116" bestFit="1" customWidth="1"/>
    <col min="25" max="25" width="13.81640625" style="116" bestFit="1" customWidth="1"/>
    <col min="26" max="26" width="13.81640625" style="116" customWidth="1"/>
    <col min="27" max="27" width="16.453125" style="116" bestFit="1" customWidth="1"/>
    <col min="28" max="16384" width="8.81640625" style="116"/>
  </cols>
  <sheetData>
    <row r="1" spans="1:28">
      <c r="V1" s="116" t="s">
        <v>380</v>
      </c>
      <c r="W1" s="116">
        <v>343.5</v>
      </c>
    </row>
    <row r="2" spans="1:28">
      <c r="A2" s="115" t="s">
        <v>20</v>
      </c>
      <c r="B2" s="115" t="s">
        <v>21</v>
      </c>
      <c r="C2" s="115" t="s">
        <v>22</v>
      </c>
      <c r="D2" s="115" t="s">
        <v>23</v>
      </c>
      <c r="E2" s="115" t="s">
        <v>24</v>
      </c>
      <c r="F2" s="115" t="s">
        <v>39</v>
      </c>
      <c r="G2" s="115" t="s">
        <v>25</v>
      </c>
      <c r="H2" s="115"/>
      <c r="I2" s="117" t="s">
        <v>26</v>
      </c>
      <c r="J2" s="117" t="s">
        <v>27</v>
      </c>
      <c r="K2" s="115" t="s">
        <v>28</v>
      </c>
      <c r="L2" s="115" t="s">
        <v>29</v>
      </c>
      <c r="M2" s="117" t="s">
        <v>30</v>
      </c>
      <c r="N2" s="697" t="s">
        <v>1204</v>
      </c>
      <c r="O2" s="115" t="s">
        <v>31</v>
      </c>
      <c r="P2" s="115" t="s">
        <v>32</v>
      </c>
      <c r="Q2" s="115" t="s">
        <v>33</v>
      </c>
      <c r="R2" s="115" t="s">
        <v>34</v>
      </c>
      <c r="S2" s="120" t="s">
        <v>35</v>
      </c>
      <c r="T2" s="115" t="s">
        <v>36</v>
      </c>
      <c r="U2" s="115" t="s">
        <v>37</v>
      </c>
      <c r="V2" s="115"/>
      <c r="W2" s="115" t="s">
        <v>678</v>
      </c>
      <c r="X2" s="221" t="s">
        <v>705</v>
      </c>
      <c r="Y2" s="221" t="s">
        <v>703</v>
      </c>
      <c r="Z2" s="221" t="s">
        <v>704</v>
      </c>
      <c r="AA2" s="221" t="s">
        <v>157</v>
      </c>
      <c r="AB2" s="116" t="s">
        <v>378</v>
      </c>
    </row>
    <row r="3" spans="1:28">
      <c r="A3" s="119" t="s">
        <v>110</v>
      </c>
      <c r="B3" s="137" t="s">
        <v>233</v>
      </c>
      <c r="C3" s="137" t="s">
        <v>176</v>
      </c>
      <c r="D3" s="137" t="s">
        <v>42</v>
      </c>
      <c r="E3" s="212">
        <v>56</v>
      </c>
      <c r="F3" s="119">
        <v>7</v>
      </c>
      <c r="G3" s="119">
        <f>E3*60+F3</f>
        <v>3367</v>
      </c>
      <c r="H3" s="119"/>
      <c r="I3" s="119"/>
      <c r="J3" s="135" t="s">
        <v>89</v>
      </c>
      <c r="K3" s="119"/>
      <c r="L3" s="119">
        <v>450</v>
      </c>
      <c r="M3" s="223">
        <f>L3/1.1023-$W$1</f>
        <v>64.737321963167915</v>
      </c>
      <c r="N3" s="965">
        <v>90502</v>
      </c>
      <c r="O3" s="119">
        <v>10027</v>
      </c>
      <c r="P3" s="119">
        <v>10030</v>
      </c>
      <c r="Q3" s="119">
        <v>56</v>
      </c>
      <c r="R3" s="119">
        <v>7</v>
      </c>
      <c r="S3" s="967">
        <v>3375.1</v>
      </c>
      <c r="T3" s="119"/>
      <c r="U3" s="119">
        <v>69862</v>
      </c>
      <c r="V3" s="119"/>
      <c r="W3" s="119">
        <f>(S3/60*L3)*1.2</f>
        <v>30375.899999999998</v>
      </c>
      <c r="X3" s="222">
        <v>57</v>
      </c>
      <c r="Y3" s="222">
        <v>56</v>
      </c>
      <c r="Z3" s="222">
        <v>9.6999999999999993</v>
      </c>
      <c r="AA3" s="222">
        <v>3369.7</v>
      </c>
      <c r="AB3" s="116">
        <f>AA3-S3</f>
        <v>-5.4000000000000909</v>
      </c>
    </row>
    <row r="4" spans="1:28">
      <c r="A4" s="119" t="s">
        <v>110</v>
      </c>
      <c r="B4" s="137" t="s">
        <v>234</v>
      </c>
      <c r="C4" s="137" t="s">
        <v>177</v>
      </c>
      <c r="D4" s="137" t="s">
        <v>42</v>
      </c>
      <c r="E4" s="212">
        <v>54</v>
      </c>
      <c r="F4" s="119">
        <v>51</v>
      </c>
      <c r="G4" s="119">
        <f t="shared" ref="G4:G51" si="0">E4*60+F4</f>
        <v>3291</v>
      </c>
      <c r="H4" s="119"/>
      <c r="I4" s="119"/>
      <c r="J4" s="135" t="s">
        <v>89</v>
      </c>
      <c r="K4" s="119"/>
      <c r="L4" s="119">
        <v>450</v>
      </c>
      <c r="M4" s="223">
        <f t="shared" ref="M4:M67" si="1">L4/1.1023-$W$1</f>
        <v>64.737321963167915</v>
      </c>
      <c r="N4" s="965">
        <v>90502</v>
      </c>
      <c r="O4" s="119">
        <v>10027</v>
      </c>
      <c r="P4" s="119">
        <v>10030</v>
      </c>
      <c r="Q4" s="119">
        <v>54</v>
      </c>
      <c r="R4" s="119">
        <v>51</v>
      </c>
      <c r="S4" s="967">
        <v>3287</v>
      </c>
      <c r="T4" s="119"/>
      <c r="U4" s="119">
        <v>69870</v>
      </c>
      <c r="V4" s="119"/>
      <c r="W4" s="119">
        <f t="shared" ref="W4:W67" si="2">(S4/60*L4)*1.2</f>
        <v>29583</v>
      </c>
      <c r="X4" s="222">
        <v>55</v>
      </c>
      <c r="Y4" s="222">
        <v>54</v>
      </c>
      <c r="Z4" s="222">
        <v>51.5</v>
      </c>
      <c r="AA4" s="222">
        <v>3291.5</v>
      </c>
      <c r="AB4" s="116">
        <f t="shared" ref="AB4:AB67" si="3">AA4-S4</f>
        <v>4.5</v>
      </c>
    </row>
    <row r="5" spans="1:28">
      <c r="A5" s="119" t="s">
        <v>110</v>
      </c>
      <c r="B5" s="224" t="s">
        <v>235</v>
      </c>
      <c r="C5" s="224" t="s">
        <v>178</v>
      </c>
      <c r="D5" s="224" t="s">
        <v>42</v>
      </c>
      <c r="E5" s="225">
        <v>76</v>
      </c>
      <c r="F5" s="119">
        <v>47</v>
      </c>
      <c r="G5" s="119">
        <f t="shared" si="0"/>
        <v>4607</v>
      </c>
      <c r="H5" s="119"/>
      <c r="I5" s="119"/>
      <c r="J5" s="135" t="s">
        <v>100</v>
      </c>
      <c r="K5" s="119"/>
      <c r="L5" s="119">
        <v>450</v>
      </c>
      <c r="M5" s="223">
        <f t="shared" si="1"/>
        <v>64.737321963167915</v>
      </c>
      <c r="N5" s="965">
        <v>90502</v>
      </c>
      <c r="O5" s="119">
        <v>10027</v>
      </c>
      <c r="P5" s="119">
        <v>10030</v>
      </c>
      <c r="Q5" s="119">
        <v>76</v>
      </c>
      <c r="R5" s="119">
        <v>47</v>
      </c>
      <c r="S5" s="967">
        <v>4646.3999999999996</v>
      </c>
      <c r="T5" s="119"/>
      <c r="U5" s="119">
        <v>69875</v>
      </c>
      <c r="V5" s="119"/>
      <c r="W5" s="119">
        <f t="shared" si="2"/>
        <v>41817.599999999999</v>
      </c>
      <c r="X5" s="222">
        <v>77</v>
      </c>
      <c r="Y5" s="222">
        <v>76</v>
      </c>
      <c r="Z5" s="222">
        <v>54.7</v>
      </c>
      <c r="AA5" s="222">
        <v>4614.7</v>
      </c>
      <c r="AB5" s="116">
        <f t="shared" si="3"/>
        <v>-31.699999999999818</v>
      </c>
    </row>
    <row r="6" spans="1:28">
      <c r="A6" s="119" t="s">
        <v>110</v>
      </c>
      <c r="B6" s="137" t="s">
        <v>236</v>
      </c>
      <c r="C6" s="137" t="s">
        <v>179</v>
      </c>
      <c r="D6" s="137" t="s">
        <v>42</v>
      </c>
      <c r="E6" s="212">
        <v>59</v>
      </c>
      <c r="F6" s="119">
        <v>17</v>
      </c>
      <c r="G6" s="119">
        <f t="shared" si="0"/>
        <v>3557</v>
      </c>
      <c r="H6" s="119"/>
      <c r="I6" s="119"/>
      <c r="J6" s="135" t="s">
        <v>89</v>
      </c>
      <c r="K6" s="119"/>
      <c r="L6" s="119">
        <v>450</v>
      </c>
      <c r="M6" s="223">
        <f t="shared" si="1"/>
        <v>64.737321963167915</v>
      </c>
      <c r="N6" s="965">
        <v>90502</v>
      </c>
      <c r="O6" s="119">
        <v>10027</v>
      </c>
      <c r="P6" s="119">
        <v>10030</v>
      </c>
      <c r="Q6" s="119">
        <v>59</v>
      </c>
      <c r="R6" s="119">
        <v>17</v>
      </c>
      <c r="S6" s="967">
        <v>3564</v>
      </c>
      <c r="T6" s="119"/>
      <c r="U6" s="119">
        <v>69877</v>
      </c>
      <c r="V6" s="119"/>
      <c r="W6" s="119">
        <f t="shared" si="2"/>
        <v>32076</v>
      </c>
      <c r="X6" s="222">
        <v>60</v>
      </c>
      <c r="Y6" s="222">
        <v>59</v>
      </c>
      <c r="Z6" s="222">
        <v>29</v>
      </c>
      <c r="AA6" s="222">
        <v>3569</v>
      </c>
      <c r="AB6" s="116">
        <f t="shared" si="3"/>
        <v>5</v>
      </c>
    </row>
    <row r="7" spans="1:28">
      <c r="A7" s="119" t="s">
        <v>110</v>
      </c>
      <c r="B7" s="137" t="s">
        <v>237</v>
      </c>
      <c r="C7" s="137" t="s">
        <v>180</v>
      </c>
      <c r="D7" s="137" t="s">
        <v>42</v>
      </c>
      <c r="E7" s="212">
        <v>93</v>
      </c>
      <c r="F7" s="119">
        <v>51</v>
      </c>
      <c r="G7" s="119">
        <f t="shared" si="0"/>
        <v>5631</v>
      </c>
      <c r="H7" s="119"/>
      <c r="I7" s="119"/>
      <c r="J7" s="135" t="s">
        <v>89</v>
      </c>
      <c r="K7" s="119"/>
      <c r="L7" s="119">
        <v>450</v>
      </c>
      <c r="M7" s="223">
        <f t="shared" si="1"/>
        <v>64.737321963167915</v>
      </c>
      <c r="N7" s="965">
        <v>90502</v>
      </c>
      <c r="O7" s="119">
        <v>10027</v>
      </c>
      <c r="P7" s="119">
        <v>10030</v>
      </c>
      <c r="Q7" s="119">
        <v>93</v>
      </c>
      <c r="R7" s="119">
        <v>51</v>
      </c>
      <c r="S7" s="967">
        <v>5619.9</v>
      </c>
      <c r="T7" s="119"/>
      <c r="U7" s="119">
        <v>69899</v>
      </c>
      <c r="V7" s="119"/>
      <c r="W7" s="119">
        <f t="shared" si="2"/>
        <v>50579.1</v>
      </c>
      <c r="X7" s="222">
        <v>94</v>
      </c>
      <c r="Y7" s="222">
        <v>93</v>
      </c>
      <c r="Z7" s="222">
        <v>41.4</v>
      </c>
      <c r="AA7" s="222">
        <v>5621.4</v>
      </c>
      <c r="AB7" s="116">
        <f t="shared" si="3"/>
        <v>1.5</v>
      </c>
    </row>
    <row r="8" spans="1:28">
      <c r="A8" s="119" t="s">
        <v>110</v>
      </c>
      <c r="B8" s="137" t="s">
        <v>238</v>
      </c>
      <c r="C8" s="137" t="s">
        <v>181</v>
      </c>
      <c r="D8" s="137" t="s">
        <v>42</v>
      </c>
      <c r="E8" s="212">
        <v>51</v>
      </c>
      <c r="F8" s="119">
        <v>15</v>
      </c>
      <c r="G8" s="119">
        <f t="shared" si="0"/>
        <v>3075</v>
      </c>
      <c r="H8" s="119"/>
      <c r="I8" s="119"/>
      <c r="J8" s="135" t="s">
        <v>89</v>
      </c>
      <c r="K8" s="119"/>
      <c r="L8" s="119">
        <v>450</v>
      </c>
      <c r="M8" s="223">
        <f t="shared" si="1"/>
        <v>64.737321963167915</v>
      </c>
      <c r="N8" s="965">
        <v>90502</v>
      </c>
      <c r="O8" s="119">
        <v>10027</v>
      </c>
      <c r="P8" s="119">
        <v>10030</v>
      </c>
      <c r="Q8" s="119">
        <v>51</v>
      </c>
      <c r="R8" s="119">
        <v>15</v>
      </c>
      <c r="S8" s="967">
        <v>3069.1</v>
      </c>
      <c r="T8" s="119"/>
      <c r="U8" s="119">
        <v>69893</v>
      </c>
      <c r="V8" s="119"/>
      <c r="W8" s="119">
        <f t="shared" si="2"/>
        <v>27621.899999999998</v>
      </c>
      <c r="X8" s="222">
        <v>52</v>
      </c>
      <c r="Y8" s="222">
        <v>51</v>
      </c>
      <c r="Z8" s="222">
        <v>1.2</v>
      </c>
      <c r="AA8" s="222">
        <v>3061.2</v>
      </c>
      <c r="AB8" s="116">
        <f t="shared" si="3"/>
        <v>-7.9000000000000909</v>
      </c>
    </row>
    <row r="9" spans="1:28" ht="15" customHeight="1">
      <c r="A9" s="119" t="s">
        <v>110</v>
      </c>
      <c r="B9" s="137" t="s">
        <v>233</v>
      </c>
      <c r="C9" s="137" t="s">
        <v>182</v>
      </c>
      <c r="D9" s="137" t="s">
        <v>42</v>
      </c>
      <c r="E9" s="212">
        <v>51</v>
      </c>
      <c r="F9" s="119">
        <v>53</v>
      </c>
      <c r="G9" s="119">
        <f t="shared" si="0"/>
        <v>3113</v>
      </c>
      <c r="H9" s="119"/>
      <c r="I9" s="119"/>
      <c r="J9" s="135" t="s">
        <v>89</v>
      </c>
      <c r="K9" s="119"/>
      <c r="L9" s="119">
        <v>450</v>
      </c>
      <c r="M9" s="223">
        <f t="shared" si="1"/>
        <v>64.737321963167915</v>
      </c>
      <c r="N9" s="965">
        <v>90502</v>
      </c>
      <c r="O9" s="119">
        <v>10027</v>
      </c>
      <c r="P9" s="119">
        <v>10030</v>
      </c>
      <c r="Q9" s="119">
        <v>51</v>
      </c>
      <c r="R9" s="119">
        <v>53</v>
      </c>
      <c r="S9" s="967">
        <v>3114.1</v>
      </c>
      <c r="T9" s="119"/>
      <c r="U9" s="119">
        <v>69897</v>
      </c>
      <c r="V9" s="119"/>
      <c r="W9" s="119">
        <f t="shared" si="2"/>
        <v>28026.899999999998</v>
      </c>
      <c r="X9" s="222">
        <v>52</v>
      </c>
      <c r="Y9" s="222">
        <v>51</v>
      </c>
      <c r="Z9" s="222">
        <v>52.2</v>
      </c>
      <c r="AA9" s="222">
        <v>3112.2</v>
      </c>
      <c r="AB9" s="116">
        <f t="shared" si="3"/>
        <v>-1.9000000000000909</v>
      </c>
    </row>
    <row r="10" spans="1:28">
      <c r="A10" s="119" t="s">
        <v>110</v>
      </c>
      <c r="B10" s="137" t="s">
        <v>236</v>
      </c>
      <c r="C10" s="137" t="s">
        <v>183</v>
      </c>
      <c r="D10" s="137" t="s">
        <v>42</v>
      </c>
      <c r="E10" s="212">
        <v>85</v>
      </c>
      <c r="F10" s="119">
        <v>13</v>
      </c>
      <c r="G10" s="119">
        <f t="shared" si="0"/>
        <v>5113</v>
      </c>
      <c r="H10" s="119"/>
      <c r="I10" s="119"/>
      <c r="J10" s="135" t="s">
        <v>89</v>
      </c>
      <c r="K10" s="119"/>
      <c r="L10" s="119">
        <v>450</v>
      </c>
      <c r="M10" s="223">
        <f t="shared" si="1"/>
        <v>64.737321963167915</v>
      </c>
      <c r="N10" s="965">
        <v>90502</v>
      </c>
      <c r="O10" s="119">
        <v>10027</v>
      </c>
      <c r="P10" s="119">
        <v>10030</v>
      </c>
      <c r="Q10" s="119">
        <v>85</v>
      </c>
      <c r="R10" s="119">
        <v>13</v>
      </c>
      <c r="S10" s="967">
        <v>5129.8999999999996</v>
      </c>
      <c r="T10" s="119"/>
      <c r="U10" s="119">
        <v>69908</v>
      </c>
      <c r="V10" s="119"/>
      <c r="W10" s="119">
        <f t="shared" si="2"/>
        <v>46169.099999999991</v>
      </c>
      <c r="X10" s="222">
        <v>86</v>
      </c>
      <c r="Y10" s="222">
        <v>85</v>
      </c>
      <c r="Z10" s="222">
        <v>21.6</v>
      </c>
      <c r="AA10" s="222">
        <v>5121.6000000000004</v>
      </c>
      <c r="AB10" s="116">
        <f t="shared" si="3"/>
        <v>-8.2999999999992724</v>
      </c>
    </row>
    <row r="11" spans="1:28">
      <c r="A11" s="119" t="s">
        <v>110</v>
      </c>
      <c r="B11" s="137" t="s">
        <v>233</v>
      </c>
      <c r="C11" s="137" t="s">
        <v>184</v>
      </c>
      <c r="D11" s="137" t="s">
        <v>42</v>
      </c>
      <c r="E11" s="212">
        <v>54</v>
      </c>
      <c r="F11" s="119">
        <v>51</v>
      </c>
      <c r="G11" s="119">
        <f t="shared" si="0"/>
        <v>3291</v>
      </c>
      <c r="H11" s="119"/>
      <c r="I11" s="119"/>
      <c r="J11" s="135" t="s">
        <v>89</v>
      </c>
      <c r="K11" s="119"/>
      <c r="L11" s="119">
        <v>450</v>
      </c>
      <c r="M11" s="223">
        <f t="shared" si="1"/>
        <v>64.737321963167915</v>
      </c>
      <c r="N11" s="965">
        <v>90502</v>
      </c>
      <c r="O11" s="119">
        <v>10027</v>
      </c>
      <c r="P11" s="119">
        <v>10030</v>
      </c>
      <c r="Q11" s="119">
        <v>54</v>
      </c>
      <c r="R11" s="119">
        <v>51</v>
      </c>
      <c r="S11" s="967">
        <v>3293.7</v>
      </c>
      <c r="T11" s="119"/>
      <c r="U11" s="119">
        <v>69903</v>
      </c>
      <c r="V11" s="119"/>
      <c r="W11" s="119">
        <f t="shared" si="2"/>
        <v>29643.3</v>
      </c>
      <c r="X11" s="222">
        <v>55</v>
      </c>
      <c r="Y11" s="222">
        <v>54</v>
      </c>
      <c r="Z11" s="222">
        <v>57.5</v>
      </c>
      <c r="AA11" s="222">
        <v>3297.5</v>
      </c>
      <c r="AB11" s="116">
        <f t="shared" si="3"/>
        <v>3.8000000000001819</v>
      </c>
    </row>
    <row r="12" spans="1:28">
      <c r="A12" s="119" t="s">
        <v>110</v>
      </c>
      <c r="B12" s="137" t="s">
        <v>233</v>
      </c>
      <c r="C12" s="137" t="s">
        <v>185</v>
      </c>
      <c r="D12" s="137" t="s">
        <v>42</v>
      </c>
      <c r="E12" s="212">
        <v>52</v>
      </c>
      <c r="F12" s="119">
        <v>24</v>
      </c>
      <c r="G12" s="119">
        <f t="shared" si="0"/>
        <v>3144</v>
      </c>
      <c r="H12" s="119"/>
      <c r="I12" s="119"/>
      <c r="J12" s="135" t="s">
        <v>89</v>
      </c>
      <c r="K12" s="119"/>
      <c r="L12" s="119">
        <v>450</v>
      </c>
      <c r="M12" s="223">
        <f t="shared" si="1"/>
        <v>64.737321963167915</v>
      </c>
      <c r="N12" s="965">
        <v>90502</v>
      </c>
      <c r="O12" s="119">
        <v>10027</v>
      </c>
      <c r="P12" s="119">
        <v>10030</v>
      </c>
      <c r="Q12" s="119">
        <v>52</v>
      </c>
      <c r="R12" s="119">
        <v>24</v>
      </c>
      <c r="S12" s="967">
        <v>3144</v>
      </c>
      <c r="T12" s="119"/>
      <c r="U12" s="119">
        <v>69922</v>
      </c>
      <c r="V12" s="119"/>
      <c r="W12" s="119">
        <f t="shared" si="2"/>
        <v>28296</v>
      </c>
      <c r="X12" s="222">
        <v>53</v>
      </c>
      <c r="Y12" s="222">
        <v>52</v>
      </c>
      <c r="Z12" s="222">
        <v>42.3</v>
      </c>
      <c r="AA12" s="222">
        <v>3162.3</v>
      </c>
      <c r="AB12" s="116">
        <f t="shared" si="3"/>
        <v>18.300000000000182</v>
      </c>
    </row>
    <row r="13" spans="1:28">
      <c r="A13" s="119" t="s">
        <v>110</v>
      </c>
      <c r="B13" s="137" t="s">
        <v>238</v>
      </c>
      <c r="C13" s="137" t="s">
        <v>186</v>
      </c>
      <c r="D13" s="137" t="s">
        <v>42</v>
      </c>
      <c r="E13" s="212">
        <v>68</v>
      </c>
      <c r="F13" s="119">
        <v>20</v>
      </c>
      <c r="G13" s="119">
        <f t="shared" si="0"/>
        <v>4100</v>
      </c>
      <c r="H13" s="119"/>
      <c r="I13" s="119"/>
      <c r="J13" s="135" t="s">
        <v>89</v>
      </c>
      <c r="K13" s="119"/>
      <c r="L13" s="119">
        <v>450</v>
      </c>
      <c r="M13" s="223">
        <f t="shared" si="1"/>
        <v>64.737321963167915</v>
      </c>
      <c r="N13" s="965">
        <v>90502</v>
      </c>
      <c r="O13" s="119">
        <v>10027</v>
      </c>
      <c r="P13" s="119">
        <v>10030</v>
      </c>
      <c r="Q13" s="119">
        <v>68</v>
      </c>
      <c r="R13" s="119">
        <v>20</v>
      </c>
      <c r="S13" s="967">
        <v>4107</v>
      </c>
      <c r="T13" s="119"/>
      <c r="U13" s="119">
        <f>SUM(U3:U12)</f>
        <v>698906</v>
      </c>
      <c r="V13" s="119"/>
      <c r="W13" s="119">
        <f t="shared" si="2"/>
        <v>36963</v>
      </c>
      <c r="X13" s="222">
        <v>69</v>
      </c>
      <c r="Y13" s="222">
        <v>68</v>
      </c>
      <c r="Z13" s="222">
        <v>30.9</v>
      </c>
      <c r="AA13" s="222">
        <v>4110.8999999999996</v>
      </c>
      <c r="AB13" s="116">
        <f t="shared" si="3"/>
        <v>3.8999999999996362</v>
      </c>
    </row>
    <row r="14" spans="1:28">
      <c r="A14" s="119" t="s">
        <v>110</v>
      </c>
      <c r="B14" s="137" t="s">
        <v>239</v>
      </c>
      <c r="C14" s="137" t="s">
        <v>187</v>
      </c>
      <c r="D14" s="137" t="s">
        <v>42</v>
      </c>
      <c r="E14" s="212">
        <v>46</v>
      </c>
      <c r="F14" s="119">
        <v>16</v>
      </c>
      <c r="G14" s="119">
        <f t="shared" si="0"/>
        <v>2776</v>
      </c>
      <c r="H14" s="119"/>
      <c r="I14" s="119"/>
      <c r="J14" s="135" t="s">
        <v>89</v>
      </c>
      <c r="K14" s="119"/>
      <c r="L14" s="119">
        <v>450</v>
      </c>
      <c r="M14" s="223">
        <f t="shared" si="1"/>
        <v>64.737321963167915</v>
      </c>
      <c r="N14" s="965">
        <v>90502</v>
      </c>
      <c r="O14" s="119">
        <v>10027</v>
      </c>
      <c r="P14" s="119">
        <v>10030</v>
      </c>
      <c r="Q14" s="119">
        <v>46</v>
      </c>
      <c r="R14" s="119">
        <v>16</v>
      </c>
      <c r="S14" s="967">
        <v>2771.8</v>
      </c>
      <c r="T14" s="119"/>
      <c r="U14" s="119">
        <v>69920</v>
      </c>
      <c r="V14" s="119"/>
      <c r="W14" s="119">
        <f t="shared" si="2"/>
        <v>24946.200000000004</v>
      </c>
      <c r="X14" s="222">
        <v>47</v>
      </c>
      <c r="Y14" s="222">
        <v>46</v>
      </c>
      <c r="Z14" s="222">
        <v>32.700000000000003</v>
      </c>
      <c r="AA14" s="222">
        <v>2792.7</v>
      </c>
      <c r="AB14" s="116">
        <f t="shared" si="3"/>
        <v>20.899999999999636</v>
      </c>
    </row>
    <row r="15" spans="1:28">
      <c r="A15" s="119" t="s">
        <v>110</v>
      </c>
      <c r="B15" s="137" t="s">
        <v>235</v>
      </c>
      <c r="C15" s="137" t="s">
        <v>188</v>
      </c>
      <c r="D15" s="137" t="s">
        <v>42</v>
      </c>
      <c r="E15" s="212">
        <v>57</v>
      </c>
      <c r="F15" s="119">
        <v>9</v>
      </c>
      <c r="G15" s="119">
        <f t="shared" si="0"/>
        <v>3429</v>
      </c>
      <c r="H15" s="119"/>
      <c r="I15" s="119"/>
      <c r="J15" s="135" t="s">
        <v>89</v>
      </c>
      <c r="K15" s="119"/>
      <c r="L15" s="119">
        <v>450</v>
      </c>
      <c r="M15" s="223">
        <f t="shared" si="1"/>
        <v>64.737321963167915</v>
      </c>
      <c r="N15" s="965">
        <v>90502</v>
      </c>
      <c r="O15" s="119">
        <v>10027</v>
      </c>
      <c r="P15" s="119">
        <v>10030</v>
      </c>
      <c r="Q15" s="119">
        <v>59</v>
      </c>
      <c r="R15" s="119">
        <v>9</v>
      </c>
      <c r="S15" s="967">
        <v>3435.7</v>
      </c>
      <c r="T15" s="119"/>
      <c r="U15" s="119">
        <v>69915</v>
      </c>
      <c r="V15" s="119"/>
      <c r="W15" s="119">
        <f t="shared" si="2"/>
        <v>30921.3</v>
      </c>
      <c r="X15" s="222">
        <v>58</v>
      </c>
      <c r="Y15" s="222">
        <v>57</v>
      </c>
      <c r="Z15" s="222">
        <v>36.799999999999997</v>
      </c>
      <c r="AA15" s="222">
        <v>3456.8</v>
      </c>
      <c r="AB15" s="116">
        <f t="shared" si="3"/>
        <v>21.100000000000364</v>
      </c>
    </row>
    <row r="16" spans="1:28">
      <c r="A16" s="119" t="s">
        <v>110</v>
      </c>
      <c r="B16" s="224" t="s">
        <v>238</v>
      </c>
      <c r="C16" s="224" t="s">
        <v>189</v>
      </c>
      <c r="D16" s="224" t="s">
        <v>42</v>
      </c>
      <c r="E16" s="225">
        <v>50</v>
      </c>
      <c r="F16" s="119">
        <v>19</v>
      </c>
      <c r="G16" s="119">
        <f t="shared" si="0"/>
        <v>3019</v>
      </c>
      <c r="H16" s="119"/>
      <c r="I16" s="119"/>
      <c r="J16" s="135" t="s">
        <v>100</v>
      </c>
      <c r="K16" s="119"/>
      <c r="L16" s="119">
        <v>450</v>
      </c>
      <c r="M16" s="223">
        <f t="shared" si="1"/>
        <v>64.737321963167915</v>
      </c>
      <c r="N16" s="965">
        <v>90502</v>
      </c>
      <c r="O16" s="119">
        <v>10027</v>
      </c>
      <c r="P16" s="119">
        <v>10030</v>
      </c>
      <c r="Q16" s="119">
        <v>50</v>
      </c>
      <c r="R16" s="119">
        <v>19</v>
      </c>
      <c r="S16" s="967">
        <v>3022.5</v>
      </c>
      <c r="T16" s="119"/>
      <c r="U16" s="119">
        <f>SUM(U14:U15)</f>
        <v>139835</v>
      </c>
      <c r="V16" s="119"/>
      <c r="W16" s="119"/>
      <c r="X16" s="222">
        <v>51</v>
      </c>
      <c r="Y16" s="222">
        <v>50</v>
      </c>
      <c r="Z16" s="222">
        <v>23.1</v>
      </c>
      <c r="AA16" s="222">
        <v>3023.1</v>
      </c>
      <c r="AB16" s="116">
        <f t="shared" si="3"/>
        <v>0.59999999999990905</v>
      </c>
    </row>
    <row r="17" spans="1:29">
      <c r="A17" s="119" t="s">
        <v>110</v>
      </c>
      <c r="B17" s="137" t="s">
        <v>238</v>
      </c>
      <c r="C17" s="137" t="s">
        <v>190</v>
      </c>
      <c r="D17" s="137" t="s">
        <v>42</v>
      </c>
      <c r="E17" s="212">
        <v>40</v>
      </c>
      <c r="F17" s="119">
        <v>23</v>
      </c>
      <c r="G17" s="119">
        <f t="shared" si="0"/>
        <v>2423</v>
      </c>
      <c r="H17" s="119"/>
      <c r="I17" s="119"/>
      <c r="J17" s="135" t="s">
        <v>89</v>
      </c>
      <c r="K17" s="119"/>
      <c r="L17" s="119">
        <v>450</v>
      </c>
      <c r="M17" s="223">
        <f t="shared" si="1"/>
        <v>64.737321963167915</v>
      </c>
      <c r="N17" s="965">
        <v>90502</v>
      </c>
      <c r="O17" s="119">
        <v>10027</v>
      </c>
      <c r="P17" s="119">
        <v>10030</v>
      </c>
      <c r="Q17" s="119">
        <v>40</v>
      </c>
      <c r="R17" s="119">
        <v>23</v>
      </c>
      <c r="S17" s="967">
        <v>2440.4</v>
      </c>
      <c r="T17" s="119"/>
      <c r="U17" s="119">
        <v>69932</v>
      </c>
      <c r="V17" s="119"/>
      <c r="W17" s="119">
        <f t="shared" si="2"/>
        <v>21963.599999999999</v>
      </c>
      <c r="X17" s="222">
        <v>41</v>
      </c>
      <c r="Y17" s="222">
        <v>40</v>
      </c>
      <c r="Z17" s="222">
        <v>39.1</v>
      </c>
      <c r="AA17" s="222">
        <v>2439.1</v>
      </c>
      <c r="AB17" s="116">
        <f t="shared" si="3"/>
        <v>-1.3000000000001819</v>
      </c>
    </row>
    <row r="18" spans="1:29">
      <c r="A18" s="119" t="s">
        <v>110</v>
      </c>
      <c r="B18" s="137" t="s">
        <v>233</v>
      </c>
      <c r="C18" s="137" t="s">
        <v>191</v>
      </c>
      <c r="D18" s="137" t="s">
        <v>42</v>
      </c>
      <c r="E18" s="212">
        <v>76</v>
      </c>
      <c r="F18" s="119">
        <v>64</v>
      </c>
      <c r="G18" s="119">
        <f t="shared" si="0"/>
        <v>4624</v>
      </c>
      <c r="H18" s="119"/>
      <c r="I18" s="119"/>
      <c r="J18" s="135" t="s">
        <v>89</v>
      </c>
      <c r="K18" s="119"/>
      <c r="L18" s="119">
        <v>450</v>
      </c>
      <c r="M18" s="223">
        <f t="shared" si="1"/>
        <v>64.737321963167915</v>
      </c>
      <c r="N18" s="965">
        <v>90502</v>
      </c>
      <c r="O18" s="119">
        <v>10027</v>
      </c>
      <c r="P18" s="119">
        <v>10030</v>
      </c>
      <c r="Q18" s="119">
        <v>76</v>
      </c>
      <c r="R18" s="119">
        <v>64</v>
      </c>
      <c r="S18" s="967">
        <v>4608.8</v>
      </c>
      <c r="T18" s="119"/>
      <c r="U18" s="119">
        <v>69889</v>
      </c>
      <c r="V18" s="119"/>
      <c r="W18" s="119">
        <f t="shared" si="2"/>
        <v>41479.199999999997</v>
      </c>
      <c r="X18" s="222">
        <v>77</v>
      </c>
      <c r="Y18" s="222">
        <v>77</v>
      </c>
      <c r="Z18" s="222">
        <v>0.7</v>
      </c>
      <c r="AA18" s="222">
        <v>4620.7</v>
      </c>
      <c r="AB18" s="116">
        <f t="shared" si="3"/>
        <v>11.899999999999636</v>
      </c>
    </row>
    <row r="19" spans="1:29">
      <c r="A19" s="119" t="s">
        <v>110</v>
      </c>
      <c r="B19" s="137" t="s">
        <v>236</v>
      </c>
      <c r="C19" s="137" t="s">
        <v>192</v>
      </c>
      <c r="D19" s="137" t="s">
        <v>42</v>
      </c>
      <c r="E19" s="212">
        <v>88</v>
      </c>
      <c r="F19" s="119">
        <v>37</v>
      </c>
      <c r="G19" s="119">
        <f t="shared" si="0"/>
        <v>5317</v>
      </c>
      <c r="H19" s="119"/>
      <c r="I19" s="119"/>
      <c r="J19" s="135" t="s">
        <v>89</v>
      </c>
      <c r="K19" s="119"/>
      <c r="L19" s="119">
        <v>450</v>
      </c>
      <c r="M19" s="223">
        <f t="shared" si="1"/>
        <v>64.737321963167915</v>
      </c>
      <c r="N19" s="965">
        <v>90502</v>
      </c>
      <c r="O19" s="119">
        <v>10027</v>
      </c>
      <c r="P19" s="119"/>
      <c r="Q19" s="119">
        <v>88</v>
      </c>
      <c r="R19" s="119">
        <v>37</v>
      </c>
      <c r="S19" s="967">
        <v>5317</v>
      </c>
      <c r="T19" s="119"/>
      <c r="U19" s="119">
        <v>69886</v>
      </c>
      <c r="V19" s="119"/>
      <c r="W19" s="119">
        <f t="shared" si="2"/>
        <v>47853</v>
      </c>
      <c r="X19" s="222">
        <v>89</v>
      </c>
      <c r="Y19" s="222">
        <v>88</v>
      </c>
      <c r="Z19" s="222">
        <v>40.9</v>
      </c>
      <c r="AA19" s="222">
        <v>5320.9</v>
      </c>
      <c r="AB19" s="116">
        <f t="shared" si="3"/>
        <v>3.8999999999996362</v>
      </c>
    </row>
    <row r="20" spans="1:29">
      <c r="A20" s="119" t="s">
        <v>110</v>
      </c>
      <c r="B20" s="137" t="s">
        <v>235</v>
      </c>
      <c r="C20" s="137" t="s">
        <v>193</v>
      </c>
      <c r="D20" s="137" t="s">
        <v>43</v>
      </c>
      <c r="E20" s="212">
        <v>95</v>
      </c>
      <c r="F20" s="119">
        <v>53</v>
      </c>
      <c r="G20" s="119">
        <f t="shared" si="0"/>
        <v>5753</v>
      </c>
      <c r="H20" s="119"/>
      <c r="I20" s="119"/>
      <c r="J20" s="135" t="s">
        <v>89</v>
      </c>
      <c r="K20" s="119"/>
      <c r="L20" s="119">
        <v>420</v>
      </c>
      <c r="M20" s="223">
        <f t="shared" si="1"/>
        <v>37.521500498956698</v>
      </c>
      <c r="N20" s="965">
        <v>90502</v>
      </c>
      <c r="O20" s="119">
        <v>10027</v>
      </c>
      <c r="P20" s="119">
        <v>10040</v>
      </c>
      <c r="Q20" s="119">
        <v>95</v>
      </c>
      <c r="R20" s="119">
        <v>53</v>
      </c>
      <c r="S20" s="967">
        <v>5773.4</v>
      </c>
      <c r="T20" s="119"/>
      <c r="U20" s="119">
        <v>69864</v>
      </c>
      <c r="V20" s="119"/>
      <c r="W20" s="119">
        <f t="shared" si="2"/>
        <v>48496.55999999999</v>
      </c>
      <c r="X20" s="222">
        <v>96</v>
      </c>
      <c r="Y20" s="222">
        <v>96</v>
      </c>
      <c r="Z20" s="222">
        <v>16.600000000000001</v>
      </c>
      <c r="AA20" s="222">
        <v>5776.6</v>
      </c>
      <c r="AB20" s="116">
        <f t="shared" si="3"/>
        <v>3.2000000000007276</v>
      </c>
    </row>
    <row r="21" spans="1:29">
      <c r="A21" s="119" t="s">
        <v>110</v>
      </c>
      <c r="B21" s="137" t="s">
        <v>236</v>
      </c>
      <c r="C21" s="137" t="s">
        <v>194</v>
      </c>
      <c r="D21" s="137" t="s">
        <v>43</v>
      </c>
      <c r="E21" s="212">
        <v>68</v>
      </c>
      <c r="F21" s="119">
        <v>8</v>
      </c>
      <c r="G21" s="119">
        <f t="shared" si="0"/>
        <v>4088</v>
      </c>
      <c r="H21" s="119"/>
      <c r="I21" s="119"/>
      <c r="J21" s="135" t="s">
        <v>89</v>
      </c>
      <c r="K21" s="119"/>
      <c r="L21" s="119">
        <v>420</v>
      </c>
      <c r="M21" s="223">
        <f t="shared" si="1"/>
        <v>37.521500498956698</v>
      </c>
      <c r="N21" s="965">
        <v>90502</v>
      </c>
      <c r="O21" s="119">
        <v>10027</v>
      </c>
      <c r="P21" s="119">
        <v>10040</v>
      </c>
      <c r="Q21" s="119">
        <v>68</v>
      </c>
      <c r="R21" s="119">
        <v>8</v>
      </c>
      <c r="S21" s="967">
        <v>4103.8</v>
      </c>
      <c r="T21" s="119"/>
      <c r="U21" s="119">
        <v>69859</v>
      </c>
      <c r="V21" s="119"/>
      <c r="W21" s="119">
        <f t="shared" si="2"/>
        <v>34471.919999999998</v>
      </c>
      <c r="X21" s="222">
        <v>69</v>
      </c>
      <c r="Y21" s="222">
        <v>68</v>
      </c>
      <c r="Z21" s="222">
        <v>26.9</v>
      </c>
      <c r="AA21" s="222">
        <v>4106.8999999999996</v>
      </c>
      <c r="AB21" s="116">
        <f t="shared" si="3"/>
        <v>3.0999999999994543</v>
      </c>
    </row>
    <row r="22" spans="1:29">
      <c r="A22" s="119" t="s">
        <v>110</v>
      </c>
      <c r="B22" s="137" t="s">
        <v>233</v>
      </c>
      <c r="C22" s="137" t="s">
        <v>195</v>
      </c>
      <c r="D22" s="137" t="s">
        <v>43</v>
      </c>
      <c r="E22" s="212">
        <v>74</v>
      </c>
      <c r="F22" s="119">
        <v>64</v>
      </c>
      <c r="G22" s="119">
        <f t="shared" si="0"/>
        <v>4504</v>
      </c>
      <c r="H22" s="119"/>
      <c r="I22" s="119"/>
      <c r="J22" s="135" t="s">
        <v>89</v>
      </c>
      <c r="K22" s="119"/>
      <c r="L22" s="119">
        <v>420</v>
      </c>
      <c r="M22" s="223">
        <f t="shared" si="1"/>
        <v>37.521500498956698</v>
      </c>
      <c r="N22" s="965">
        <v>90502</v>
      </c>
      <c r="O22" s="119">
        <v>10027</v>
      </c>
      <c r="P22" s="119">
        <v>10040</v>
      </c>
      <c r="Q22" s="119">
        <v>74</v>
      </c>
      <c r="R22" s="119">
        <v>64</v>
      </c>
      <c r="S22" s="967">
        <v>4507.8999999999996</v>
      </c>
      <c r="T22" s="119"/>
      <c r="U22" s="119">
        <v>69860</v>
      </c>
      <c r="V22" s="119"/>
      <c r="W22" s="119">
        <f t="shared" si="2"/>
        <v>37866.359999999993</v>
      </c>
      <c r="X22" s="222">
        <v>75</v>
      </c>
      <c r="Y22" s="222">
        <v>75</v>
      </c>
      <c r="Z22" s="222">
        <v>4.5</v>
      </c>
      <c r="AA22" s="222">
        <v>4504.5</v>
      </c>
      <c r="AB22" s="116">
        <f t="shared" si="3"/>
        <v>-3.3999999999996362</v>
      </c>
    </row>
    <row r="23" spans="1:29">
      <c r="A23" s="119" t="s">
        <v>110</v>
      </c>
      <c r="B23" s="137" t="s">
        <v>237</v>
      </c>
      <c r="C23" s="137" t="s">
        <v>196</v>
      </c>
      <c r="D23" s="137" t="s">
        <v>43</v>
      </c>
      <c r="E23" s="212">
        <v>71</v>
      </c>
      <c r="F23" s="119">
        <v>66</v>
      </c>
      <c r="G23" s="119">
        <f t="shared" si="0"/>
        <v>4326</v>
      </c>
      <c r="H23" s="119" t="s">
        <v>1375</v>
      </c>
      <c r="I23" s="119"/>
      <c r="J23" s="135" t="s">
        <v>89</v>
      </c>
      <c r="K23" s="119"/>
      <c r="L23" s="119">
        <v>420</v>
      </c>
      <c r="M23" s="223">
        <f t="shared" si="1"/>
        <v>37.521500498956698</v>
      </c>
      <c r="N23" s="965">
        <v>90502</v>
      </c>
      <c r="O23" s="119">
        <v>10027</v>
      </c>
      <c r="P23" s="119">
        <v>10040</v>
      </c>
      <c r="Q23" s="119">
        <v>71</v>
      </c>
      <c r="R23" s="119">
        <v>66</v>
      </c>
      <c r="S23" s="967">
        <v>4334.8999999999996</v>
      </c>
      <c r="T23" s="119"/>
      <c r="U23" s="119">
        <v>69861</v>
      </c>
      <c r="V23" s="119"/>
      <c r="W23" s="119">
        <f t="shared" si="2"/>
        <v>36413.159999999996</v>
      </c>
      <c r="X23" s="222">
        <v>72</v>
      </c>
      <c r="Y23" s="222">
        <v>72</v>
      </c>
      <c r="Z23" s="222">
        <v>13.2</v>
      </c>
      <c r="AA23" s="222">
        <v>4333.2</v>
      </c>
      <c r="AB23" s="116">
        <f t="shared" si="3"/>
        <v>-1.6999999999998181</v>
      </c>
    </row>
    <row r="24" spans="1:29">
      <c r="A24" s="119" t="s">
        <v>110</v>
      </c>
      <c r="B24" s="137" t="s">
        <v>240</v>
      </c>
      <c r="C24" s="137" t="s">
        <v>197</v>
      </c>
      <c r="D24" s="137" t="s">
        <v>43</v>
      </c>
      <c r="E24" s="212">
        <v>50</v>
      </c>
      <c r="F24" s="119">
        <v>22</v>
      </c>
      <c r="G24" s="119">
        <f t="shared" si="0"/>
        <v>3022</v>
      </c>
      <c r="H24" s="223">
        <v>350</v>
      </c>
      <c r="I24" s="119"/>
      <c r="J24" s="135" t="s">
        <v>89</v>
      </c>
      <c r="K24" s="119"/>
      <c r="L24" s="119">
        <v>420</v>
      </c>
      <c r="M24" s="223">
        <f t="shared" si="1"/>
        <v>37.521500498956698</v>
      </c>
      <c r="N24" s="965">
        <v>90502</v>
      </c>
      <c r="O24" s="119">
        <v>10027</v>
      </c>
      <c r="P24" s="119">
        <v>10040</v>
      </c>
      <c r="Q24" s="119">
        <v>50</v>
      </c>
      <c r="R24" s="119">
        <v>22</v>
      </c>
      <c r="S24" s="967">
        <v>3034.4</v>
      </c>
      <c r="T24" s="119"/>
      <c r="U24" s="119">
        <v>69858</v>
      </c>
      <c r="V24" s="119"/>
      <c r="W24" s="119">
        <f t="shared" si="2"/>
        <v>25488.960000000003</v>
      </c>
      <c r="X24" s="222">
        <v>51</v>
      </c>
      <c r="Y24" s="222">
        <v>50</v>
      </c>
      <c r="Z24" s="222">
        <v>25.1</v>
      </c>
      <c r="AA24" s="222">
        <v>3025.1</v>
      </c>
      <c r="AB24" s="116">
        <f t="shared" si="3"/>
        <v>-9.3000000000001819</v>
      </c>
    </row>
    <row r="25" spans="1:29">
      <c r="A25" s="119" t="s">
        <v>110</v>
      </c>
      <c r="B25" s="137" t="s">
        <v>236</v>
      </c>
      <c r="C25" s="137" t="s">
        <v>198</v>
      </c>
      <c r="D25" s="137" t="s">
        <v>43</v>
      </c>
      <c r="E25" s="212">
        <v>64</v>
      </c>
      <c r="F25" s="119">
        <v>26</v>
      </c>
      <c r="G25" s="119">
        <f t="shared" si="0"/>
        <v>3866</v>
      </c>
      <c r="H25" s="223">
        <f t="shared" ref="H25" si="4">G25/1.1023-$W$1</f>
        <v>3163.7121926880159</v>
      </c>
      <c r="I25" s="119"/>
      <c r="J25" s="135" t="s">
        <v>89</v>
      </c>
      <c r="K25" s="119"/>
      <c r="L25" s="119">
        <v>420</v>
      </c>
      <c r="M25" s="223">
        <f t="shared" si="1"/>
        <v>37.521500498956698</v>
      </c>
      <c r="N25" s="965">
        <v>90502</v>
      </c>
      <c r="O25" s="119">
        <v>10027</v>
      </c>
      <c r="P25" s="119">
        <v>10040</v>
      </c>
      <c r="Q25" s="119">
        <v>64</v>
      </c>
      <c r="R25" s="119">
        <v>26</v>
      </c>
      <c r="S25" s="967">
        <v>3877.1</v>
      </c>
      <c r="T25" s="119"/>
      <c r="U25" s="119">
        <v>69857</v>
      </c>
      <c r="V25" s="119"/>
      <c r="W25" s="119">
        <f t="shared" si="2"/>
        <v>32567.639999999996</v>
      </c>
      <c r="X25" s="222">
        <v>65</v>
      </c>
      <c r="Y25" s="222">
        <v>64</v>
      </c>
      <c r="Z25" s="222">
        <v>41.5</v>
      </c>
      <c r="AA25" s="222">
        <v>3881.5</v>
      </c>
      <c r="AB25" s="116">
        <f t="shared" si="3"/>
        <v>4.4000000000000909</v>
      </c>
    </row>
    <row r="26" spans="1:29">
      <c r="A26" s="119" t="s">
        <v>110</v>
      </c>
      <c r="B26" s="137" t="s">
        <v>233</v>
      </c>
      <c r="C26" s="137" t="s">
        <v>176</v>
      </c>
      <c r="D26" s="137" t="s">
        <v>43</v>
      </c>
      <c r="E26" s="212">
        <v>54</v>
      </c>
      <c r="F26" s="119">
        <v>52</v>
      </c>
      <c r="G26" s="119">
        <f t="shared" si="0"/>
        <v>3292</v>
      </c>
      <c r="H26" s="119"/>
      <c r="I26" s="119"/>
      <c r="J26" s="135" t="s">
        <v>89</v>
      </c>
      <c r="K26" s="119"/>
      <c r="L26" s="119">
        <v>420</v>
      </c>
      <c r="M26" s="223">
        <f t="shared" si="1"/>
        <v>37.521500498956698</v>
      </c>
      <c r="N26" s="965">
        <v>90502</v>
      </c>
      <c r="O26" s="119">
        <v>10027</v>
      </c>
      <c r="P26" s="119">
        <v>10040</v>
      </c>
      <c r="Q26" s="119">
        <v>54</v>
      </c>
      <c r="R26" s="119">
        <v>52</v>
      </c>
      <c r="S26" s="967">
        <v>3301.3</v>
      </c>
      <c r="T26" s="119"/>
      <c r="U26" s="119">
        <v>69863</v>
      </c>
      <c r="V26" s="119"/>
      <c r="W26" s="119">
        <f t="shared" si="2"/>
        <v>27730.920000000002</v>
      </c>
      <c r="X26" s="222">
        <v>55</v>
      </c>
      <c r="Y26" s="222">
        <v>55</v>
      </c>
      <c r="Z26" s="222">
        <v>2.5</v>
      </c>
      <c r="AA26" s="222">
        <v>3302.5</v>
      </c>
      <c r="AB26" s="116">
        <f t="shared" si="3"/>
        <v>1.1999999999998181</v>
      </c>
    </row>
    <row r="27" spans="1:29">
      <c r="A27" s="119" t="s">
        <v>110</v>
      </c>
      <c r="B27" s="137" t="s">
        <v>239</v>
      </c>
      <c r="C27" s="137" t="s">
        <v>199</v>
      </c>
      <c r="D27" s="137" t="s">
        <v>43</v>
      </c>
      <c r="E27" s="212">
        <v>55</v>
      </c>
      <c r="F27" s="119">
        <v>56</v>
      </c>
      <c r="G27" s="119">
        <f t="shared" si="0"/>
        <v>3356</v>
      </c>
      <c r="H27" s="1130">
        <v>64.737321963167915</v>
      </c>
      <c r="I27" s="119"/>
      <c r="J27" s="135" t="s">
        <v>89</v>
      </c>
      <c r="K27" s="119"/>
      <c r="L27" s="119">
        <v>420</v>
      </c>
      <c r="M27" s="223">
        <f t="shared" si="1"/>
        <v>37.521500498956698</v>
      </c>
      <c r="N27" s="965">
        <v>90502</v>
      </c>
      <c r="O27" s="119">
        <v>10027</v>
      </c>
      <c r="P27" s="119">
        <v>10040</v>
      </c>
      <c r="Q27" s="119">
        <v>55</v>
      </c>
      <c r="R27" s="119">
        <v>56</v>
      </c>
      <c r="S27" s="967">
        <v>3370.6</v>
      </c>
      <c r="T27" s="119"/>
      <c r="U27" s="119">
        <v>69856</v>
      </c>
      <c r="V27" s="119"/>
      <c r="W27" s="119">
        <f t="shared" si="2"/>
        <v>28313.039999999997</v>
      </c>
      <c r="X27" s="222">
        <v>56</v>
      </c>
      <c r="Y27" s="222">
        <v>56</v>
      </c>
      <c r="Z27" s="222">
        <v>11.6</v>
      </c>
      <c r="AA27" s="222">
        <v>3371.6</v>
      </c>
      <c r="AB27" s="116">
        <f t="shared" si="3"/>
        <v>1</v>
      </c>
    </row>
    <row r="28" spans="1:29">
      <c r="A28" s="119" t="s">
        <v>110</v>
      </c>
      <c r="B28" s="137" t="s">
        <v>234</v>
      </c>
      <c r="C28" s="137" t="s">
        <v>200</v>
      </c>
      <c r="D28" s="137" t="s">
        <v>43</v>
      </c>
      <c r="E28" s="212">
        <v>54</v>
      </c>
      <c r="F28" s="119">
        <v>32</v>
      </c>
      <c r="G28" s="119">
        <f t="shared" si="0"/>
        <v>3272</v>
      </c>
      <c r="H28" s="1130">
        <v>64.737321963167915</v>
      </c>
      <c r="I28" s="119"/>
      <c r="J28" s="135" t="s">
        <v>89</v>
      </c>
      <c r="K28" s="119"/>
      <c r="L28" s="119">
        <v>420</v>
      </c>
      <c r="M28" s="223">
        <f t="shared" si="1"/>
        <v>37.521500498956698</v>
      </c>
      <c r="N28" s="965">
        <v>90502</v>
      </c>
      <c r="O28" s="119">
        <v>10027</v>
      </c>
      <c r="P28" s="119">
        <v>10040</v>
      </c>
      <c r="Q28" s="119">
        <v>54</v>
      </c>
      <c r="R28" s="119">
        <v>32</v>
      </c>
      <c r="S28" s="967">
        <v>3288.2</v>
      </c>
      <c r="T28" s="119"/>
      <c r="U28" s="119">
        <v>69869</v>
      </c>
      <c r="V28" s="119"/>
      <c r="W28" s="119">
        <f t="shared" si="2"/>
        <v>27620.879999999997</v>
      </c>
      <c r="X28" s="222">
        <v>55</v>
      </c>
      <c r="Y28" s="222">
        <v>54</v>
      </c>
      <c r="Z28" s="222">
        <v>51.5</v>
      </c>
      <c r="AA28" s="222">
        <v>3291.5</v>
      </c>
      <c r="AB28" s="116">
        <f t="shared" si="3"/>
        <v>3.3000000000001819</v>
      </c>
    </row>
    <row r="29" spans="1:29">
      <c r="A29" s="119" t="s">
        <v>110</v>
      </c>
      <c r="B29" s="224" t="s">
        <v>235</v>
      </c>
      <c r="C29" s="224" t="s">
        <v>178</v>
      </c>
      <c r="D29" s="224" t="s">
        <v>43</v>
      </c>
      <c r="E29" s="225">
        <v>49</v>
      </c>
      <c r="F29" s="119">
        <v>43</v>
      </c>
      <c r="G29" s="119">
        <f t="shared" si="0"/>
        <v>2983</v>
      </c>
      <c r="H29" s="1130">
        <v>64.737321963167915</v>
      </c>
      <c r="I29" s="119"/>
      <c r="J29" s="135" t="s">
        <v>100</v>
      </c>
      <c r="K29" s="119"/>
      <c r="L29" s="119">
        <v>420</v>
      </c>
      <c r="M29" s="223">
        <f t="shared" si="1"/>
        <v>37.521500498956698</v>
      </c>
      <c r="N29" s="965">
        <v>90502</v>
      </c>
      <c r="O29" s="119">
        <v>10027</v>
      </c>
      <c r="P29" s="119">
        <v>10040</v>
      </c>
      <c r="Q29" s="119">
        <v>49</v>
      </c>
      <c r="R29" s="119">
        <v>43</v>
      </c>
      <c r="S29" s="706">
        <v>2986.6</v>
      </c>
      <c r="T29" s="119"/>
      <c r="U29" s="119"/>
      <c r="V29" s="119" t="s">
        <v>488</v>
      </c>
      <c r="W29" s="119">
        <f t="shared" si="2"/>
        <v>25087.439999999995</v>
      </c>
      <c r="X29" s="222"/>
      <c r="Y29" s="222"/>
      <c r="Z29" s="222"/>
      <c r="AA29" s="222"/>
      <c r="AB29" s="116">
        <f t="shared" si="3"/>
        <v>-2986.6</v>
      </c>
    </row>
    <row r="30" spans="1:29">
      <c r="A30" s="119" t="s">
        <v>110</v>
      </c>
      <c r="B30" s="119" t="s">
        <v>239</v>
      </c>
      <c r="C30" s="119" t="s">
        <v>201</v>
      </c>
      <c r="D30" s="119" t="s">
        <v>43</v>
      </c>
      <c r="E30" s="227">
        <v>51</v>
      </c>
      <c r="F30" s="119">
        <v>17</v>
      </c>
      <c r="G30" s="119">
        <f t="shared" si="0"/>
        <v>3077</v>
      </c>
      <c r="H30" s="119"/>
      <c r="I30" s="119"/>
      <c r="J30" s="135" t="s">
        <v>89</v>
      </c>
      <c r="K30" s="119"/>
      <c r="L30" s="119">
        <v>420</v>
      </c>
      <c r="M30" s="223">
        <f t="shared" si="1"/>
        <v>37.521500498956698</v>
      </c>
      <c r="N30" s="965">
        <v>90502</v>
      </c>
      <c r="O30" s="119">
        <v>10027</v>
      </c>
      <c r="P30" s="119">
        <v>10040</v>
      </c>
      <c r="Q30" s="119">
        <v>51</v>
      </c>
      <c r="R30" s="119">
        <v>17</v>
      </c>
      <c r="S30" s="967">
        <v>3080.5</v>
      </c>
      <c r="T30" s="119"/>
      <c r="U30" s="119">
        <v>69873</v>
      </c>
      <c r="V30" s="119"/>
      <c r="W30" s="119">
        <f t="shared" si="2"/>
        <v>25876.2</v>
      </c>
      <c r="X30" s="222">
        <v>52</v>
      </c>
      <c r="Y30" s="222">
        <v>51</v>
      </c>
      <c r="Z30" s="222">
        <v>13.2</v>
      </c>
      <c r="AA30" s="222">
        <v>3073.2</v>
      </c>
      <c r="AB30" s="116">
        <f t="shared" si="3"/>
        <v>-7.3000000000001819</v>
      </c>
    </row>
    <row r="31" spans="1:29">
      <c r="A31" s="554" t="s">
        <v>110</v>
      </c>
      <c r="B31" s="578" t="s">
        <v>233</v>
      </c>
      <c r="C31" s="578" t="s">
        <v>202</v>
      </c>
      <c r="D31" s="578" t="s">
        <v>43</v>
      </c>
      <c r="E31" s="579">
        <v>64</v>
      </c>
      <c r="F31" s="554">
        <v>49</v>
      </c>
      <c r="G31" s="554">
        <f t="shared" si="0"/>
        <v>3889</v>
      </c>
      <c r="H31" s="554"/>
      <c r="I31" s="554"/>
      <c r="J31" s="564" t="s">
        <v>100</v>
      </c>
      <c r="K31" s="554"/>
      <c r="L31" s="554">
        <v>420</v>
      </c>
      <c r="M31" s="572">
        <f t="shared" si="1"/>
        <v>37.521500498956698</v>
      </c>
      <c r="N31" s="965">
        <v>90502</v>
      </c>
      <c r="O31" s="554">
        <v>10027</v>
      </c>
      <c r="P31" s="554">
        <v>10040</v>
      </c>
      <c r="Q31" s="554">
        <v>64</v>
      </c>
      <c r="R31" s="554">
        <v>49</v>
      </c>
      <c r="S31" s="968">
        <v>3899.6</v>
      </c>
      <c r="T31" s="554"/>
      <c r="U31" s="554">
        <v>69874</v>
      </c>
      <c r="V31" s="554"/>
      <c r="W31" s="554">
        <f t="shared" si="2"/>
        <v>32756.639999999996</v>
      </c>
      <c r="X31" s="562">
        <v>65</v>
      </c>
      <c r="Y31" s="562">
        <v>65</v>
      </c>
      <c r="Z31" s="562">
        <v>4.5</v>
      </c>
      <c r="AA31" s="562">
        <v>3904.5</v>
      </c>
      <c r="AB31" s="571">
        <f t="shared" si="3"/>
        <v>4.9000000000000909</v>
      </c>
      <c r="AC31" s="571"/>
    </row>
    <row r="32" spans="1:29">
      <c r="A32" s="119" t="s">
        <v>110</v>
      </c>
      <c r="B32" s="119" t="s">
        <v>239</v>
      </c>
      <c r="C32" s="119" t="s">
        <v>203</v>
      </c>
      <c r="D32" s="119" t="s">
        <v>43</v>
      </c>
      <c r="E32" s="227">
        <v>120</v>
      </c>
      <c r="F32" s="119">
        <v>41</v>
      </c>
      <c r="G32" s="119">
        <f t="shared" si="0"/>
        <v>7241</v>
      </c>
      <c r="H32" s="119"/>
      <c r="I32" s="119"/>
      <c r="J32" s="135" t="s">
        <v>89</v>
      </c>
      <c r="K32" s="119"/>
      <c r="L32" s="119">
        <v>420</v>
      </c>
      <c r="M32" s="223">
        <f t="shared" si="1"/>
        <v>37.521500498956698</v>
      </c>
      <c r="N32" s="965">
        <v>90502</v>
      </c>
      <c r="O32" s="119">
        <v>10027</v>
      </c>
      <c r="P32" s="119">
        <v>10040</v>
      </c>
      <c r="Q32" s="119">
        <v>120</v>
      </c>
      <c r="R32" s="119">
        <v>41</v>
      </c>
      <c r="S32" s="967">
        <v>7268.2</v>
      </c>
      <c r="T32" s="119"/>
      <c r="U32" s="119">
        <v>69882</v>
      </c>
      <c r="V32" s="119"/>
      <c r="W32" s="119">
        <f t="shared" si="2"/>
        <v>61052.88</v>
      </c>
      <c r="X32" s="222">
        <v>121</v>
      </c>
      <c r="Y32" s="222">
        <v>121</v>
      </c>
      <c r="Z32" s="222">
        <v>40.1</v>
      </c>
      <c r="AA32" s="222">
        <v>7300.1</v>
      </c>
      <c r="AB32" s="116">
        <f t="shared" si="3"/>
        <v>31.900000000000546</v>
      </c>
    </row>
    <row r="33" spans="1:29">
      <c r="A33" s="119" t="s">
        <v>110</v>
      </c>
      <c r="B33" s="137" t="s">
        <v>236</v>
      </c>
      <c r="C33" s="137" t="s">
        <v>179</v>
      </c>
      <c r="D33" s="137" t="s">
        <v>43</v>
      </c>
      <c r="E33" s="212">
        <v>58</v>
      </c>
      <c r="F33" s="119">
        <v>64</v>
      </c>
      <c r="G33" s="119">
        <f t="shared" si="0"/>
        <v>3544</v>
      </c>
      <c r="H33" s="119"/>
      <c r="I33" s="119"/>
      <c r="J33" s="135" t="s">
        <v>89</v>
      </c>
      <c r="K33" s="119"/>
      <c r="L33" s="119">
        <v>420</v>
      </c>
      <c r="M33" s="223">
        <f t="shared" si="1"/>
        <v>37.521500498956698</v>
      </c>
      <c r="N33" s="965">
        <v>90502</v>
      </c>
      <c r="O33" s="119">
        <v>10027</v>
      </c>
      <c r="P33" s="119">
        <v>10040</v>
      </c>
      <c r="Q33" s="119">
        <v>58</v>
      </c>
      <c r="R33" s="119">
        <v>64</v>
      </c>
      <c r="S33" s="967">
        <v>3547.1</v>
      </c>
      <c r="T33" s="119"/>
      <c r="U33" s="119">
        <v>69878</v>
      </c>
      <c r="V33" s="119"/>
      <c r="W33" s="119">
        <f t="shared" si="2"/>
        <v>29795.64</v>
      </c>
      <c r="X33" s="222">
        <v>59</v>
      </c>
      <c r="Y33" s="222">
        <v>59</v>
      </c>
      <c r="Z33" s="222">
        <v>0.9</v>
      </c>
      <c r="AA33" s="222">
        <v>3540.9</v>
      </c>
      <c r="AB33" s="116">
        <f t="shared" si="3"/>
        <v>-6.1999999999998181</v>
      </c>
    </row>
    <row r="34" spans="1:29">
      <c r="A34" s="119" t="s">
        <v>110</v>
      </c>
      <c r="B34" s="137" t="s">
        <v>236</v>
      </c>
      <c r="C34" s="137" t="s">
        <v>204</v>
      </c>
      <c r="D34" s="137" t="s">
        <v>43</v>
      </c>
      <c r="E34" s="212">
        <v>56</v>
      </c>
      <c r="F34" s="119">
        <v>58</v>
      </c>
      <c r="G34" s="119">
        <f t="shared" si="0"/>
        <v>3418</v>
      </c>
      <c r="H34" s="119"/>
      <c r="I34" s="119"/>
      <c r="J34" s="135" t="s">
        <v>89</v>
      </c>
      <c r="K34" s="119"/>
      <c r="L34" s="119">
        <v>420</v>
      </c>
      <c r="M34" s="223">
        <f t="shared" si="1"/>
        <v>37.521500498956698</v>
      </c>
      <c r="N34" s="965">
        <v>90502</v>
      </c>
      <c r="O34" s="119">
        <v>10027</v>
      </c>
      <c r="P34" s="119">
        <v>10040</v>
      </c>
      <c r="Q34" s="119">
        <v>56</v>
      </c>
      <c r="R34" s="119">
        <v>58</v>
      </c>
      <c r="S34" s="967">
        <v>3420.9</v>
      </c>
      <c r="T34" s="119"/>
      <c r="U34" s="119">
        <v>69890</v>
      </c>
      <c r="V34" s="119"/>
      <c r="W34" s="119">
        <f t="shared" si="2"/>
        <v>28735.559999999998</v>
      </c>
      <c r="X34" s="580">
        <v>57</v>
      </c>
      <c r="Y34" s="581">
        <v>57</v>
      </c>
      <c r="Z34" s="580">
        <v>9.6999999999999993</v>
      </c>
      <c r="AA34" s="581">
        <v>3429.7</v>
      </c>
      <c r="AB34" s="116">
        <f t="shared" si="3"/>
        <v>8.7999999999997272</v>
      </c>
    </row>
    <row r="35" spans="1:29">
      <c r="A35" s="119" t="s">
        <v>110</v>
      </c>
      <c r="B35" s="137" t="s">
        <v>237</v>
      </c>
      <c r="C35" s="137" t="s">
        <v>180</v>
      </c>
      <c r="D35" s="137" t="s">
        <v>43</v>
      </c>
      <c r="E35" s="212">
        <v>81</v>
      </c>
      <c r="F35" s="119">
        <v>36</v>
      </c>
      <c r="G35" s="119">
        <f t="shared" si="0"/>
        <v>4896</v>
      </c>
      <c r="H35" s="119"/>
      <c r="I35" s="119"/>
      <c r="J35" s="135" t="s">
        <v>89</v>
      </c>
      <c r="K35" s="119"/>
      <c r="L35" s="119">
        <v>420</v>
      </c>
      <c r="M35" s="223">
        <f t="shared" si="1"/>
        <v>37.521500498956698</v>
      </c>
      <c r="N35" s="965">
        <v>90502</v>
      </c>
      <c r="O35" s="119">
        <v>10027</v>
      </c>
      <c r="P35" s="119">
        <v>10040</v>
      </c>
      <c r="Q35" s="119">
        <v>81</v>
      </c>
      <c r="R35" s="119">
        <v>36</v>
      </c>
      <c r="S35" s="967">
        <v>4887.7</v>
      </c>
      <c r="T35" s="119"/>
      <c r="U35" s="119">
        <v>69900</v>
      </c>
      <c r="V35" s="119"/>
      <c r="W35" s="119">
        <f t="shared" si="2"/>
        <v>41056.679999999993</v>
      </c>
      <c r="X35" s="222">
        <v>82</v>
      </c>
      <c r="Y35" s="222">
        <v>81</v>
      </c>
      <c r="Z35" s="222">
        <v>26.2</v>
      </c>
      <c r="AA35" s="222">
        <v>4886.2</v>
      </c>
      <c r="AB35" s="116">
        <f t="shared" si="3"/>
        <v>-1.5</v>
      </c>
    </row>
    <row r="36" spans="1:29">
      <c r="A36" s="119" t="s">
        <v>110</v>
      </c>
      <c r="B36" s="137" t="s">
        <v>238</v>
      </c>
      <c r="C36" s="137" t="s">
        <v>181</v>
      </c>
      <c r="D36" s="137" t="s">
        <v>43</v>
      </c>
      <c r="E36" s="212">
        <v>56</v>
      </c>
      <c r="F36" s="119">
        <v>9</v>
      </c>
      <c r="G36" s="119">
        <f t="shared" si="0"/>
        <v>3369</v>
      </c>
      <c r="H36" s="119"/>
      <c r="I36" s="119"/>
      <c r="J36" s="135" t="s">
        <v>89</v>
      </c>
      <c r="K36" s="119"/>
      <c r="L36" s="119">
        <v>420</v>
      </c>
      <c r="M36" s="223">
        <f t="shared" si="1"/>
        <v>37.521500498956698</v>
      </c>
      <c r="N36" s="965">
        <v>90502</v>
      </c>
      <c r="O36" s="119">
        <v>10027</v>
      </c>
      <c r="P36" s="119">
        <v>10040</v>
      </c>
      <c r="Q36" s="119">
        <v>56</v>
      </c>
      <c r="R36" s="119">
        <v>9</v>
      </c>
      <c r="S36" s="967">
        <v>3365</v>
      </c>
      <c r="T36" s="119"/>
      <c r="U36" s="119">
        <v>69894</v>
      </c>
      <c r="V36" s="119"/>
      <c r="W36" s="119">
        <f t="shared" si="2"/>
        <v>28266</v>
      </c>
      <c r="X36" s="222">
        <v>57</v>
      </c>
      <c r="Y36" s="222">
        <v>56</v>
      </c>
      <c r="Z36" s="222">
        <v>3.7</v>
      </c>
      <c r="AA36" s="222">
        <v>3363.7</v>
      </c>
      <c r="AB36" s="116">
        <f t="shared" si="3"/>
        <v>-1.3000000000001819</v>
      </c>
    </row>
    <row r="37" spans="1:29">
      <c r="A37" s="119" t="s">
        <v>110</v>
      </c>
      <c r="B37" s="137" t="s">
        <v>233</v>
      </c>
      <c r="C37" s="137" t="s">
        <v>182</v>
      </c>
      <c r="D37" s="137" t="s">
        <v>43</v>
      </c>
      <c r="E37" s="212">
        <v>60</v>
      </c>
      <c r="F37" s="119">
        <v>13</v>
      </c>
      <c r="G37" s="119">
        <f t="shared" si="0"/>
        <v>3613</v>
      </c>
      <c r="H37" s="119"/>
      <c r="I37" s="119"/>
      <c r="J37" s="135" t="s">
        <v>89</v>
      </c>
      <c r="K37" s="119"/>
      <c r="L37" s="119">
        <v>420</v>
      </c>
      <c r="M37" s="223">
        <f t="shared" si="1"/>
        <v>37.521500498956698</v>
      </c>
      <c r="N37" s="965">
        <v>90502</v>
      </c>
      <c r="O37" s="119">
        <v>10027</v>
      </c>
      <c r="P37" s="119">
        <v>10040</v>
      </c>
      <c r="Q37" s="119">
        <v>60</v>
      </c>
      <c r="R37" s="119">
        <v>13</v>
      </c>
      <c r="S37" s="967">
        <v>3618.4</v>
      </c>
      <c r="T37" s="119"/>
      <c r="U37" s="119">
        <v>69898</v>
      </c>
      <c r="V37" s="119"/>
      <c r="W37" s="119">
        <f t="shared" si="2"/>
        <v>30394.559999999998</v>
      </c>
      <c r="X37" s="222">
        <v>61</v>
      </c>
      <c r="Y37" s="222">
        <v>60</v>
      </c>
      <c r="Z37" s="222">
        <v>24.1</v>
      </c>
      <c r="AA37" s="222">
        <v>3624.1</v>
      </c>
      <c r="AB37" s="116">
        <f t="shared" si="3"/>
        <v>5.6999999999998181</v>
      </c>
    </row>
    <row r="38" spans="1:29">
      <c r="A38" s="119" t="s">
        <v>110</v>
      </c>
      <c r="B38" s="224" t="s">
        <v>235</v>
      </c>
      <c r="C38" s="224" t="s">
        <v>205</v>
      </c>
      <c r="D38" s="224" t="s">
        <v>43</v>
      </c>
      <c r="E38" s="225">
        <v>64</v>
      </c>
      <c r="F38" s="119">
        <v>10</v>
      </c>
      <c r="G38" s="119">
        <f t="shared" si="0"/>
        <v>3850</v>
      </c>
      <c r="H38" s="119"/>
      <c r="I38" s="119"/>
      <c r="J38" s="135" t="s">
        <v>100</v>
      </c>
      <c r="K38" s="119"/>
      <c r="L38" s="119">
        <v>420</v>
      </c>
      <c r="M38" s="223">
        <f t="shared" si="1"/>
        <v>37.521500498956698</v>
      </c>
      <c r="N38" s="965">
        <v>90502</v>
      </c>
      <c r="O38" s="119">
        <v>10027</v>
      </c>
      <c r="P38" s="119">
        <v>10040</v>
      </c>
      <c r="Q38" s="119">
        <v>64</v>
      </c>
      <c r="R38" s="119">
        <v>10</v>
      </c>
      <c r="S38" s="967">
        <v>3845.1</v>
      </c>
      <c r="T38" s="119"/>
      <c r="U38" s="119">
        <v>69896</v>
      </c>
      <c r="V38" s="119"/>
      <c r="W38" s="119">
        <f t="shared" si="2"/>
        <v>32298.839999999997</v>
      </c>
      <c r="X38" s="222">
        <v>65</v>
      </c>
      <c r="Y38" s="222">
        <v>64</v>
      </c>
      <c r="Z38" s="222">
        <v>4.5</v>
      </c>
      <c r="AA38" s="222">
        <v>3844.5</v>
      </c>
      <c r="AB38" s="116">
        <f t="shared" si="3"/>
        <v>-0.59999999999990905</v>
      </c>
    </row>
    <row r="39" spans="1:29">
      <c r="A39" s="119" t="s">
        <v>110</v>
      </c>
      <c r="B39" s="137" t="s">
        <v>236</v>
      </c>
      <c r="C39" s="137" t="s">
        <v>183</v>
      </c>
      <c r="D39" s="137" t="s">
        <v>43</v>
      </c>
      <c r="E39" s="212">
        <v>68</v>
      </c>
      <c r="F39" s="119">
        <v>16</v>
      </c>
      <c r="G39" s="119">
        <f t="shared" si="0"/>
        <v>4096</v>
      </c>
      <c r="H39" s="119"/>
      <c r="I39" s="119"/>
      <c r="J39" s="135" t="s">
        <v>89</v>
      </c>
      <c r="K39" s="119"/>
      <c r="L39" s="119">
        <v>420</v>
      </c>
      <c r="M39" s="223">
        <f t="shared" si="1"/>
        <v>37.521500498956698</v>
      </c>
      <c r="N39" s="965">
        <v>90502</v>
      </c>
      <c r="O39" s="119">
        <v>10027</v>
      </c>
      <c r="P39" s="119">
        <v>10040</v>
      </c>
      <c r="Q39" s="119">
        <v>68</v>
      </c>
      <c r="R39" s="119">
        <v>16</v>
      </c>
      <c r="S39" s="967">
        <v>4111.6000000000004</v>
      </c>
      <c r="T39" s="119"/>
      <c r="U39" s="119">
        <v>69909</v>
      </c>
      <c r="V39" s="119"/>
      <c r="W39" s="119">
        <f t="shared" si="2"/>
        <v>34537.440000000002</v>
      </c>
      <c r="X39" s="222">
        <v>69</v>
      </c>
      <c r="Y39" s="222">
        <v>68</v>
      </c>
      <c r="Z39" s="222">
        <v>26.9</v>
      </c>
      <c r="AA39" s="222">
        <v>4106.8999999999996</v>
      </c>
      <c r="AB39" s="116">
        <f t="shared" si="3"/>
        <v>-4.7000000000007276</v>
      </c>
    </row>
    <row r="40" spans="1:29">
      <c r="A40" s="119" t="s">
        <v>110</v>
      </c>
      <c r="B40" s="137" t="s">
        <v>233</v>
      </c>
      <c r="C40" s="137" t="s">
        <v>184</v>
      </c>
      <c r="D40" s="137" t="s">
        <v>43</v>
      </c>
      <c r="E40" s="212">
        <v>59</v>
      </c>
      <c r="F40" s="119">
        <v>62</v>
      </c>
      <c r="G40" s="119">
        <f t="shared" si="0"/>
        <v>3602</v>
      </c>
      <c r="H40" s="119"/>
      <c r="I40" s="119"/>
      <c r="J40" s="135" t="s">
        <v>89</v>
      </c>
      <c r="K40" s="119"/>
      <c r="L40" s="119">
        <v>420</v>
      </c>
      <c r="M40" s="223">
        <f t="shared" si="1"/>
        <v>37.521500498956698</v>
      </c>
      <c r="N40" s="965">
        <v>90502</v>
      </c>
      <c r="O40" s="119">
        <v>10027</v>
      </c>
      <c r="P40" s="119">
        <v>10040</v>
      </c>
      <c r="Q40" s="119">
        <v>56</v>
      </c>
      <c r="R40" s="119">
        <v>62</v>
      </c>
      <c r="S40" s="967">
        <v>3606.1</v>
      </c>
      <c r="T40" s="119"/>
      <c r="U40" s="119">
        <v>69904</v>
      </c>
      <c r="V40" s="119"/>
      <c r="W40" s="119">
        <f t="shared" si="2"/>
        <v>30291.239999999998</v>
      </c>
      <c r="X40" s="222">
        <v>60</v>
      </c>
      <c r="Y40" s="222">
        <v>60</v>
      </c>
      <c r="Z40" s="222">
        <v>9</v>
      </c>
      <c r="AA40" s="222">
        <v>3609</v>
      </c>
      <c r="AB40" s="116">
        <f t="shared" si="3"/>
        <v>2.9000000000000909</v>
      </c>
    </row>
    <row r="41" spans="1:29">
      <c r="A41" s="119" t="s">
        <v>110</v>
      </c>
      <c r="B41" s="137" t="s">
        <v>233</v>
      </c>
      <c r="C41" s="137" t="s">
        <v>185</v>
      </c>
      <c r="D41" s="137" t="s">
        <v>43</v>
      </c>
      <c r="E41" s="212">
        <v>62</v>
      </c>
      <c r="F41" s="119">
        <v>66</v>
      </c>
      <c r="G41" s="119">
        <f t="shared" si="0"/>
        <v>3786</v>
      </c>
      <c r="H41" s="119"/>
      <c r="I41" s="119"/>
      <c r="J41" s="135" t="s">
        <v>89</v>
      </c>
      <c r="K41" s="119"/>
      <c r="L41" s="119">
        <v>420</v>
      </c>
      <c r="M41" s="223">
        <f t="shared" si="1"/>
        <v>37.521500498956698</v>
      </c>
      <c r="N41" s="965">
        <v>90502</v>
      </c>
      <c r="O41" s="119">
        <v>10027</v>
      </c>
      <c r="P41" s="119">
        <v>10040</v>
      </c>
      <c r="Q41" s="119">
        <v>62</v>
      </c>
      <c r="R41" s="119">
        <v>66</v>
      </c>
      <c r="S41" s="967">
        <v>3784</v>
      </c>
      <c r="T41" s="119"/>
      <c r="U41" s="119">
        <v>69923</v>
      </c>
      <c r="V41" s="119"/>
      <c r="W41" s="119">
        <f t="shared" si="2"/>
        <v>31785.599999999999</v>
      </c>
      <c r="X41" s="222">
        <v>63</v>
      </c>
      <c r="Y41" s="222">
        <v>63</v>
      </c>
      <c r="Z41" s="222">
        <v>31.3</v>
      </c>
      <c r="AA41" s="222">
        <v>3811.3</v>
      </c>
      <c r="AB41" s="116">
        <f t="shared" si="3"/>
        <v>27.300000000000182</v>
      </c>
    </row>
    <row r="42" spans="1:29">
      <c r="A42" s="119" t="s">
        <v>110</v>
      </c>
      <c r="B42" s="137" t="s">
        <v>238</v>
      </c>
      <c r="C42" s="137" t="s">
        <v>186</v>
      </c>
      <c r="D42" s="137" t="s">
        <v>43</v>
      </c>
      <c r="E42" s="212">
        <v>67</v>
      </c>
      <c r="F42" s="119">
        <v>53</v>
      </c>
      <c r="G42" s="119">
        <f t="shared" si="0"/>
        <v>4073</v>
      </c>
      <c r="H42" s="119"/>
      <c r="I42" s="119"/>
      <c r="J42" s="135" t="s">
        <v>89</v>
      </c>
      <c r="K42" s="119"/>
      <c r="L42" s="119">
        <v>420</v>
      </c>
      <c r="M42" s="223">
        <f t="shared" si="1"/>
        <v>37.521500498956698</v>
      </c>
      <c r="N42" s="965">
        <v>90502</v>
      </c>
      <c r="O42" s="119">
        <v>10027</v>
      </c>
      <c r="P42" s="119">
        <v>10040</v>
      </c>
      <c r="Q42" s="119">
        <v>67</v>
      </c>
      <c r="R42" s="119">
        <v>53</v>
      </c>
      <c r="S42" s="967">
        <v>4080.3</v>
      </c>
      <c r="T42" s="119"/>
      <c r="U42" s="119">
        <v>69926</v>
      </c>
      <c r="V42" s="119"/>
      <c r="W42" s="119">
        <f t="shared" si="2"/>
        <v>34274.520000000004</v>
      </c>
      <c r="X42" s="222">
        <v>68</v>
      </c>
      <c r="Y42" s="222">
        <v>68</v>
      </c>
      <c r="Z42" s="222">
        <v>29.8</v>
      </c>
      <c r="AA42" s="222">
        <v>4109.8</v>
      </c>
      <c r="AB42" s="116">
        <f t="shared" si="3"/>
        <v>29.5</v>
      </c>
    </row>
    <row r="43" spans="1:29">
      <c r="A43" s="119" t="s">
        <v>110</v>
      </c>
      <c r="B43" s="137" t="s">
        <v>235</v>
      </c>
      <c r="C43" s="137" t="s">
        <v>188</v>
      </c>
      <c r="D43" s="137" t="s">
        <v>43</v>
      </c>
      <c r="E43" s="212">
        <v>62</v>
      </c>
      <c r="F43" s="119">
        <v>66</v>
      </c>
      <c r="G43" s="119">
        <f t="shared" si="0"/>
        <v>3786</v>
      </c>
      <c r="H43" s="119"/>
      <c r="I43" s="119"/>
      <c r="J43" s="135" t="s">
        <v>89</v>
      </c>
      <c r="K43" s="119"/>
      <c r="L43" s="119">
        <v>420</v>
      </c>
      <c r="M43" s="223">
        <f t="shared" si="1"/>
        <v>37.521500498956698</v>
      </c>
      <c r="N43" s="965">
        <v>90502</v>
      </c>
      <c r="O43" s="119">
        <v>10027</v>
      </c>
      <c r="P43" s="119">
        <v>10040</v>
      </c>
      <c r="Q43" s="119">
        <v>62</v>
      </c>
      <c r="R43" s="119">
        <v>66</v>
      </c>
      <c r="S43" s="967">
        <v>3790</v>
      </c>
      <c r="T43" s="119"/>
      <c r="U43" s="119">
        <v>69916</v>
      </c>
      <c r="V43" s="119"/>
      <c r="W43" s="119">
        <f t="shared" si="2"/>
        <v>31836</v>
      </c>
      <c r="X43" s="222">
        <v>63</v>
      </c>
      <c r="Y43" s="222">
        <v>63</v>
      </c>
      <c r="Z43" s="222">
        <v>39.299999999999997</v>
      </c>
      <c r="AA43" s="222">
        <v>3819.3</v>
      </c>
      <c r="AB43" s="116">
        <f t="shared" si="3"/>
        <v>29.300000000000182</v>
      </c>
    </row>
    <row r="44" spans="1:29">
      <c r="A44" s="119" t="s">
        <v>110</v>
      </c>
      <c r="B44" s="224" t="s">
        <v>238</v>
      </c>
      <c r="C44" s="224" t="s">
        <v>189</v>
      </c>
      <c r="D44" s="224" t="s">
        <v>43</v>
      </c>
      <c r="E44" s="225">
        <v>62</v>
      </c>
      <c r="F44" s="119">
        <v>49</v>
      </c>
      <c r="G44" s="119">
        <f t="shared" si="0"/>
        <v>3769</v>
      </c>
      <c r="H44" s="119"/>
      <c r="I44" s="119"/>
      <c r="J44" s="135" t="s">
        <v>100</v>
      </c>
      <c r="K44" s="119"/>
      <c r="L44" s="119">
        <v>420</v>
      </c>
      <c r="M44" s="223">
        <f t="shared" si="1"/>
        <v>37.521500498956698</v>
      </c>
      <c r="N44" s="965">
        <v>90502</v>
      </c>
      <c r="O44" s="119">
        <v>10027</v>
      </c>
      <c r="P44" s="119">
        <v>10040</v>
      </c>
      <c r="Q44" s="119">
        <v>62</v>
      </c>
      <c r="R44" s="119">
        <v>49</v>
      </c>
      <c r="S44" s="967">
        <v>3774.6</v>
      </c>
      <c r="T44" s="119"/>
      <c r="U44" s="119">
        <v>69919</v>
      </c>
      <c r="V44" s="119"/>
      <c r="W44" s="119">
        <f t="shared" si="2"/>
        <v>31706.639999999996</v>
      </c>
      <c r="X44" s="222">
        <v>63</v>
      </c>
      <c r="Y44" s="222">
        <v>62</v>
      </c>
      <c r="Z44" s="222">
        <v>59.3</v>
      </c>
      <c r="AA44" s="222">
        <v>3779.3</v>
      </c>
      <c r="AB44" s="116">
        <f t="shared" si="3"/>
        <v>4.7000000000002728</v>
      </c>
    </row>
    <row r="45" spans="1:29">
      <c r="A45" s="119" t="s">
        <v>110</v>
      </c>
      <c r="B45" s="137" t="s">
        <v>237</v>
      </c>
      <c r="C45" s="137" t="s">
        <v>207</v>
      </c>
      <c r="D45" s="137" t="s">
        <v>43</v>
      </c>
      <c r="E45" s="212">
        <v>124</v>
      </c>
      <c r="F45" s="119">
        <v>41</v>
      </c>
      <c r="G45" s="119">
        <f t="shared" si="0"/>
        <v>7481</v>
      </c>
      <c r="H45" s="119"/>
      <c r="I45" s="119"/>
      <c r="J45" s="135" t="s">
        <v>89</v>
      </c>
      <c r="K45" s="119"/>
      <c r="L45" s="119">
        <v>420</v>
      </c>
      <c r="M45" s="223">
        <f t="shared" si="1"/>
        <v>37.521500498956698</v>
      </c>
      <c r="N45" s="965">
        <v>90502</v>
      </c>
      <c r="O45" s="119">
        <v>10027</v>
      </c>
      <c r="P45" s="119">
        <v>10040</v>
      </c>
      <c r="Q45" s="119">
        <v>124</v>
      </c>
      <c r="R45" s="119">
        <v>41</v>
      </c>
      <c r="S45" s="967">
        <v>7481.2</v>
      </c>
      <c r="T45" s="119"/>
      <c r="U45" s="119">
        <v>69936</v>
      </c>
      <c r="V45" s="119"/>
      <c r="W45" s="119">
        <f t="shared" si="2"/>
        <v>62842.080000000002</v>
      </c>
      <c r="X45" s="222">
        <v>125</v>
      </c>
      <c r="Y45" s="222">
        <v>125</v>
      </c>
      <c r="Z45" s="222">
        <v>27.5</v>
      </c>
      <c r="AA45" s="222">
        <v>7527.5</v>
      </c>
      <c r="AB45" s="116">
        <f t="shared" si="3"/>
        <v>46.300000000000182</v>
      </c>
    </row>
    <row r="46" spans="1:29">
      <c r="A46" s="119" t="s">
        <v>110</v>
      </c>
      <c r="B46" s="137" t="s">
        <v>233</v>
      </c>
      <c r="C46" s="137" t="s">
        <v>208</v>
      </c>
      <c r="D46" s="137" t="s">
        <v>43</v>
      </c>
      <c r="E46" s="212">
        <v>72</v>
      </c>
      <c r="F46" s="119">
        <v>54</v>
      </c>
      <c r="G46" s="119">
        <f t="shared" si="0"/>
        <v>4374</v>
      </c>
      <c r="H46" s="119"/>
      <c r="I46" s="119"/>
      <c r="J46" s="135" t="s">
        <v>89</v>
      </c>
      <c r="K46" s="119"/>
      <c r="L46" s="119">
        <v>420</v>
      </c>
      <c r="M46" s="223">
        <f t="shared" si="1"/>
        <v>37.521500498956698</v>
      </c>
      <c r="N46" s="965">
        <v>90502</v>
      </c>
      <c r="O46" s="119">
        <v>10027</v>
      </c>
      <c r="P46" s="119">
        <v>10040</v>
      </c>
      <c r="Q46" s="119">
        <v>72</v>
      </c>
      <c r="R46" s="119">
        <v>54</v>
      </c>
      <c r="S46" s="967">
        <v>4354</v>
      </c>
      <c r="T46" s="119"/>
      <c r="U46" s="119">
        <v>69938</v>
      </c>
      <c r="V46" s="119"/>
      <c r="W46" s="119">
        <f t="shared" si="2"/>
        <v>36573.599999999999</v>
      </c>
      <c r="X46" s="222">
        <v>73</v>
      </c>
      <c r="Y46" s="222">
        <v>72</v>
      </c>
      <c r="Z46" s="222">
        <v>46.3</v>
      </c>
      <c r="AA46" s="222">
        <v>4366.3</v>
      </c>
      <c r="AB46" s="116">
        <f t="shared" si="3"/>
        <v>12.300000000000182</v>
      </c>
    </row>
    <row r="47" spans="1:29">
      <c r="A47" s="119" t="s">
        <v>110</v>
      </c>
      <c r="B47" s="137" t="s">
        <v>238</v>
      </c>
      <c r="C47" s="137" t="s">
        <v>209</v>
      </c>
      <c r="D47" s="137" t="s">
        <v>43</v>
      </c>
      <c r="E47" s="212">
        <v>89</v>
      </c>
      <c r="F47" s="119">
        <v>15</v>
      </c>
      <c r="G47" s="119">
        <f t="shared" si="0"/>
        <v>5355</v>
      </c>
      <c r="H47" s="119"/>
      <c r="I47" s="119"/>
      <c r="J47" s="135" t="s">
        <v>89</v>
      </c>
      <c r="K47" s="119"/>
      <c r="L47" s="119">
        <v>420</v>
      </c>
      <c r="M47" s="223">
        <f t="shared" si="1"/>
        <v>37.521500498956698</v>
      </c>
      <c r="N47" s="965">
        <v>90502</v>
      </c>
      <c r="O47" s="119">
        <v>10027</v>
      </c>
      <c r="P47" s="119">
        <v>10040</v>
      </c>
      <c r="Q47" s="119">
        <v>89</v>
      </c>
      <c r="R47" s="119">
        <v>15</v>
      </c>
      <c r="S47" s="967">
        <v>5372.5</v>
      </c>
      <c r="T47" s="119"/>
      <c r="U47" s="119">
        <v>69885</v>
      </c>
      <c r="V47" s="119"/>
      <c r="W47" s="119">
        <f t="shared" si="2"/>
        <v>45129</v>
      </c>
      <c r="X47" s="230">
        <v>90</v>
      </c>
      <c r="Y47" s="231">
        <v>89</v>
      </c>
      <c r="Z47" s="230">
        <v>17</v>
      </c>
      <c r="AA47" s="231">
        <v>5357</v>
      </c>
      <c r="AB47" s="116">
        <f t="shared" si="3"/>
        <v>-15.5</v>
      </c>
    </row>
    <row r="48" spans="1:29">
      <c r="A48" s="226" t="s">
        <v>110</v>
      </c>
      <c r="B48" s="550" t="s">
        <v>236</v>
      </c>
      <c r="C48" s="550" t="s">
        <v>192</v>
      </c>
      <c r="D48" s="550" t="s">
        <v>43</v>
      </c>
      <c r="E48" s="551">
        <v>87</v>
      </c>
      <c r="F48" s="226">
        <v>33</v>
      </c>
      <c r="G48" s="226">
        <f t="shared" si="0"/>
        <v>5253</v>
      </c>
      <c r="H48" s="226"/>
      <c r="I48" s="226"/>
      <c r="J48" s="552" t="s">
        <v>89</v>
      </c>
      <c r="K48" s="226"/>
      <c r="L48" s="226">
        <v>420</v>
      </c>
      <c r="M48" s="553">
        <f t="shared" si="1"/>
        <v>37.521500498956698</v>
      </c>
      <c r="N48" s="965">
        <v>90502</v>
      </c>
      <c r="O48" s="226">
        <v>10027</v>
      </c>
      <c r="P48" s="226">
        <v>10040</v>
      </c>
      <c r="Q48" s="226">
        <v>87</v>
      </c>
      <c r="R48" s="226">
        <v>33</v>
      </c>
      <c r="S48" s="969">
        <v>5337.8</v>
      </c>
      <c r="T48" s="226"/>
      <c r="U48" s="226">
        <v>69887</v>
      </c>
      <c r="V48" s="226"/>
      <c r="W48" s="226">
        <f t="shared" si="2"/>
        <v>44837.52</v>
      </c>
      <c r="X48" s="255">
        <v>88</v>
      </c>
      <c r="Y48" s="255">
        <v>87</v>
      </c>
      <c r="Z48" s="255">
        <v>35.799999999999997</v>
      </c>
      <c r="AA48" s="255">
        <v>5255.8</v>
      </c>
      <c r="AB48" s="116">
        <f t="shared" si="3"/>
        <v>-82</v>
      </c>
      <c r="AC48" s="116" t="s">
        <v>1150</v>
      </c>
    </row>
    <row r="49" spans="1:28">
      <c r="A49" s="554" t="s">
        <v>110</v>
      </c>
      <c r="B49" s="555" t="s">
        <v>233</v>
      </c>
      <c r="C49" s="555" t="s">
        <v>210</v>
      </c>
      <c r="D49" s="555" t="s">
        <v>43</v>
      </c>
      <c r="E49" s="556">
        <v>108</v>
      </c>
      <c r="F49" s="554">
        <v>48</v>
      </c>
      <c r="G49" s="554">
        <f t="shared" si="0"/>
        <v>6528</v>
      </c>
      <c r="H49" s="554"/>
      <c r="I49" s="554"/>
      <c r="J49" s="564" t="s">
        <v>89</v>
      </c>
      <c r="K49" s="554"/>
      <c r="L49" s="554">
        <v>420</v>
      </c>
      <c r="M49" s="572">
        <f t="shared" si="1"/>
        <v>37.521500498956698</v>
      </c>
      <c r="N49" s="965">
        <v>90502</v>
      </c>
      <c r="O49" s="554">
        <v>10027</v>
      </c>
      <c r="P49" s="554">
        <v>10040</v>
      </c>
      <c r="Q49" s="554">
        <v>108</v>
      </c>
      <c r="R49" s="554">
        <v>48</v>
      </c>
      <c r="S49" s="968">
        <v>6538.9</v>
      </c>
      <c r="T49" s="554"/>
      <c r="U49" s="554">
        <v>69940</v>
      </c>
      <c r="V49" s="554"/>
      <c r="W49" s="554">
        <f t="shared" si="2"/>
        <v>54926.759999999995</v>
      </c>
      <c r="X49" s="562">
        <v>109</v>
      </c>
      <c r="Y49" s="562">
        <v>109</v>
      </c>
      <c r="Z49" s="562">
        <v>15.9</v>
      </c>
      <c r="AA49" s="562">
        <v>6555.9</v>
      </c>
      <c r="AB49" s="571">
        <f t="shared" si="3"/>
        <v>17</v>
      </c>
    </row>
    <row r="50" spans="1:28">
      <c r="A50" s="119" t="s">
        <v>110</v>
      </c>
      <c r="B50" s="137" t="s">
        <v>235</v>
      </c>
      <c r="C50" s="137" t="s">
        <v>211</v>
      </c>
      <c r="D50" s="137" t="s">
        <v>43</v>
      </c>
      <c r="E50" s="212">
        <v>55</v>
      </c>
      <c r="F50" s="119">
        <v>8</v>
      </c>
      <c r="G50" s="119">
        <f t="shared" si="0"/>
        <v>3308</v>
      </c>
      <c r="H50" s="119"/>
      <c r="I50" s="119"/>
      <c r="J50" s="135" t="s">
        <v>89</v>
      </c>
      <c r="K50" s="119"/>
      <c r="L50" s="119">
        <v>420</v>
      </c>
      <c r="M50" s="223">
        <f t="shared" si="1"/>
        <v>37.521500498956698</v>
      </c>
      <c r="N50" s="965">
        <v>90502</v>
      </c>
      <c r="O50" s="119">
        <v>10027</v>
      </c>
      <c r="P50" s="119">
        <v>10040</v>
      </c>
      <c r="Q50" s="119">
        <v>55</v>
      </c>
      <c r="R50" s="119">
        <v>8</v>
      </c>
      <c r="S50" s="967">
        <v>3346.9</v>
      </c>
      <c r="T50" s="119"/>
      <c r="U50" s="119">
        <v>69935</v>
      </c>
      <c r="V50" s="119"/>
      <c r="W50" s="119">
        <f t="shared" si="2"/>
        <v>28113.96</v>
      </c>
      <c r="X50" s="222">
        <v>56</v>
      </c>
      <c r="Y50" s="222">
        <v>55</v>
      </c>
      <c r="Z50" s="222">
        <v>56.6</v>
      </c>
      <c r="AA50" s="222">
        <v>3356.6</v>
      </c>
      <c r="AB50" s="116">
        <f t="shared" si="3"/>
        <v>9.6999999999998181</v>
      </c>
    </row>
    <row r="51" spans="1:28">
      <c r="A51" s="119" t="s">
        <v>110</v>
      </c>
      <c r="B51" s="228" t="s">
        <v>233</v>
      </c>
      <c r="C51" s="228" t="s">
        <v>191</v>
      </c>
      <c r="D51" s="228" t="s">
        <v>43</v>
      </c>
      <c r="E51" s="229">
        <v>82</v>
      </c>
      <c r="F51" s="119">
        <v>14</v>
      </c>
      <c r="G51" s="119">
        <f t="shared" si="0"/>
        <v>4934</v>
      </c>
      <c r="H51" s="119"/>
      <c r="I51" s="119"/>
      <c r="J51" s="135" t="s">
        <v>89</v>
      </c>
      <c r="K51" s="119"/>
      <c r="L51" s="119">
        <v>420</v>
      </c>
      <c r="M51" s="223">
        <f t="shared" si="1"/>
        <v>37.521500498956698</v>
      </c>
      <c r="N51" s="965">
        <v>90502</v>
      </c>
      <c r="O51" s="119">
        <v>10027</v>
      </c>
      <c r="P51" s="119">
        <v>10040</v>
      </c>
      <c r="Q51" s="119">
        <v>82</v>
      </c>
      <c r="R51" s="119">
        <v>14</v>
      </c>
      <c r="S51" s="967">
        <v>4931.8999999999996</v>
      </c>
      <c r="T51" s="119"/>
      <c r="U51" s="119">
        <v>69961</v>
      </c>
      <c r="V51" s="119"/>
      <c r="W51" s="119">
        <f t="shared" si="2"/>
        <v>41427.959999999992</v>
      </c>
      <c r="X51" s="222">
        <v>83</v>
      </c>
      <c r="Y51" s="222">
        <v>82</v>
      </c>
      <c r="Z51" s="222">
        <v>11.3</v>
      </c>
      <c r="AA51" s="222">
        <v>4931.3</v>
      </c>
      <c r="AB51" s="116">
        <f t="shared" si="3"/>
        <v>-0.5999999999994543</v>
      </c>
    </row>
    <row r="52" spans="1:28">
      <c r="A52" s="119"/>
      <c r="B52" s="228"/>
      <c r="C52" s="228"/>
      <c r="D52" s="228"/>
      <c r="E52" s="229"/>
      <c r="F52" s="119"/>
      <c r="G52" s="119"/>
      <c r="H52" s="119"/>
      <c r="I52" s="115">
        <f>SUM(I42:I51)</f>
        <v>0</v>
      </c>
      <c r="J52" s="135"/>
      <c r="K52" s="119"/>
      <c r="L52" s="119"/>
      <c r="M52" s="223"/>
      <c r="N52" s="965"/>
      <c r="O52" s="119"/>
      <c r="P52" s="119"/>
      <c r="Q52" s="119"/>
      <c r="R52" s="119"/>
      <c r="S52" s="967"/>
      <c r="T52" s="119"/>
      <c r="U52" s="119"/>
      <c r="V52" s="119">
        <f>SUM(V42:V51)</f>
        <v>0</v>
      </c>
      <c r="W52" s="119"/>
      <c r="X52" s="222"/>
      <c r="Y52" s="222"/>
      <c r="Z52" s="222"/>
      <c r="AA52" s="222"/>
    </row>
    <row r="53" spans="1:28">
      <c r="A53" s="119"/>
      <c r="B53" s="228"/>
      <c r="C53" s="228"/>
      <c r="D53" s="228"/>
      <c r="E53" s="229"/>
      <c r="F53" s="119"/>
      <c r="G53" s="119"/>
      <c r="H53" s="119"/>
      <c r="I53" s="115">
        <f>I52/60</f>
        <v>0</v>
      </c>
      <c r="J53" s="135"/>
      <c r="K53" s="119"/>
      <c r="L53" s="119"/>
      <c r="M53" s="223"/>
      <c r="N53" s="965"/>
      <c r="O53" s="119"/>
      <c r="P53" s="119"/>
      <c r="Q53" s="119"/>
      <c r="R53" s="119"/>
      <c r="S53" s="967"/>
      <c r="T53" s="119"/>
      <c r="U53" s="119"/>
      <c r="V53" s="119"/>
      <c r="W53" s="119"/>
      <c r="X53" s="222"/>
      <c r="Y53" s="222"/>
      <c r="Z53" s="222"/>
      <c r="AA53" s="222"/>
    </row>
    <row r="54" spans="1:28">
      <c r="A54" s="119" t="s">
        <v>110</v>
      </c>
      <c r="B54" s="137" t="s">
        <v>241</v>
      </c>
      <c r="C54" s="137" t="s">
        <v>206</v>
      </c>
      <c r="D54" s="137" t="s">
        <v>43</v>
      </c>
      <c r="E54" s="212">
        <v>11</v>
      </c>
      <c r="F54" s="119">
        <v>42</v>
      </c>
      <c r="G54" s="119">
        <f>E54*60+F54</f>
        <v>702</v>
      </c>
      <c r="H54" s="119"/>
      <c r="I54" s="119"/>
      <c r="J54" s="135" t="s">
        <v>89</v>
      </c>
      <c r="K54" s="119"/>
      <c r="L54" s="119">
        <v>420</v>
      </c>
      <c r="M54" s="223">
        <f>L54/1.1023-$W$1</f>
        <v>37.521500498956698</v>
      </c>
      <c r="N54" s="965">
        <v>90502</v>
      </c>
      <c r="O54" s="119">
        <v>10027</v>
      </c>
      <c r="P54" s="119">
        <v>10040</v>
      </c>
      <c r="Q54" s="119">
        <v>11</v>
      </c>
      <c r="R54" s="119">
        <v>42</v>
      </c>
      <c r="S54" s="967">
        <v>702.2</v>
      </c>
      <c r="T54" s="119"/>
      <c r="U54" s="119">
        <v>69929</v>
      </c>
      <c r="V54" s="119"/>
      <c r="W54" s="119">
        <f>(S54/60*L54)*1.2</f>
        <v>5898.4800000000005</v>
      </c>
      <c r="X54" s="222">
        <v>12</v>
      </c>
      <c r="Y54" s="222">
        <v>11</v>
      </c>
      <c r="Z54" s="222">
        <v>38.200000000000003</v>
      </c>
      <c r="AA54" s="222">
        <v>698.2</v>
      </c>
      <c r="AB54" s="116">
        <f>AA54-S54</f>
        <v>-4</v>
      </c>
    </row>
    <row r="55" spans="1:28">
      <c r="A55" s="554" t="s">
        <v>110</v>
      </c>
      <c r="B55" s="555" t="s">
        <v>238</v>
      </c>
      <c r="C55" s="555" t="s">
        <v>190</v>
      </c>
      <c r="D55" s="555" t="s">
        <v>43</v>
      </c>
      <c r="E55" s="556">
        <v>62</v>
      </c>
      <c r="F55" s="554">
        <v>38</v>
      </c>
      <c r="G55" s="554">
        <f>E55*60+F55</f>
        <v>3758</v>
      </c>
      <c r="H55" s="554"/>
      <c r="I55" s="554"/>
      <c r="J55" s="564" t="s">
        <v>89</v>
      </c>
      <c r="K55" s="554"/>
      <c r="L55" s="554">
        <v>420</v>
      </c>
      <c r="M55" s="572">
        <f>L55/1.1023-$W$1</f>
        <v>37.521500498956698</v>
      </c>
      <c r="N55" s="965">
        <v>90502</v>
      </c>
      <c r="O55" s="554">
        <v>10027</v>
      </c>
      <c r="P55" s="554">
        <v>10040</v>
      </c>
      <c r="Q55" s="554">
        <v>62</v>
      </c>
      <c r="R55" s="554">
        <v>38</v>
      </c>
      <c r="S55" s="968">
        <v>3767.4</v>
      </c>
      <c r="T55" s="554"/>
      <c r="U55" s="554">
        <v>69933</v>
      </c>
      <c r="V55" s="554"/>
      <c r="W55" s="554">
        <f>(S55/60*L55)*1.2</f>
        <v>31646.159999999996</v>
      </c>
      <c r="X55" s="562">
        <v>63</v>
      </c>
      <c r="Y55" s="562">
        <v>62</v>
      </c>
      <c r="Z55" s="562">
        <v>56.3</v>
      </c>
      <c r="AA55" s="562">
        <v>3776.3</v>
      </c>
      <c r="AB55" s="571">
        <f>AA55-S55</f>
        <v>8.9000000000000909</v>
      </c>
    </row>
    <row r="56" spans="1:28">
      <c r="A56" s="119" t="s">
        <v>110</v>
      </c>
      <c r="B56" s="137" t="s">
        <v>238</v>
      </c>
      <c r="C56" s="137" t="s">
        <v>213</v>
      </c>
      <c r="D56" s="137" t="s">
        <v>45</v>
      </c>
      <c r="E56" s="212">
        <v>12</v>
      </c>
      <c r="F56" s="119">
        <v>55</v>
      </c>
      <c r="G56" s="119"/>
      <c r="H56" s="119"/>
      <c r="I56" s="115">
        <f>SUM(I54:I55)</f>
        <v>0</v>
      </c>
      <c r="J56" s="135" t="s">
        <v>245</v>
      </c>
      <c r="K56" s="119"/>
      <c r="L56" s="119">
        <v>370</v>
      </c>
      <c r="M56" s="223">
        <f t="shared" si="1"/>
        <v>-7.8382019413952548</v>
      </c>
      <c r="N56" s="966">
        <v>90468</v>
      </c>
      <c r="O56" s="119">
        <v>10057</v>
      </c>
      <c r="P56" s="119">
        <v>10084</v>
      </c>
      <c r="Q56" s="119">
        <v>12</v>
      </c>
      <c r="R56" s="119">
        <v>55</v>
      </c>
      <c r="S56" s="967">
        <v>777.1</v>
      </c>
      <c r="T56" s="119"/>
      <c r="U56" s="119">
        <v>69866</v>
      </c>
      <c r="V56" s="119">
        <f>SUM(V54:V55)</f>
        <v>0</v>
      </c>
      <c r="W56" s="119">
        <f t="shared" si="2"/>
        <v>5750.54</v>
      </c>
      <c r="X56" s="222">
        <v>13</v>
      </c>
      <c r="Y56" s="222">
        <v>12</v>
      </c>
      <c r="Z56" s="222">
        <v>59.3</v>
      </c>
      <c r="AA56" s="222">
        <v>779.3</v>
      </c>
      <c r="AB56" s="116">
        <f t="shared" si="3"/>
        <v>2.1999999999999318</v>
      </c>
    </row>
    <row r="57" spans="1:28">
      <c r="A57" s="119" t="s">
        <v>110</v>
      </c>
      <c r="B57" s="137" t="s">
        <v>242</v>
      </c>
      <c r="C57" s="137" t="s">
        <v>214</v>
      </c>
      <c r="D57" s="137" t="s">
        <v>45</v>
      </c>
      <c r="E57" s="212">
        <v>12</v>
      </c>
      <c r="F57" s="119">
        <v>46</v>
      </c>
      <c r="G57" s="119"/>
      <c r="H57" s="119"/>
      <c r="I57" s="1060">
        <f>I56/60</f>
        <v>0</v>
      </c>
      <c r="J57" s="135" t="s">
        <v>245</v>
      </c>
      <c r="K57" s="119"/>
      <c r="L57" s="119">
        <v>370</v>
      </c>
      <c r="M57" s="223">
        <f t="shared" si="1"/>
        <v>-7.8382019413952548</v>
      </c>
      <c r="N57" s="966">
        <v>90468</v>
      </c>
      <c r="O57" s="119">
        <v>10057</v>
      </c>
      <c r="P57" s="119">
        <v>10084</v>
      </c>
      <c r="Q57" s="119">
        <v>12</v>
      </c>
      <c r="R57" s="119">
        <v>46</v>
      </c>
      <c r="S57" s="967">
        <v>770.2</v>
      </c>
      <c r="T57" s="119"/>
      <c r="U57" s="119">
        <v>69868</v>
      </c>
      <c r="V57" s="119"/>
      <c r="W57" s="119">
        <f t="shared" si="2"/>
        <v>5699.4800000000005</v>
      </c>
      <c r="X57" s="222">
        <v>13</v>
      </c>
      <c r="Y57" s="222">
        <v>12</v>
      </c>
      <c r="Z57" s="222">
        <v>48.3</v>
      </c>
      <c r="AA57" s="222">
        <v>768.3</v>
      </c>
      <c r="AB57" s="116">
        <f t="shared" si="3"/>
        <v>-1.9000000000000909</v>
      </c>
    </row>
    <row r="58" spans="1:28">
      <c r="A58" s="119" t="s">
        <v>110</v>
      </c>
      <c r="B58" s="137" t="s">
        <v>243</v>
      </c>
      <c r="C58" s="137" t="s">
        <v>215</v>
      </c>
      <c r="D58" s="137" t="s">
        <v>45</v>
      </c>
      <c r="E58" s="212">
        <v>12</v>
      </c>
      <c r="F58" s="119">
        <v>44</v>
      </c>
      <c r="G58" s="119"/>
      <c r="H58" s="119"/>
      <c r="I58" s="119"/>
      <c r="J58" s="135" t="s">
        <v>245</v>
      </c>
      <c r="K58" s="119"/>
      <c r="L58" s="119">
        <v>370</v>
      </c>
      <c r="M58" s="223">
        <f t="shared" si="1"/>
        <v>-7.8382019413952548</v>
      </c>
      <c r="N58" s="966">
        <v>90468</v>
      </c>
      <c r="O58" s="119">
        <v>10057</v>
      </c>
      <c r="P58" s="119">
        <v>10084</v>
      </c>
      <c r="Q58" s="119">
        <v>12</v>
      </c>
      <c r="R58" s="119">
        <v>44</v>
      </c>
      <c r="S58" s="967">
        <v>765.6</v>
      </c>
      <c r="T58" s="119"/>
      <c r="U58" s="119">
        <v>69867</v>
      </c>
      <c r="V58" s="119"/>
      <c r="W58" s="119">
        <f t="shared" si="2"/>
        <v>5665.44</v>
      </c>
      <c r="X58" s="222">
        <v>13</v>
      </c>
      <c r="Y58" s="222">
        <v>12</v>
      </c>
      <c r="Z58" s="222">
        <v>45.3</v>
      </c>
      <c r="AA58" s="222">
        <v>765.3</v>
      </c>
      <c r="AB58" s="116">
        <f t="shared" si="3"/>
        <v>-0.30000000000006821</v>
      </c>
    </row>
    <row r="59" spans="1:28">
      <c r="A59" s="119" t="s">
        <v>110</v>
      </c>
      <c r="B59" s="137" t="s">
        <v>234</v>
      </c>
      <c r="C59" s="137" t="s">
        <v>177</v>
      </c>
      <c r="D59" s="137" t="s">
        <v>45</v>
      </c>
      <c r="E59" s="212">
        <v>13</v>
      </c>
      <c r="F59" s="119">
        <v>32</v>
      </c>
      <c r="G59" s="119"/>
      <c r="H59" s="119"/>
      <c r="I59" s="119"/>
      <c r="J59" s="135" t="s">
        <v>245</v>
      </c>
      <c r="K59" s="119"/>
      <c r="L59" s="119">
        <v>370</v>
      </c>
      <c r="M59" s="223">
        <f t="shared" si="1"/>
        <v>-7.8382019413952548</v>
      </c>
      <c r="N59" s="966">
        <v>90468</v>
      </c>
      <c r="O59" s="119">
        <v>10057</v>
      </c>
      <c r="P59" s="119">
        <v>10084</v>
      </c>
      <c r="Q59" s="119">
        <v>13</v>
      </c>
      <c r="R59" s="119">
        <v>32</v>
      </c>
      <c r="S59" s="967">
        <v>813.5</v>
      </c>
      <c r="T59" s="119"/>
      <c r="U59" s="119">
        <v>69871</v>
      </c>
      <c r="V59" s="119"/>
      <c r="W59" s="119">
        <f t="shared" si="2"/>
        <v>6019.9</v>
      </c>
      <c r="X59" s="222">
        <v>14</v>
      </c>
      <c r="Y59" s="222">
        <v>13</v>
      </c>
      <c r="Z59" s="222">
        <v>33.4</v>
      </c>
      <c r="AA59" s="222">
        <v>813.4</v>
      </c>
      <c r="AB59" s="116">
        <f t="shared" si="3"/>
        <v>-0.10000000000002274</v>
      </c>
    </row>
    <row r="60" spans="1:28">
      <c r="A60" s="119" t="s">
        <v>110</v>
      </c>
      <c r="B60" s="119" t="s">
        <v>239</v>
      </c>
      <c r="C60" s="119" t="s">
        <v>203</v>
      </c>
      <c r="D60" s="119" t="s">
        <v>45</v>
      </c>
      <c r="E60" s="227">
        <v>22</v>
      </c>
      <c r="F60" s="119">
        <v>30</v>
      </c>
      <c r="G60" s="1088"/>
      <c r="H60" s="1088"/>
      <c r="I60" s="1088"/>
      <c r="J60" s="1089" t="s">
        <v>245</v>
      </c>
      <c r="K60" s="1088"/>
      <c r="L60" s="119">
        <v>370</v>
      </c>
      <c r="M60" s="223">
        <f t="shared" si="1"/>
        <v>-7.8382019413952548</v>
      </c>
      <c r="N60" s="966">
        <v>90468</v>
      </c>
      <c r="O60" s="119">
        <v>10057</v>
      </c>
      <c r="P60" s="119">
        <v>10084</v>
      </c>
      <c r="Q60" s="119">
        <v>22</v>
      </c>
      <c r="R60" s="119">
        <v>30</v>
      </c>
      <c r="S60" s="967">
        <v>1353.3</v>
      </c>
      <c r="T60" s="119"/>
      <c r="U60" s="119">
        <v>69883</v>
      </c>
      <c r="V60" s="119"/>
      <c r="W60" s="119">
        <f t="shared" si="2"/>
        <v>10014.42</v>
      </c>
      <c r="X60" s="222">
        <v>23</v>
      </c>
      <c r="Y60" s="222">
        <v>22</v>
      </c>
      <c r="Z60" s="222">
        <v>40.299999999999997</v>
      </c>
      <c r="AA60" s="222">
        <v>1360.3</v>
      </c>
      <c r="AB60" s="116">
        <f t="shared" si="3"/>
        <v>7</v>
      </c>
    </row>
    <row r="61" spans="1:28">
      <c r="A61" s="119" t="s">
        <v>110</v>
      </c>
      <c r="B61" s="137" t="s">
        <v>236</v>
      </c>
      <c r="C61" s="137" t="s">
        <v>179</v>
      </c>
      <c r="D61" s="137" t="s">
        <v>45</v>
      </c>
      <c r="E61" s="212">
        <v>12</v>
      </c>
      <c r="F61" s="1068">
        <v>7</v>
      </c>
      <c r="G61" s="135"/>
      <c r="H61" s="135"/>
      <c r="I61" s="135" t="s">
        <v>1372</v>
      </c>
      <c r="J61" s="135" t="s">
        <v>1373</v>
      </c>
      <c r="K61" s="135" t="s">
        <v>1374</v>
      </c>
      <c r="L61" s="1075">
        <v>370</v>
      </c>
      <c r="M61" s="223">
        <f t="shared" si="1"/>
        <v>-7.8382019413952548</v>
      </c>
      <c r="N61" s="966">
        <v>90468</v>
      </c>
      <c r="O61" s="119">
        <v>10057</v>
      </c>
      <c r="P61" s="119">
        <v>10084</v>
      </c>
      <c r="Q61" s="119">
        <v>12</v>
      </c>
      <c r="R61" s="119">
        <v>7</v>
      </c>
      <c r="S61" s="967">
        <v>727.7</v>
      </c>
      <c r="T61" s="119"/>
      <c r="U61" s="119">
        <v>69879</v>
      </c>
      <c r="V61" s="119"/>
      <c r="W61" s="119">
        <f t="shared" si="2"/>
        <v>5384.9800000000005</v>
      </c>
      <c r="X61" s="222">
        <v>13</v>
      </c>
      <c r="Y61" s="222">
        <v>12</v>
      </c>
      <c r="Z61" s="222">
        <v>8.3000000000000007</v>
      </c>
      <c r="AA61" s="222">
        <v>728.3</v>
      </c>
      <c r="AB61" s="116">
        <f t="shared" si="3"/>
        <v>0.59999999999990905</v>
      </c>
    </row>
    <row r="62" spans="1:28">
      <c r="A62" s="119" t="s">
        <v>110</v>
      </c>
      <c r="B62" s="137" t="s">
        <v>243</v>
      </c>
      <c r="C62" s="137" t="s">
        <v>216</v>
      </c>
      <c r="D62" s="137" t="s">
        <v>45</v>
      </c>
      <c r="E62" s="212">
        <v>10</v>
      </c>
      <c r="F62" s="1068">
        <v>58</v>
      </c>
      <c r="G62" s="135" t="s">
        <v>354</v>
      </c>
      <c r="H62" s="135"/>
      <c r="I62" s="135">
        <v>30087</v>
      </c>
      <c r="J62" s="135">
        <v>30223.7</v>
      </c>
      <c r="K62" s="135">
        <v>30163</v>
      </c>
      <c r="L62" s="1075">
        <v>370</v>
      </c>
      <c r="M62" s="223">
        <f t="shared" si="1"/>
        <v>-7.8382019413952548</v>
      </c>
      <c r="N62" s="966">
        <v>90468</v>
      </c>
      <c r="O62" s="119">
        <v>10057</v>
      </c>
      <c r="P62" s="119">
        <v>10084</v>
      </c>
      <c r="Q62" s="119">
        <v>10</v>
      </c>
      <c r="R62" s="119">
        <v>58</v>
      </c>
      <c r="S62" s="967">
        <v>659.4</v>
      </c>
      <c r="T62" s="119"/>
      <c r="U62" s="119">
        <v>69880</v>
      </c>
      <c r="V62" s="119"/>
      <c r="W62" s="119">
        <f t="shared" si="2"/>
        <v>4879.5600000000004</v>
      </c>
      <c r="X62" s="222">
        <v>11</v>
      </c>
      <c r="Y62" s="222">
        <v>10</v>
      </c>
      <c r="Z62" s="222">
        <v>58.1</v>
      </c>
      <c r="AA62" s="222">
        <v>658.1</v>
      </c>
      <c r="AB62" s="116">
        <f t="shared" si="3"/>
        <v>-1.2999999999999545</v>
      </c>
    </row>
    <row r="63" spans="1:28">
      <c r="A63" s="119" t="s">
        <v>110</v>
      </c>
      <c r="B63" s="137" t="s">
        <v>242</v>
      </c>
      <c r="C63" s="137" t="s">
        <v>217</v>
      </c>
      <c r="D63" s="137" t="s">
        <v>45</v>
      </c>
      <c r="E63" s="212">
        <v>11</v>
      </c>
      <c r="F63" s="1068">
        <v>0</v>
      </c>
      <c r="G63" s="135" t="s">
        <v>856</v>
      </c>
      <c r="H63" s="135"/>
      <c r="I63" s="135">
        <v>88</v>
      </c>
      <c r="J63" s="135">
        <v>88</v>
      </c>
      <c r="K63" s="135">
        <v>89</v>
      </c>
      <c r="L63" s="1075">
        <v>370</v>
      </c>
      <c r="M63" s="223">
        <f t="shared" si="1"/>
        <v>-7.8382019413952548</v>
      </c>
      <c r="N63" s="966">
        <v>90468</v>
      </c>
      <c r="O63" s="119">
        <v>10057</v>
      </c>
      <c r="P63" s="119">
        <v>10084</v>
      </c>
      <c r="Q63" s="119">
        <v>11</v>
      </c>
      <c r="R63" s="119">
        <v>0</v>
      </c>
      <c r="S63" s="967">
        <v>661.1</v>
      </c>
      <c r="T63" s="119"/>
      <c r="U63" s="119">
        <v>69881</v>
      </c>
      <c r="V63" s="119"/>
      <c r="W63" s="119">
        <f t="shared" si="2"/>
        <v>4892.1400000000003</v>
      </c>
      <c r="X63" s="222">
        <v>11</v>
      </c>
      <c r="Y63" s="222">
        <v>11</v>
      </c>
      <c r="Z63" s="222">
        <v>0.1</v>
      </c>
      <c r="AA63" s="222">
        <v>660.1</v>
      </c>
      <c r="AB63" s="116">
        <f t="shared" si="3"/>
        <v>-1</v>
      </c>
    </row>
    <row r="64" spans="1:28">
      <c r="A64" s="582" t="s">
        <v>110</v>
      </c>
      <c r="B64" s="583" t="s">
        <v>236</v>
      </c>
      <c r="C64" s="583" t="s">
        <v>204</v>
      </c>
      <c r="D64" s="583" t="s">
        <v>45</v>
      </c>
      <c r="E64" s="584">
        <v>11</v>
      </c>
      <c r="F64" s="582">
        <v>35</v>
      </c>
      <c r="G64" s="1102"/>
      <c r="H64" s="1102"/>
      <c r="I64" s="1102"/>
      <c r="J64" s="1103" t="s">
        <v>245</v>
      </c>
      <c r="K64" s="1102"/>
      <c r="L64" s="582">
        <v>370</v>
      </c>
      <c r="M64" s="586">
        <f t="shared" si="1"/>
        <v>-7.8382019413952548</v>
      </c>
      <c r="N64" s="966">
        <v>90468</v>
      </c>
      <c r="O64" s="582">
        <v>10057</v>
      </c>
      <c r="P64" s="582">
        <v>10084</v>
      </c>
      <c r="Q64" s="582">
        <v>11</v>
      </c>
      <c r="R64" s="582">
        <v>35</v>
      </c>
      <c r="S64" s="970">
        <v>695.3</v>
      </c>
      <c r="T64" s="582"/>
      <c r="U64" s="582">
        <v>69891</v>
      </c>
      <c r="V64" s="582"/>
      <c r="W64" s="582">
        <f t="shared" si="2"/>
        <v>5145.22</v>
      </c>
      <c r="X64" s="587">
        <v>12</v>
      </c>
      <c r="Y64" s="587">
        <v>11</v>
      </c>
      <c r="Z64" s="587">
        <v>37.200000000000003</v>
      </c>
      <c r="AA64" s="587">
        <v>697.2</v>
      </c>
      <c r="AB64" s="588">
        <f t="shared" si="3"/>
        <v>1.9000000000000909</v>
      </c>
    </row>
    <row r="65" spans="1:28">
      <c r="A65" s="119" t="s">
        <v>110</v>
      </c>
      <c r="B65" s="137" t="s">
        <v>243</v>
      </c>
      <c r="C65" s="137" t="s">
        <v>218</v>
      </c>
      <c r="D65" s="137" t="s">
        <v>45</v>
      </c>
      <c r="E65" s="212">
        <v>12</v>
      </c>
      <c r="F65" s="119">
        <v>26</v>
      </c>
      <c r="G65" s="119"/>
      <c r="H65" s="119"/>
      <c r="I65" s="119"/>
      <c r="J65" s="135" t="s">
        <v>245</v>
      </c>
      <c r="K65" s="119"/>
      <c r="L65" s="119">
        <v>370</v>
      </c>
      <c r="M65" s="223">
        <f t="shared" si="1"/>
        <v>-7.8382019413952548</v>
      </c>
      <c r="N65" s="966">
        <v>90468</v>
      </c>
      <c r="O65" s="119">
        <v>10057</v>
      </c>
      <c r="P65" s="119">
        <v>10084</v>
      </c>
      <c r="Q65" s="119">
        <v>12</v>
      </c>
      <c r="R65" s="119">
        <v>26</v>
      </c>
      <c r="S65" s="967">
        <v>745.1</v>
      </c>
      <c r="T65" s="119"/>
      <c r="U65" s="119">
        <v>69906</v>
      </c>
      <c r="V65" s="119"/>
      <c r="W65" s="119">
        <f t="shared" si="2"/>
        <v>5513.7399999999989</v>
      </c>
      <c r="X65" s="222">
        <v>13</v>
      </c>
      <c r="Y65" s="222">
        <v>12</v>
      </c>
      <c r="Z65" s="222">
        <v>27.3</v>
      </c>
      <c r="AA65" s="222">
        <v>747.3</v>
      </c>
      <c r="AB65" s="116">
        <f t="shared" si="3"/>
        <v>2.1999999999999318</v>
      </c>
    </row>
    <row r="66" spans="1:28">
      <c r="A66" s="119" t="s">
        <v>110</v>
      </c>
      <c r="B66" s="137" t="s">
        <v>237</v>
      </c>
      <c r="C66" s="137" t="s">
        <v>180</v>
      </c>
      <c r="D66" s="137" t="s">
        <v>45</v>
      </c>
      <c r="E66" s="212">
        <v>11</v>
      </c>
      <c r="F66" s="119">
        <v>48</v>
      </c>
      <c r="G66" s="119"/>
      <c r="H66" s="119"/>
      <c r="I66" s="119"/>
      <c r="J66" s="135" t="s">
        <v>245</v>
      </c>
      <c r="K66" s="119"/>
      <c r="L66" s="119">
        <v>370</v>
      </c>
      <c r="M66" s="223">
        <f t="shared" si="1"/>
        <v>-7.8382019413952548</v>
      </c>
      <c r="N66" s="966">
        <v>90468</v>
      </c>
      <c r="O66" s="119">
        <v>10057</v>
      </c>
      <c r="P66" s="119">
        <v>10084</v>
      </c>
      <c r="Q66" s="119">
        <v>11</v>
      </c>
      <c r="R66" s="119">
        <v>48</v>
      </c>
      <c r="S66" s="967">
        <v>706.1</v>
      </c>
      <c r="T66" s="119"/>
      <c r="U66" s="119">
        <v>69901</v>
      </c>
      <c r="V66" s="119"/>
      <c r="W66" s="119">
        <f t="shared" si="2"/>
        <v>5225.1400000000003</v>
      </c>
      <c r="X66" s="222">
        <v>12</v>
      </c>
      <c r="Y66" s="222">
        <v>11</v>
      </c>
      <c r="Z66" s="222">
        <v>46.2</v>
      </c>
      <c r="AA66" s="222">
        <v>706.2</v>
      </c>
      <c r="AB66" s="116">
        <f t="shared" si="3"/>
        <v>0.10000000000002274</v>
      </c>
    </row>
    <row r="67" spans="1:28">
      <c r="A67" s="119" t="s">
        <v>110</v>
      </c>
      <c r="B67" s="137" t="s">
        <v>238</v>
      </c>
      <c r="C67" s="137" t="s">
        <v>181</v>
      </c>
      <c r="D67" s="137" t="s">
        <v>45</v>
      </c>
      <c r="E67" s="212">
        <v>10</v>
      </c>
      <c r="F67" s="119">
        <v>51</v>
      </c>
      <c r="G67" s="119"/>
      <c r="H67" s="119"/>
      <c r="I67" s="119"/>
      <c r="J67" s="135" t="s">
        <v>245</v>
      </c>
      <c r="K67" s="119"/>
      <c r="L67" s="119">
        <v>370</v>
      </c>
      <c r="M67" s="223">
        <f t="shared" si="1"/>
        <v>-7.8382019413952548</v>
      </c>
      <c r="N67" s="966">
        <v>90468</v>
      </c>
      <c r="O67" s="119">
        <v>10057</v>
      </c>
      <c r="P67" s="119">
        <v>10084</v>
      </c>
      <c r="Q67" s="119">
        <v>10</v>
      </c>
      <c r="R67" s="119">
        <v>51</v>
      </c>
      <c r="S67" s="967">
        <v>647.79999999999995</v>
      </c>
      <c r="T67" s="119"/>
      <c r="U67" s="119">
        <v>69895</v>
      </c>
      <c r="V67" s="119"/>
      <c r="W67" s="119">
        <f t="shared" si="2"/>
        <v>4793.7199999999993</v>
      </c>
      <c r="X67" s="222">
        <v>11</v>
      </c>
      <c r="Y67" s="222">
        <v>10</v>
      </c>
      <c r="Z67" s="222">
        <v>48.1</v>
      </c>
      <c r="AA67" s="222">
        <v>648.1</v>
      </c>
      <c r="AB67" s="116">
        <f t="shared" si="3"/>
        <v>0.30000000000006821</v>
      </c>
    </row>
    <row r="68" spans="1:28">
      <c r="A68" s="119" t="s">
        <v>110</v>
      </c>
      <c r="B68" s="137" t="s">
        <v>237</v>
      </c>
      <c r="C68" s="137" t="s">
        <v>219</v>
      </c>
      <c r="D68" s="137" t="s">
        <v>45</v>
      </c>
      <c r="E68" s="212">
        <v>8</v>
      </c>
      <c r="F68" s="119">
        <v>0</v>
      </c>
      <c r="G68" s="119"/>
      <c r="H68" s="119"/>
      <c r="I68" s="119"/>
      <c r="J68" s="135" t="s">
        <v>245</v>
      </c>
      <c r="K68" s="119"/>
      <c r="L68" s="119">
        <v>370</v>
      </c>
      <c r="M68" s="223">
        <f t="shared" ref="M68:M88" si="5">L68/1.1023-$W$1</f>
        <v>-7.8382019413952548</v>
      </c>
      <c r="N68" s="966">
        <v>90468</v>
      </c>
      <c r="O68" s="119">
        <v>10057</v>
      </c>
      <c r="P68" s="119">
        <v>10084</v>
      </c>
      <c r="Q68" s="119">
        <v>8</v>
      </c>
      <c r="R68" s="119">
        <v>0</v>
      </c>
      <c r="S68" s="967">
        <v>486.2</v>
      </c>
      <c r="T68" s="119"/>
      <c r="U68" s="119">
        <v>69912</v>
      </c>
      <c r="V68" s="119"/>
      <c r="W68" s="119">
        <f t="shared" ref="W68:W88" si="6">(S68/60*L68)*1.2</f>
        <v>3597.88</v>
      </c>
      <c r="X68" s="222">
        <v>8</v>
      </c>
      <c r="Y68" s="222">
        <v>7</v>
      </c>
      <c r="Z68" s="222">
        <v>59.8</v>
      </c>
      <c r="AA68" s="222">
        <v>479.8</v>
      </c>
      <c r="AB68" s="116">
        <f t="shared" ref="AB68:AB88" si="7">AA68-S68</f>
        <v>-6.3999999999999773</v>
      </c>
    </row>
    <row r="69" spans="1:28">
      <c r="A69" s="582" t="s">
        <v>110</v>
      </c>
      <c r="B69" s="583" t="s">
        <v>243</v>
      </c>
      <c r="C69" s="583" t="s">
        <v>220</v>
      </c>
      <c r="D69" s="583" t="s">
        <v>45</v>
      </c>
      <c r="E69" s="584">
        <v>9</v>
      </c>
      <c r="F69" s="582">
        <v>65</v>
      </c>
      <c r="G69" s="582"/>
      <c r="H69" s="582"/>
      <c r="I69" s="582"/>
      <c r="J69" s="585" t="s">
        <v>245</v>
      </c>
      <c r="K69" s="582"/>
      <c r="L69" s="582">
        <v>370</v>
      </c>
      <c r="M69" s="586">
        <f t="shared" si="5"/>
        <v>-7.8382019413952548</v>
      </c>
      <c r="N69" s="966">
        <v>90468</v>
      </c>
      <c r="O69" s="582">
        <v>10057</v>
      </c>
      <c r="P69" s="582">
        <v>10084</v>
      </c>
      <c r="Q69" s="582">
        <v>9</v>
      </c>
      <c r="R69" s="582">
        <v>65</v>
      </c>
      <c r="S69" s="970">
        <v>612.29999999999995</v>
      </c>
      <c r="T69" s="582"/>
      <c r="U69" s="582">
        <v>69891</v>
      </c>
      <c r="V69" s="582"/>
      <c r="W69" s="582">
        <f t="shared" si="6"/>
        <v>4531.0199999999995</v>
      </c>
      <c r="X69" s="587">
        <v>10</v>
      </c>
      <c r="Y69" s="587">
        <v>10</v>
      </c>
      <c r="Z69" s="587">
        <v>1</v>
      </c>
      <c r="AA69" s="587">
        <v>601</v>
      </c>
      <c r="AB69" s="588">
        <f t="shared" si="7"/>
        <v>-11.299999999999955</v>
      </c>
    </row>
    <row r="70" spans="1:28">
      <c r="A70" s="119" t="s">
        <v>110</v>
      </c>
      <c r="B70" s="137" t="s">
        <v>235</v>
      </c>
      <c r="C70" s="137" t="s">
        <v>221</v>
      </c>
      <c r="D70" s="137" t="s">
        <v>45</v>
      </c>
      <c r="E70" s="212">
        <v>9</v>
      </c>
      <c r="F70" s="119">
        <v>13</v>
      </c>
      <c r="G70" s="119"/>
      <c r="H70" s="119"/>
      <c r="I70" s="119"/>
      <c r="J70" s="135" t="s">
        <v>245</v>
      </c>
      <c r="K70" s="119"/>
      <c r="L70" s="119">
        <v>370</v>
      </c>
      <c r="M70" s="223">
        <f t="shared" si="5"/>
        <v>-7.8382019413952548</v>
      </c>
      <c r="N70" s="966">
        <v>90468</v>
      </c>
      <c r="O70" s="119">
        <v>10057</v>
      </c>
      <c r="P70" s="119">
        <v>10084</v>
      </c>
      <c r="Q70" s="119">
        <v>9</v>
      </c>
      <c r="R70" s="119">
        <v>13</v>
      </c>
      <c r="S70" s="967">
        <v>552.1</v>
      </c>
      <c r="T70" s="119"/>
      <c r="U70" s="119">
        <v>69884</v>
      </c>
      <c r="V70" s="119"/>
      <c r="W70" s="119">
        <f t="shared" si="6"/>
        <v>4085.5399999999995</v>
      </c>
      <c r="X70" s="222">
        <v>10</v>
      </c>
      <c r="Y70" s="222">
        <v>9</v>
      </c>
      <c r="Z70" s="222">
        <v>13</v>
      </c>
      <c r="AA70" s="222">
        <v>553</v>
      </c>
      <c r="AB70" s="116">
        <f t="shared" si="7"/>
        <v>0.89999999999997726</v>
      </c>
    </row>
    <row r="71" spans="1:28">
      <c r="A71" s="119" t="s">
        <v>110</v>
      </c>
      <c r="B71" s="137" t="s">
        <v>240</v>
      </c>
      <c r="C71" s="137" t="s">
        <v>222</v>
      </c>
      <c r="D71" s="137" t="s">
        <v>45</v>
      </c>
      <c r="E71" s="212">
        <v>11</v>
      </c>
      <c r="F71" s="119">
        <v>63</v>
      </c>
      <c r="G71" s="119"/>
      <c r="H71" s="119"/>
      <c r="I71" s="119"/>
      <c r="J71" s="135" t="s">
        <v>245</v>
      </c>
      <c r="K71" s="119"/>
      <c r="L71" s="119">
        <v>370</v>
      </c>
      <c r="M71" s="223">
        <f t="shared" si="5"/>
        <v>-7.8382019413952548</v>
      </c>
      <c r="N71" s="966">
        <v>90468</v>
      </c>
      <c r="O71" s="119">
        <v>10057</v>
      </c>
      <c r="P71" s="119">
        <v>10084</v>
      </c>
      <c r="Q71" s="119">
        <v>11</v>
      </c>
      <c r="R71" s="119">
        <v>63</v>
      </c>
      <c r="S71" s="967">
        <v>722.3</v>
      </c>
      <c r="T71" s="119"/>
      <c r="U71" s="119">
        <v>69907</v>
      </c>
      <c r="V71" s="119"/>
      <c r="W71" s="119">
        <f t="shared" si="6"/>
        <v>5345.0199999999986</v>
      </c>
      <c r="X71" s="222">
        <v>12</v>
      </c>
      <c r="Y71" s="222">
        <v>12</v>
      </c>
      <c r="Z71" s="222">
        <v>1.2</v>
      </c>
      <c r="AA71" s="222">
        <v>721.2</v>
      </c>
      <c r="AB71" s="116">
        <f t="shared" si="7"/>
        <v>-1.0999999999999091</v>
      </c>
    </row>
    <row r="72" spans="1:28">
      <c r="A72" s="119" t="s">
        <v>110</v>
      </c>
      <c r="B72" s="137" t="s">
        <v>233</v>
      </c>
      <c r="C72" s="137" t="s">
        <v>184</v>
      </c>
      <c r="D72" s="137" t="s">
        <v>45</v>
      </c>
      <c r="E72" s="212">
        <v>11</v>
      </c>
      <c r="F72" s="119">
        <v>45</v>
      </c>
      <c r="G72" s="119"/>
      <c r="H72" s="119"/>
      <c r="I72" s="119"/>
      <c r="J72" s="135" t="s">
        <v>245</v>
      </c>
      <c r="K72" s="119"/>
      <c r="L72" s="119">
        <v>370</v>
      </c>
      <c r="M72" s="223">
        <f t="shared" si="5"/>
        <v>-7.8382019413952548</v>
      </c>
      <c r="N72" s="966">
        <v>90468</v>
      </c>
      <c r="O72" s="119">
        <v>10057</v>
      </c>
      <c r="P72" s="119">
        <v>10084</v>
      </c>
      <c r="Q72" s="119">
        <v>11</v>
      </c>
      <c r="R72" s="119">
        <v>45</v>
      </c>
      <c r="S72" s="967">
        <v>705.9</v>
      </c>
      <c r="T72" s="119"/>
      <c r="U72" s="119">
        <v>69905</v>
      </c>
      <c r="V72" s="119"/>
      <c r="W72" s="119">
        <f t="shared" si="6"/>
        <v>5223.6599999999989</v>
      </c>
      <c r="X72" s="222">
        <v>12</v>
      </c>
      <c r="Y72" s="222">
        <v>11</v>
      </c>
      <c r="Z72" s="222">
        <v>48.2</v>
      </c>
      <c r="AA72" s="222">
        <v>708.2</v>
      </c>
      <c r="AB72" s="116">
        <f t="shared" si="7"/>
        <v>2.3000000000000682</v>
      </c>
    </row>
    <row r="73" spans="1:28">
      <c r="A73" s="119" t="s">
        <v>110</v>
      </c>
      <c r="B73" s="137" t="s">
        <v>234</v>
      </c>
      <c r="C73" s="137" t="s">
        <v>223</v>
      </c>
      <c r="D73" s="137" t="s">
        <v>45</v>
      </c>
      <c r="E73" s="212">
        <v>12</v>
      </c>
      <c r="F73" s="119">
        <v>40</v>
      </c>
      <c r="G73" s="119"/>
      <c r="H73" s="119"/>
      <c r="I73" s="119"/>
      <c r="J73" s="135" t="s">
        <v>245</v>
      </c>
      <c r="K73" s="119"/>
      <c r="L73" s="119">
        <v>370</v>
      </c>
      <c r="M73" s="223">
        <f t="shared" si="5"/>
        <v>-7.8382019413952548</v>
      </c>
      <c r="N73" s="966">
        <v>90468</v>
      </c>
      <c r="O73" s="119">
        <v>10057</v>
      </c>
      <c r="P73" s="119">
        <v>10084</v>
      </c>
      <c r="Q73" s="119">
        <v>12</v>
      </c>
      <c r="R73" s="119">
        <v>40</v>
      </c>
      <c r="S73" s="967">
        <v>760.7</v>
      </c>
      <c r="T73" s="119"/>
      <c r="U73" s="119">
        <v>69902</v>
      </c>
      <c r="V73" s="119"/>
      <c r="W73" s="119">
        <f t="shared" si="6"/>
        <v>5629.18</v>
      </c>
      <c r="X73" s="222">
        <v>13</v>
      </c>
      <c r="Y73" s="222">
        <v>12</v>
      </c>
      <c r="Z73" s="222">
        <v>39.299999999999997</v>
      </c>
      <c r="AA73" s="222">
        <v>759.3</v>
      </c>
      <c r="AB73" s="116">
        <f t="shared" si="7"/>
        <v>-1.4000000000000909</v>
      </c>
    </row>
    <row r="74" spans="1:28">
      <c r="A74" s="119" t="s">
        <v>110</v>
      </c>
      <c r="B74" s="137" t="s">
        <v>235</v>
      </c>
      <c r="C74" s="137" t="s">
        <v>224</v>
      </c>
      <c r="D74" s="137" t="s">
        <v>45</v>
      </c>
      <c r="E74" s="212">
        <v>10</v>
      </c>
      <c r="F74" s="119">
        <v>66</v>
      </c>
      <c r="G74" s="119"/>
      <c r="H74" s="119"/>
      <c r="I74" s="119"/>
      <c r="J74" s="135" t="s">
        <v>245</v>
      </c>
      <c r="K74" s="119"/>
      <c r="L74" s="119">
        <v>370</v>
      </c>
      <c r="M74" s="223">
        <f t="shared" si="5"/>
        <v>-7.8382019413952548</v>
      </c>
      <c r="N74" s="966">
        <v>90468</v>
      </c>
      <c r="O74" s="119">
        <v>10057</v>
      </c>
      <c r="P74" s="119">
        <v>10084</v>
      </c>
      <c r="Q74" s="119">
        <v>10</v>
      </c>
      <c r="R74" s="119">
        <v>66</v>
      </c>
      <c r="S74" s="967">
        <v>665.8</v>
      </c>
      <c r="T74" s="119"/>
      <c r="U74" s="119">
        <v>69911</v>
      </c>
      <c r="V74" s="119"/>
      <c r="W74" s="119">
        <f t="shared" si="6"/>
        <v>4926.9199999999992</v>
      </c>
      <c r="X74" s="222">
        <v>11</v>
      </c>
      <c r="Y74" s="222">
        <v>11</v>
      </c>
      <c r="Z74" s="222">
        <v>3.1</v>
      </c>
      <c r="AA74" s="222">
        <v>663.1</v>
      </c>
      <c r="AB74" s="116">
        <f t="shared" si="7"/>
        <v>-2.6999999999999318</v>
      </c>
    </row>
    <row r="75" spans="1:28">
      <c r="A75" s="119" t="s">
        <v>110</v>
      </c>
      <c r="B75" s="137" t="s">
        <v>237</v>
      </c>
      <c r="C75" s="137" t="s">
        <v>225</v>
      </c>
      <c r="D75" s="137" t="s">
        <v>45</v>
      </c>
      <c r="E75" s="212">
        <v>16</v>
      </c>
      <c r="F75" s="119">
        <v>19</v>
      </c>
      <c r="G75" s="119"/>
      <c r="H75" s="119"/>
      <c r="I75" s="119"/>
      <c r="J75" s="135" t="s">
        <v>245</v>
      </c>
      <c r="K75" s="119"/>
      <c r="L75" s="119">
        <v>370</v>
      </c>
      <c r="M75" s="223">
        <f t="shared" si="5"/>
        <v>-7.8382019413952548</v>
      </c>
      <c r="N75" s="966">
        <v>90468</v>
      </c>
      <c r="O75" s="119">
        <v>10057</v>
      </c>
      <c r="P75" s="119">
        <v>10084</v>
      </c>
      <c r="Q75" s="119">
        <v>16</v>
      </c>
      <c r="R75" s="119">
        <v>19</v>
      </c>
      <c r="S75" s="967">
        <v>979.6</v>
      </c>
      <c r="T75" s="119"/>
      <c r="U75" s="119">
        <v>69928</v>
      </c>
      <c r="V75" s="119"/>
      <c r="W75" s="119">
        <f t="shared" si="6"/>
        <v>7249.04</v>
      </c>
      <c r="X75" s="222">
        <v>17</v>
      </c>
      <c r="Y75" s="222">
        <v>16</v>
      </c>
      <c r="Z75" s="222">
        <v>26.7</v>
      </c>
      <c r="AA75" s="222">
        <v>986.7</v>
      </c>
      <c r="AB75" s="116">
        <f t="shared" si="7"/>
        <v>7.1000000000000227</v>
      </c>
    </row>
    <row r="76" spans="1:28">
      <c r="A76" s="119" t="s">
        <v>110</v>
      </c>
      <c r="B76" s="137" t="s">
        <v>233</v>
      </c>
      <c r="C76" s="137" t="s">
        <v>185</v>
      </c>
      <c r="D76" s="137" t="s">
        <v>45</v>
      </c>
      <c r="E76" s="212">
        <v>13</v>
      </c>
      <c r="F76" s="119">
        <v>17</v>
      </c>
      <c r="G76" s="119"/>
      <c r="H76" s="119"/>
      <c r="I76" s="119"/>
      <c r="J76" s="135" t="s">
        <v>245</v>
      </c>
      <c r="K76" s="119"/>
      <c r="L76" s="119">
        <v>370</v>
      </c>
      <c r="M76" s="223">
        <f t="shared" si="5"/>
        <v>-7.8382019413952548</v>
      </c>
      <c r="N76" s="966">
        <v>90468</v>
      </c>
      <c r="O76" s="119">
        <v>10057</v>
      </c>
      <c r="P76" s="119">
        <v>10084</v>
      </c>
      <c r="Q76" s="119">
        <v>13</v>
      </c>
      <c r="R76" s="119">
        <v>17</v>
      </c>
      <c r="S76" s="967">
        <v>799.4</v>
      </c>
      <c r="T76" s="119"/>
      <c r="U76" s="119">
        <v>69924</v>
      </c>
      <c r="V76" s="119"/>
      <c r="W76" s="119">
        <f t="shared" si="6"/>
        <v>5915.5599999999995</v>
      </c>
      <c r="X76" s="222">
        <v>14</v>
      </c>
      <c r="Y76" s="222">
        <v>13</v>
      </c>
      <c r="Z76" s="222">
        <v>27.4</v>
      </c>
      <c r="AA76" s="222">
        <v>807.4</v>
      </c>
      <c r="AB76" s="116">
        <f t="shared" si="7"/>
        <v>8</v>
      </c>
    </row>
    <row r="77" spans="1:28" ht="14.15" customHeight="1">
      <c r="A77" s="119" t="s">
        <v>110</v>
      </c>
      <c r="B77" s="137" t="s">
        <v>243</v>
      </c>
      <c r="C77" s="137" t="s">
        <v>226</v>
      </c>
      <c r="D77" s="137" t="s">
        <v>45</v>
      </c>
      <c r="E77" s="212">
        <v>15</v>
      </c>
      <c r="F77" s="119">
        <v>29</v>
      </c>
      <c r="G77" s="119"/>
      <c r="H77" s="119"/>
      <c r="I77" s="119"/>
      <c r="J77" s="135" t="s">
        <v>245</v>
      </c>
      <c r="K77" s="119"/>
      <c r="L77" s="119">
        <v>370</v>
      </c>
      <c r="M77" s="223">
        <f t="shared" si="5"/>
        <v>-7.8382019413952548</v>
      </c>
      <c r="N77" s="966">
        <v>90468</v>
      </c>
      <c r="O77" s="119">
        <v>10057</v>
      </c>
      <c r="P77" s="119">
        <v>10084</v>
      </c>
      <c r="Q77" s="119">
        <v>15</v>
      </c>
      <c r="R77" s="119">
        <v>29</v>
      </c>
      <c r="S77" s="967">
        <v>928.3</v>
      </c>
      <c r="T77" s="119"/>
      <c r="U77" s="119">
        <v>69914</v>
      </c>
      <c r="V77" s="119"/>
      <c r="W77" s="119">
        <f t="shared" si="6"/>
        <v>6869.4199999999992</v>
      </c>
      <c r="X77" s="222">
        <v>16</v>
      </c>
      <c r="Y77" s="222">
        <v>15</v>
      </c>
      <c r="Z77" s="222">
        <v>35.6</v>
      </c>
      <c r="AA77" s="222">
        <v>935.6</v>
      </c>
      <c r="AB77" s="116">
        <f t="shared" si="7"/>
        <v>7.3000000000000682</v>
      </c>
    </row>
    <row r="78" spans="1:28">
      <c r="A78" s="119" t="s">
        <v>110</v>
      </c>
      <c r="B78" s="137" t="s">
        <v>238</v>
      </c>
      <c r="C78" s="137" t="s">
        <v>186</v>
      </c>
      <c r="D78" s="137" t="s">
        <v>45</v>
      </c>
      <c r="E78" s="212">
        <v>13</v>
      </c>
      <c r="F78" s="119">
        <v>32</v>
      </c>
      <c r="G78" s="119"/>
      <c r="H78" s="119"/>
      <c r="I78" s="119"/>
      <c r="J78" s="135" t="s">
        <v>245</v>
      </c>
      <c r="K78" s="119"/>
      <c r="L78" s="119">
        <v>370</v>
      </c>
      <c r="M78" s="223">
        <f t="shared" si="5"/>
        <v>-7.8382019413952548</v>
      </c>
      <c r="N78" s="966">
        <v>90468</v>
      </c>
      <c r="O78" s="119">
        <v>10057</v>
      </c>
      <c r="P78" s="119">
        <v>10084</v>
      </c>
      <c r="Q78" s="119">
        <v>13</v>
      </c>
      <c r="R78" s="119">
        <v>32</v>
      </c>
      <c r="S78" s="967">
        <v>815.3</v>
      </c>
      <c r="T78" s="119"/>
      <c r="U78" s="119">
        <v>69927</v>
      </c>
      <c r="V78" s="119"/>
      <c r="W78" s="119">
        <f t="shared" si="6"/>
        <v>6033.22</v>
      </c>
      <c r="X78" s="222">
        <v>14</v>
      </c>
      <c r="Y78" s="222">
        <v>13</v>
      </c>
      <c r="Z78" s="222">
        <v>37.4</v>
      </c>
      <c r="AA78" s="222">
        <v>817.4</v>
      </c>
      <c r="AB78" s="116">
        <f t="shared" si="7"/>
        <v>2.1000000000000227</v>
      </c>
    </row>
    <row r="79" spans="1:28">
      <c r="A79" s="119" t="s">
        <v>110</v>
      </c>
      <c r="B79" s="137" t="s">
        <v>239</v>
      </c>
      <c r="C79" s="137" t="s">
        <v>187</v>
      </c>
      <c r="D79" s="137" t="s">
        <v>45</v>
      </c>
      <c r="E79" s="212">
        <v>12</v>
      </c>
      <c r="F79" s="119">
        <v>8</v>
      </c>
      <c r="G79" s="119"/>
      <c r="H79" s="119"/>
      <c r="I79" s="119"/>
      <c r="J79" s="135" t="s">
        <v>245</v>
      </c>
      <c r="K79" s="119"/>
      <c r="L79" s="119">
        <v>370</v>
      </c>
      <c r="M79" s="223">
        <f t="shared" si="5"/>
        <v>-7.8382019413952548</v>
      </c>
      <c r="N79" s="966">
        <v>90468</v>
      </c>
      <c r="O79" s="119">
        <v>10057</v>
      </c>
      <c r="P79" s="119">
        <v>10084</v>
      </c>
      <c r="Q79" s="119">
        <v>12</v>
      </c>
      <c r="R79" s="119">
        <v>8</v>
      </c>
      <c r="S79" s="967">
        <v>728.4</v>
      </c>
      <c r="T79" s="119"/>
      <c r="U79" s="119">
        <v>69921</v>
      </c>
      <c r="V79" s="119"/>
      <c r="W79" s="119">
        <f t="shared" si="6"/>
        <v>5390.1599999999989</v>
      </c>
      <c r="X79" s="222">
        <v>13</v>
      </c>
      <c r="Y79" s="222">
        <v>12</v>
      </c>
      <c r="Z79" s="222">
        <v>13.3</v>
      </c>
      <c r="AA79" s="222">
        <v>733.3</v>
      </c>
      <c r="AB79" s="116">
        <f t="shared" si="7"/>
        <v>4.8999999999999773</v>
      </c>
    </row>
    <row r="80" spans="1:28">
      <c r="A80" s="119" t="s">
        <v>110</v>
      </c>
      <c r="B80" s="137" t="s">
        <v>236</v>
      </c>
      <c r="C80" s="137" t="s">
        <v>227</v>
      </c>
      <c r="D80" s="137" t="s">
        <v>45</v>
      </c>
      <c r="E80" s="212">
        <v>13</v>
      </c>
      <c r="F80" s="119">
        <v>7</v>
      </c>
      <c r="G80" s="119"/>
      <c r="H80" s="119"/>
      <c r="I80" s="119"/>
      <c r="J80" s="135" t="s">
        <v>245</v>
      </c>
      <c r="K80" s="119"/>
      <c r="L80" s="119">
        <v>370</v>
      </c>
      <c r="M80" s="223">
        <f t="shared" si="5"/>
        <v>-7.8382019413952548</v>
      </c>
      <c r="N80" s="966">
        <v>90468</v>
      </c>
      <c r="O80" s="119">
        <v>10057</v>
      </c>
      <c r="P80" s="119">
        <v>10084</v>
      </c>
      <c r="Q80" s="119">
        <v>13</v>
      </c>
      <c r="R80" s="119">
        <v>7</v>
      </c>
      <c r="S80" s="967">
        <v>786.1</v>
      </c>
      <c r="T80" s="119"/>
      <c r="U80" s="119">
        <v>69910</v>
      </c>
      <c r="V80" s="119"/>
      <c r="W80" s="119">
        <f t="shared" si="6"/>
        <v>5817.14</v>
      </c>
      <c r="X80" s="222">
        <v>14</v>
      </c>
      <c r="Y80" s="222">
        <v>13</v>
      </c>
      <c r="Z80" s="222">
        <v>11.4</v>
      </c>
      <c r="AA80" s="222">
        <v>791.4</v>
      </c>
      <c r="AB80" s="116">
        <f t="shared" si="7"/>
        <v>5.2999999999999545</v>
      </c>
    </row>
    <row r="81" spans="1:28">
      <c r="A81" s="119" t="s">
        <v>110</v>
      </c>
      <c r="B81" s="137" t="s">
        <v>235</v>
      </c>
      <c r="C81" s="137" t="s">
        <v>188</v>
      </c>
      <c r="D81" s="137" t="s">
        <v>45</v>
      </c>
      <c r="E81" s="212">
        <v>13</v>
      </c>
      <c r="F81" s="119">
        <v>19</v>
      </c>
      <c r="G81" s="119"/>
      <c r="H81" s="119"/>
      <c r="I81" s="119"/>
      <c r="J81" s="135" t="s">
        <v>245</v>
      </c>
      <c r="K81" s="119"/>
      <c r="L81" s="119">
        <v>370</v>
      </c>
      <c r="M81" s="223">
        <f t="shared" si="5"/>
        <v>-7.8382019413952548</v>
      </c>
      <c r="N81" s="966">
        <v>90468</v>
      </c>
      <c r="O81" s="119">
        <v>10057</v>
      </c>
      <c r="P81" s="119">
        <v>10084</v>
      </c>
      <c r="Q81" s="119">
        <v>13</v>
      </c>
      <c r="R81" s="119">
        <v>19</v>
      </c>
      <c r="S81" s="967">
        <v>800.8</v>
      </c>
      <c r="T81" s="119"/>
      <c r="U81" s="119">
        <v>69917</v>
      </c>
      <c r="V81" s="119"/>
      <c r="W81" s="119">
        <f t="shared" si="6"/>
        <v>5925.9199999999992</v>
      </c>
      <c r="X81" s="222">
        <v>14</v>
      </c>
      <c r="Y81" s="222">
        <v>13</v>
      </c>
      <c r="Z81" s="222">
        <v>22.4</v>
      </c>
      <c r="AA81" s="222">
        <v>802.4</v>
      </c>
      <c r="AB81" s="116">
        <f t="shared" si="7"/>
        <v>1.6000000000000227</v>
      </c>
    </row>
    <row r="82" spans="1:28" ht="14.15" customHeight="1">
      <c r="A82" s="119" t="s">
        <v>110</v>
      </c>
      <c r="B82" s="137" t="s">
        <v>235</v>
      </c>
      <c r="C82" s="137" t="s">
        <v>228</v>
      </c>
      <c r="D82" s="137" t="s">
        <v>45</v>
      </c>
      <c r="E82" s="212">
        <v>12</v>
      </c>
      <c r="F82" s="119">
        <v>36</v>
      </c>
      <c r="G82" s="119"/>
      <c r="H82" s="119"/>
      <c r="I82" s="119"/>
      <c r="J82" s="135" t="s">
        <v>245</v>
      </c>
      <c r="K82" s="119"/>
      <c r="L82" s="119">
        <v>370</v>
      </c>
      <c r="M82" s="223">
        <f t="shared" si="5"/>
        <v>-7.8382019413952548</v>
      </c>
      <c r="N82" s="966">
        <v>90468</v>
      </c>
      <c r="O82" s="119">
        <v>10057</v>
      </c>
      <c r="P82" s="119">
        <v>10084</v>
      </c>
      <c r="Q82" s="119">
        <v>12</v>
      </c>
      <c r="R82" s="119">
        <v>36</v>
      </c>
      <c r="S82" s="967">
        <v>755.6</v>
      </c>
      <c r="T82" s="119"/>
      <c r="U82" s="119">
        <v>69913</v>
      </c>
      <c r="V82" s="119"/>
      <c r="W82" s="119">
        <f t="shared" si="6"/>
        <v>5591.4400000000005</v>
      </c>
      <c r="X82" s="222">
        <v>14</v>
      </c>
      <c r="Y82" s="222">
        <v>12</v>
      </c>
      <c r="Z82" s="222">
        <v>38.4</v>
      </c>
      <c r="AA82" s="222">
        <v>758.4</v>
      </c>
      <c r="AB82" s="116">
        <f t="shared" si="7"/>
        <v>2.7999999999999545</v>
      </c>
    </row>
    <row r="83" spans="1:28">
      <c r="A83" s="119" t="s">
        <v>110</v>
      </c>
      <c r="B83" s="137" t="s">
        <v>238</v>
      </c>
      <c r="C83" s="137" t="s">
        <v>190</v>
      </c>
      <c r="D83" s="137" t="s">
        <v>45</v>
      </c>
      <c r="E83" s="212">
        <v>17</v>
      </c>
      <c r="F83" s="119">
        <v>28</v>
      </c>
      <c r="G83" s="119"/>
      <c r="H83" s="119"/>
      <c r="I83" s="119"/>
      <c r="J83" s="135" t="s">
        <v>245</v>
      </c>
      <c r="K83" s="119"/>
      <c r="L83" s="119">
        <v>370</v>
      </c>
      <c r="M83" s="223">
        <f t="shared" si="5"/>
        <v>-7.8382019413952548</v>
      </c>
      <c r="N83" s="966">
        <v>90468</v>
      </c>
      <c r="O83" s="119">
        <v>10057</v>
      </c>
      <c r="P83" s="119">
        <v>10084</v>
      </c>
      <c r="Q83" s="119">
        <v>17</v>
      </c>
      <c r="R83" s="119">
        <v>28</v>
      </c>
      <c r="S83" s="967">
        <v>1049.5</v>
      </c>
      <c r="T83" s="119"/>
      <c r="U83" s="119">
        <v>69934</v>
      </c>
      <c r="V83" s="119"/>
      <c r="W83" s="119">
        <f t="shared" si="6"/>
        <v>7766.3</v>
      </c>
      <c r="X83" s="222">
        <v>18</v>
      </c>
      <c r="Y83" s="222">
        <v>17</v>
      </c>
      <c r="Z83" s="222">
        <v>35.799999999999997</v>
      </c>
      <c r="AA83" s="222">
        <v>1055.8</v>
      </c>
      <c r="AB83" s="116">
        <f t="shared" si="7"/>
        <v>6.2999999999999545</v>
      </c>
    </row>
    <row r="84" spans="1:28">
      <c r="A84" s="119" t="s">
        <v>110</v>
      </c>
      <c r="B84" s="137" t="s">
        <v>237</v>
      </c>
      <c r="C84" s="137" t="s">
        <v>207</v>
      </c>
      <c r="D84" s="137" t="s">
        <v>45</v>
      </c>
      <c r="E84" s="212">
        <v>26</v>
      </c>
      <c r="F84" s="119">
        <v>18</v>
      </c>
      <c r="G84" s="119"/>
      <c r="H84" s="119"/>
      <c r="I84" s="119"/>
      <c r="J84" s="135" t="s">
        <v>245</v>
      </c>
      <c r="K84" s="119"/>
      <c r="L84" s="119">
        <v>370</v>
      </c>
      <c r="M84" s="223">
        <f t="shared" si="5"/>
        <v>-7.8382019413952548</v>
      </c>
      <c r="N84" s="966">
        <v>90468</v>
      </c>
      <c r="O84" s="119">
        <v>10057</v>
      </c>
      <c r="P84" s="119">
        <v>10084</v>
      </c>
      <c r="Q84" s="119">
        <v>26</v>
      </c>
      <c r="R84" s="119">
        <v>18</v>
      </c>
      <c r="S84" s="967">
        <v>1579.2</v>
      </c>
      <c r="T84" s="119"/>
      <c r="U84" s="119">
        <v>69937</v>
      </c>
      <c r="V84" s="119"/>
      <c r="W84" s="119">
        <f t="shared" si="6"/>
        <v>11686.08</v>
      </c>
      <c r="X84" s="222">
        <v>27</v>
      </c>
      <c r="Y84" s="222">
        <v>26</v>
      </c>
      <c r="Z84" s="222">
        <v>34.700000000000003</v>
      </c>
      <c r="AA84" s="222">
        <v>1594.7</v>
      </c>
      <c r="AB84" s="116">
        <f t="shared" si="7"/>
        <v>15.5</v>
      </c>
    </row>
    <row r="85" spans="1:28">
      <c r="A85" s="119" t="s">
        <v>110</v>
      </c>
      <c r="B85" s="137" t="s">
        <v>234</v>
      </c>
      <c r="C85" s="137" t="s">
        <v>229</v>
      </c>
      <c r="D85" s="137" t="s">
        <v>45</v>
      </c>
      <c r="E85" s="212">
        <v>19</v>
      </c>
      <c r="F85" s="119">
        <v>39</v>
      </c>
      <c r="G85" s="119"/>
      <c r="H85" s="119"/>
      <c r="I85" s="119"/>
      <c r="J85" s="135" t="s">
        <v>245</v>
      </c>
      <c r="K85" s="119"/>
      <c r="L85" s="119">
        <v>370</v>
      </c>
      <c r="M85" s="223">
        <f t="shared" si="5"/>
        <v>-7.8382019413952548</v>
      </c>
      <c r="N85" s="966">
        <v>90468</v>
      </c>
      <c r="O85" s="119">
        <v>10057</v>
      </c>
      <c r="P85" s="119">
        <v>10084</v>
      </c>
      <c r="Q85" s="119">
        <v>19</v>
      </c>
      <c r="R85" s="119">
        <v>39</v>
      </c>
      <c r="S85" s="967">
        <v>1180.9000000000001</v>
      </c>
      <c r="T85" s="119"/>
      <c r="U85" s="119">
        <v>69930</v>
      </c>
      <c r="V85" s="119"/>
      <c r="W85" s="119">
        <f t="shared" si="6"/>
        <v>8738.66</v>
      </c>
      <c r="X85" s="222">
        <v>20</v>
      </c>
      <c r="Y85" s="222">
        <v>19</v>
      </c>
      <c r="Z85" s="222">
        <v>45</v>
      </c>
      <c r="AA85" s="222">
        <v>1185</v>
      </c>
      <c r="AB85" s="116">
        <f t="shared" si="7"/>
        <v>4.0999999999999091</v>
      </c>
    </row>
    <row r="86" spans="1:28">
      <c r="A86" s="119" t="s">
        <v>110</v>
      </c>
      <c r="B86" s="137" t="s">
        <v>239</v>
      </c>
      <c r="C86" s="137" t="s">
        <v>230</v>
      </c>
      <c r="D86" s="137" t="s">
        <v>45</v>
      </c>
      <c r="E86" s="212">
        <v>17</v>
      </c>
      <c r="F86" s="119">
        <v>14</v>
      </c>
      <c r="G86" s="119"/>
      <c r="H86" s="119"/>
      <c r="I86" s="119"/>
      <c r="J86" s="135" t="s">
        <v>245</v>
      </c>
      <c r="K86" s="119"/>
      <c r="L86" s="119">
        <v>370</v>
      </c>
      <c r="M86" s="223">
        <f t="shared" si="5"/>
        <v>-7.8382019413952548</v>
      </c>
      <c r="N86" s="966">
        <v>90468</v>
      </c>
      <c r="O86" s="119">
        <v>10057</v>
      </c>
      <c r="P86" s="119">
        <v>10084</v>
      </c>
      <c r="Q86" s="119">
        <v>17</v>
      </c>
      <c r="R86" s="119">
        <v>14</v>
      </c>
      <c r="S86" s="967">
        <v>1039.0999999999999</v>
      </c>
      <c r="T86" s="119"/>
      <c r="U86" s="119">
        <v>69931</v>
      </c>
      <c r="V86" s="119"/>
      <c r="W86" s="119">
        <f t="shared" si="6"/>
        <v>7689.3399999999992</v>
      </c>
      <c r="X86" s="222">
        <v>18</v>
      </c>
      <c r="Y86" s="222">
        <v>17</v>
      </c>
      <c r="Z86" s="222">
        <v>27.8</v>
      </c>
      <c r="AA86" s="222">
        <v>1047.8</v>
      </c>
      <c r="AB86" s="116">
        <f t="shared" si="7"/>
        <v>8.7000000000000455</v>
      </c>
    </row>
    <row r="87" spans="1:28">
      <c r="A87" s="119" t="s">
        <v>110</v>
      </c>
      <c r="B87" s="137" t="s">
        <v>239</v>
      </c>
      <c r="C87" s="137" t="s">
        <v>231</v>
      </c>
      <c r="D87" s="137" t="s">
        <v>45</v>
      </c>
      <c r="E87" s="212">
        <v>18</v>
      </c>
      <c r="F87" s="119">
        <v>54</v>
      </c>
      <c r="G87" s="119"/>
      <c r="H87" s="119"/>
      <c r="I87" s="119"/>
      <c r="J87" s="135" t="s">
        <v>245</v>
      </c>
      <c r="K87" s="119"/>
      <c r="L87" s="119">
        <v>370</v>
      </c>
      <c r="M87" s="223">
        <f t="shared" si="5"/>
        <v>-7.8382019413952548</v>
      </c>
      <c r="N87" s="966">
        <v>90468</v>
      </c>
      <c r="O87" s="119">
        <v>10057</v>
      </c>
      <c r="P87" s="119">
        <v>10084</v>
      </c>
      <c r="Q87" s="119">
        <v>18</v>
      </c>
      <c r="R87" s="119">
        <v>54</v>
      </c>
      <c r="S87" s="967">
        <v>1128.8</v>
      </c>
      <c r="T87" s="119"/>
      <c r="U87" s="119">
        <v>69939</v>
      </c>
      <c r="V87" s="119"/>
      <c r="W87" s="119">
        <f t="shared" si="6"/>
        <v>8353.119999999999</v>
      </c>
      <c r="X87" s="222">
        <v>19</v>
      </c>
      <c r="Y87" s="222">
        <v>19</v>
      </c>
      <c r="Z87" s="222">
        <v>0.9</v>
      </c>
      <c r="AA87" s="222">
        <v>1140.9000000000001</v>
      </c>
      <c r="AB87" s="116">
        <f t="shared" si="7"/>
        <v>12.100000000000136</v>
      </c>
    </row>
    <row r="88" spans="1:28">
      <c r="A88" s="119" t="s">
        <v>110</v>
      </c>
      <c r="B88" s="137" t="s">
        <v>237</v>
      </c>
      <c r="C88" s="137" t="s">
        <v>232</v>
      </c>
      <c r="D88" s="137" t="s">
        <v>45</v>
      </c>
      <c r="E88" s="212">
        <v>10</v>
      </c>
      <c r="F88" s="119">
        <v>20</v>
      </c>
      <c r="G88" s="119"/>
      <c r="H88" s="119"/>
      <c r="I88" s="119"/>
      <c r="J88" s="135" t="s">
        <v>245</v>
      </c>
      <c r="K88" s="119"/>
      <c r="L88" s="119">
        <v>370</v>
      </c>
      <c r="M88" s="223">
        <f t="shared" si="5"/>
        <v>-7.8382019413952548</v>
      </c>
      <c r="N88" s="966">
        <v>90468</v>
      </c>
      <c r="O88" s="119">
        <v>10057</v>
      </c>
      <c r="P88" s="119">
        <v>10084</v>
      </c>
      <c r="Q88" s="119">
        <v>10</v>
      </c>
      <c r="R88" s="119">
        <v>20</v>
      </c>
      <c r="S88" s="967">
        <v>616</v>
      </c>
      <c r="T88" s="119"/>
      <c r="U88" s="119">
        <v>69888</v>
      </c>
      <c r="V88" s="119"/>
      <c r="W88" s="119">
        <f t="shared" si="6"/>
        <v>4558.4000000000005</v>
      </c>
      <c r="X88" s="222">
        <v>11</v>
      </c>
      <c r="Y88" s="222">
        <v>10</v>
      </c>
      <c r="Z88" s="222">
        <v>12.1</v>
      </c>
      <c r="AA88" s="222">
        <v>612.1</v>
      </c>
      <c r="AB88" s="116">
        <f t="shared" si="7"/>
        <v>-3.8999999999999773</v>
      </c>
    </row>
    <row r="89" spans="1:28">
      <c r="N89" s="122"/>
      <c r="W89" s="164">
        <f>SUM(W3:W88)</f>
        <v>1928339.2399999991</v>
      </c>
      <c r="Y89" s="164">
        <f>AA89/60</f>
        <v>3811.5416666666642</v>
      </c>
      <c r="AA89" s="164">
        <f>SUM(AA3:AA88)</f>
        <v>228692.49999999985</v>
      </c>
    </row>
  </sheetData>
  <autoFilter ref="A2:AA89" xr:uid="{8435D4C3-F263-4F8B-B1D1-95C99B0991A1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AB79-23B7-4761-BE3F-DFCD6814FE5F}">
  <dimension ref="A1:V63"/>
  <sheetViews>
    <sheetView workbookViewId="0">
      <selection activeCell="H30" sqref="H30"/>
    </sheetView>
  </sheetViews>
  <sheetFormatPr defaultColWidth="8.81640625" defaultRowHeight="13"/>
  <cols>
    <col min="1" max="2" width="13.1796875" style="116" customWidth="1"/>
    <col min="3" max="3" width="10.81640625" style="116" customWidth="1"/>
    <col min="4" max="4" width="13.1796875" style="116" customWidth="1"/>
    <col min="5" max="5" width="8.81640625" style="116"/>
    <col min="6" max="6" width="15" style="116" customWidth="1"/>
    <col min="7" max="8" width="8.81640625" style="116" customWidth="1"/>
    <col min="9" max="9" width="17.90625" style="116" bestFit="1" customWidth="1"/>
    <col min="10" max="10" width="14.6328125" style="116" bestFit="1" customWidth="1"/>
    <col min="11" max="11" width="13.90625" style="116" bestFit="1" customWidth="1"/>
    <col min="12" max="12" width="8.81640625" style="116" customWidth="1"/>
    <col min="13" max="13" width="10.1796875" style="116" customWidth="1"/>
    <col min="14" max="14" width="10.54296875" style="116" customWidth="1"/>
    <col min="15" max="15" width="10.81640625" style="116" customWidth="1"/>
    <col min="16" max="16" width="13.81640625" style="116" customWidth="1"/>
    <col min="17" max="17" width="12.1796875" style="116" customWidth="1"/>
    <col min="18" max="18" width="13.453125" style="116" bestFit="1" customWidth="1"/>
    <col min="19" max="19" width="12.81640625" style="116" bestFit="1" customWidth="1"/>
    <col min="20" max="20" width="12.453125" style="116" bestFit="1" customWidth="1"/>
    <col min="21" max="21" width="14.54296875" style="116" bestFit="1" customWidth="1"/>
    <col min="22" max="16384" width="8.81640625" style="116"/>
  </cols>
  <sheetData>
    <row r="1" spans="1:22">
      <c r="A1" s="115" t="s">
        <v>80</v>
      </c>
      <c r="B1" s="115" t="s">
        <v>160</v>
      </c>
      <c r="C1" s="117" t="s">
        <v>81</v>
      </c>
      <c r="D1" s="117" t="s">
        <v>33</v>
      </c>
      <c r="E1" s="117" t="s">
        <v>82</v>
      </c>
      <c r="F1" s="117" t="s">
        <v>35</v>
      </c>
      <c r="G1" s="117" t="s">
        <v>247</v>
      </c>
      <c r="H1" s="117"/>
      <c r="I1" s="117" t="s">
        <v>1</v>
      </c>
      <c r="J1" s="117" t="s">
        <v>248</v>
      </c>
      <c r="K1" s="117" t="s">
        <v>249</v>
      </c>
      <c r="L1" s="113" t="s">
        <v>250</v>
      </c>
      <c r="M1" s="113" t="s">
        <v>24</v>
      </c>
      <c r="N1" s="113" t="s">
        <v>39</v>
      </c>
      <c r="O1" s="113" t="s">
        <v>35</v>
      </c>
      <c r="P1" s="115" t="s">
        <v>379</v>
      </c>
      <c r="Q1" s="113" t="s">
        <v>407</v>
      </c>
      <c r="R1" s="221" t="s">
        <v>705</v>
      </c>
      <c r="S1" s="221" t="s">
        <v>703</v>
      </c>
      <c r="T1" s="221" t="s">
        <v>704</v>
      </c>
      <c r="U1" s="221" t="s">
        <v>157</v>
      </c>
      <c r="V1" s="116" t="s">
        <v>378</v>
      </c>
    </row>
    <row r="2" spans="1:22">
      <c r="A2" s="119" t="s">
        <v>251</v>
      </c>
      <c r="B2" s="119" t="s">
        <v>70</v>
      </c>
      <c r="C2" s="135" t="s">
        <v>42</v>
      </c>
      <c r="D2" s="135">
        <v>30</v>
      </c>
      <c r="E2" s="136">
        <v>64</v>
      </c>
      <c r="F2" s="138">
        <f t="shared" ref="F2:F12" si="0">D2*60+E2</f>
        <v>1864</v>
      </c>
      <c r="G2" s="136" t="s">
        <v>94</v>
      </c>
      <c r="H2" s="136"/>
      <c r="I2" s="136">
        <v>90502</v>
      </c>
      <c r="J2" s="135">
        <v>10027</v>
      </c>
      <c r="K2" s="135">
        <v>10030</v>
      </c>
      <c r="L2" s="135">
        <v>410</v>
      </c>
      <c r="M2" s="135">
        <v>30</v>
      </c>
      <c r="N2" s="135">
        <v>64</v>
      </c>
      <c r="O2" s="135">
        <v>1866.4</v>
      </c>
      <c r="P2" s="119">
        <v>70083</v>
      </c>
      <c r="Q2" s="236">
        <f>F2/60*L2*1.2</f>
        <v>15284.8</v>
      </c>
      <c r="R2" s="222">
        <v>31</v>
      </c>
      <c r="S2" s="222">
        <v>31</v>
      </c>
      <c r="T2" s="222">
        <v>9.1</v>
      </c>
      <c r="U2" s="222">
        <v>1869.1</v>
      </c>
      <c r="V2" s="116">
        <f>U2-O2</f>
        <v>2.6999999999998181</v>
      </c>
    </row>
    <row r="3" spans="1:22">
      <c r="A3" s="119" t="s">
        <v>251</v>
      </c>
      <c r="B3" s="119" t="s">
        <v>70</v>
      </c>
      <c r="C3" s="135" t="s">
        <v>43</v>
      </c>
      <c r="D3" s="135">
        <v>52</v>
      </c>
      <c r="E3" s="136">
        <v>20</v>
      </c>
      <c r="F3" s="138">
        <f t="shared" si="0"/>
        <v>3140</v>
      </c>
      <c r="G3" s="136" t="s">
        <v>94</v>
      </c>
      <c r="H3" s="136"/>
      <c r="I3" s="136">
        <v>90502</v>
      </c>
      <c r="J3" s="135">
        <v>10027</v>
      </c>
      <c r="K3" s="135">
        <v>10040</v>
      </c>
      <c r="L3" s="135">
        <v>385</v>
      </c>
      <c r="M3" s="135">
        <v>52</v>
      </c>
      <c r="N3" s="135">
        <v>20</v>
      </c>
      <c r="O3" s="135">
        <v>3141.4</v>
      </c>
      <c r="P3" s="119">
        <v>70088</v>
      </c>
      <c r="Q3" s="236">
        <f t="shared" ref="Q3:Q12" si="1">F3/60*L3*1.2</f>
        <v>24178.000000000004</v>
      </c>
      <c r="R3" s="222">
        <v>53</v>
      </c>
      <c r="S3" s="222">
        <v>52</v>
      </c>
      <c r="T3" s="222">
        <v>31.3</v>
      </c>
      <c r="U3" s="222">
        <v>3151.3</v>
      </c>
      <c r="V3" s="116">
        <f t="shared" ref="V3:V12" si="2">U3-O3</f>
        <v>9.9000000000000909</v>
      </c>
    </row>
    <row r="4" spans="1:22">
      <c r="A4" s="119" t="s">
        <v>252</v>
      </c>
      <c r="B4" s="119" t="s">
        <v>259</v>
      </c>
      <c r="C4" s="135" t="s">
        <v>42</v>
      </c>
      <c r="D4" s="135">
        <v>52</v>
      </c>
      <c r="E4" s="136">
        <v>42</v>
      </c>
      <c r="F4" s="138">
        <f t="shared" si="0"/>
        <v>3162</v>
      </c>
      <c r="G4" s="136" t="s">
        <v>89</v>
      </c>
      <c r="H4" s="136"/>
      <c r="I4" s="136">
        <v>90502</v>
      </c>
      <c r="J4" s="135">
        <v>10027</v>
      </c>
      <c r="K4" s="135">
        <v>10030</v>
      </c>
      <c r="L4" s="135">
        <v>410</v>
      </c>
      <c r="M4" s="135">
        <v>52</v>
      </c>
      <c r="N4" s="135">
        <v>42</v>
      </c>
      <c r="O4" s="135">
        <v>3165.5</v>
      </c>
      <c r="P4" s="119">
        <v>70084</v>
      </c>
      <c r="Q4" s="236">
        <f t="shared" si="1"/>
        <v>25928.399999999998</v>
      </c>
      <c r="R4" s="222">
        <v>53</v>
      </c>
      <c r="S4" s="222">
        <v>52</v>
      </c>
      <c r="T4" s="222">
        <v>43.3</v>
      </c>
      <c r="U4" s="222">
        <v>3163.3</v>
      </c>
      <c r="V4" s="116">
        <f t="shared" si="2"/>
        <v>-2.1999999999998181</v>
      </c>
    </row>
    <row r="5" spans="1:22">
      <c r="A5" s="119" t="s">
        <v>253</v>
      </c>
      <c r="B5" s="119" t="s">
        <v>73</v>
      </c>
      <c r="C5" s="135" t="s">
        <v>42</v>
      </c>
      <c r="D5" s="135">
        <v>45</v>
      </c>
      <c r="E5" s="136">
        <v>17</v>
      </c>
      <c r="F5" s="138">
        <f t="shared" si="0"/>
        <v>2717</v>
      </c>
      <c r="G5" s="136" t="s">
        <v>94</v>
      </c>
      <c r="H5" s="136"/>
      <c r="I5" s="136">
        <v>90502</v>
      </c>
      <c r="J5" s="135">
        <v>10027</v>
      </c>
      <c r="K5" s="135">
        <v>10030</v>
      </c>
      <c r="L5" s="135">
        <v>410</v>
      </c>
      <c r="M5" s="135">
        <v>45</v>
      </c>
      <c r="N5" s="135">
        <v>17</v>
      </c>
      <c r="O5" s="135">
        <v>2726</v>
      </c>
      <c r="P5" s="119">
        <v>70085</v>
      </c>
      <c r="Q5" s="236">
        <f t="shared" si="1"/>
        <v>22279.399999999998</v>
      </c>
      <c r="R5" s="222">
        <v>46</v>
      </c>
      <c r="S5" s="222">
        <v>45</v>
      </c>
      <c r="T5" s="222">
        <v>24.6</v>
      </c>
      <c r="U5" s="222">
        <v>2724.6</v>
      </c>
      <c r="V5" s="116">
        <f t="shared" si="2"/>
        <v>-1.4000000000000909</v>
      </c>
    </row>
    <row r="6" spans="1:22">
      <c r="A6" s="137" t="s">
        <v>254</v>
      </c>
      <c r="B6" s="137" t="s">
        <v>73</v>
      </c>
      <c r="C6" s="135" t="s">
        <v>43</v>
      </c>
      <c r="D6" s="135">
        <v>64</v>
      </c>
      <c r="E6" s="136">
        <v>56</v>
      </c>
      <c r="F6" s="138">
        <f t="shared" si="0"/>
        <v>3896</v>
      </c>
      <c r="G6" s="136" t="s">
        <v>94</v>
      </c>
      <c r="H6" s="136"/>
      <c r="I6" s="136">
        <v>90502</v>
      </c>
      <c r="J6" s="135">
        <v>10027</v>
      </c>
      <c r="K6" s="135">
        <v>10040</v>
      </c>
      <c r="L6" s="135">
        <v>385</v>
      </c>
      <c r="M6" s="135">
        <v>64</v>
      </c>
      <c r="N6" s="135">
        <v>56</v>
      </c>
      <c r="O6" s="135">
        <v>3905.8</v>
      </c>
      <c r="P6" s="119">
        <v>70090</v>
      </c>
      <c r="Q6" s="236">
        <f t="shared" si="1"/>
        <v>29999.200000000001</v>
      </c>
      <c r="R6" s="222">
        <v>65</v>
      </c>
      <c r="S6" s="222">
        <v>64</v>
      </c>
      <c r="T6" s="222">
        <v>55.5</v>
      </c>
      <c r="U6" s="222">
        <v>3895.5</v>
      </c>
      <c r="V6" s="116">
        <f t="shared" si="2"/>
        <v>-10.300000000000182</v>
      </c>
    </row>
    <row r="7" spans="1:22">
      <c r="A7" s="119" t="s">
        <v>255</v>
      </c>
      <c r="B7" s="119" t="s">
        <v>259</v>
      </c>
      <c r="C7" s="135" t="s">
        <v>42</v>
      </c>
      <c r="D7" s="135">
        <v>22</v>
      </c>
      <c r="E7" s="136">
        <v>41</v>
      </c>
      <c r="F7" s="138">
        <f t="shared" si="0"/>
        <v>1361</v>
      </c>
      <c r="G7" s="136" t="s">
        <v>89</v>
      </c>
      <c r="H7" s="136"/>
      <c r="I7" s="136">
        <v>90502</v>
      </c>
      <c r="J7" s="135">
        <v>10027</v>
      </c>
      <c r="K7" s="135">
        <v>10030</v>
      </c>
      <c r="L7" s="135">
        <v>410</v>
      </c>
      <c r="M7" s="135">
        <v>22</v>
      </c>
      <c r="N7" s="135">
        <v>41</v>
      </c>
      <c r="O7" s="135">
        <v>1363.8</v>
      </c>
      <c r="P7" s="119">
        <v>70086</v>
      </c>
      <c r="Q7" s="236">
        <f t="shared" si="1"/>
        <v>11160.199999999999</v>
      </c>
      <c r="R7" s="222">
        <v>23</v>
      </c>
      <c r="S7" s="222">
        <v>22</v>
      </c>
      <c r="T7" s="222">
        <v>50.3</v>
      </c>
      <c r="U7" s="222">
        <v>1370.3</v>
      </c>
      <c r="V7" s="116">
        <f t="shared" si="2"/>
        <v>6.5</v>
      </c>
    </row>
    <row r="8" spans="1:22">
      <c r="A8" s="119" t="s">
        <v>256</v>
      </c>
      <c r="B8" s="119" t="s">
        <v>73</v>
      </c>
      <c r="C8" s="135" t="s">
        <v>42</v>
      </c>
      <c r="D8" s="135">
        <v>42</v>
      </c>
      <c r="E8" s="136">
        <v>20</v>
      </c>
      <c r="F8" s="138">
        <f t="shared" si="0"/>
        <v>2540</v>
      </c>
      <c r="G8" s="136" t="s">
        <v>94</v>
      </c>
      <c r="H8" s="136"/>
      <c r="I8" s="136">
        <v>90502</v>
      </c>
      <c r="J8" s="135">
        <v>10027</v>
      </c>
      <c r="K8" s="135">
        <v>10030</v>
      </c>
      <c r="L8" s="135">
        <v>410</v>
      </c>
      <c r="M8" s="135">
        <v>42</v>
      </c>
      <c r="N8" s="135">
        <v>20</v>
      </c>
      <c r="O8" s="135">
        <v>2546.6999999999998</v>
      </c>
      <c r="P8" s="119">
        <v>70087</v>
      </c>
      <c r="Q8" s="236">
        <f t="shared" si="1"/>
        <v>20828</v>
      </c>
      <c r="R8" s="222">
        <v>43</v>
      </c>
      <c r="S8" s="222">
        <v>42</v>
      </c>
      <c r="T8" s="222">
        <v>29.3</v>
      </c>
      <c r="U8" s="222">
        <v>2549.3000000000002</v>
      </c>
      <c r="V8" s="116">
        <f t="shared" si="2"/>
        <v>2.6000000000003638</v>
      </c>
    </row>
    <row r="9" spans="1:22">
      <c r="A9" s="119" t="s">
        <v>256</v>
      </c>
      <c r="B9" s="119" t="s">
        <v>73</v>
      </c>
      <c r="C9" s="135" t="s">
        <v>43</v>
      </c>
      <c r="D9" s="135">
        <v>67</v>
      </c>
      <c r="E9" s="136">
        <v>32</v>
      </c>
      <c r="F9" s="138">
        <f t="shared" si="0"/>
        <v>4052</v>
      </c>
      <c r="G9" s="136" t="s">
        <v>94</v>
      </c>
      <c r="H9" s="136"/>
      <c r="I9" s="136">
        <v>90502</v>
      </c>
      <c r="J9" s="135">
        <v>10027</v>
      </c>
      <c r="K9" s="135">
        <v>10040</v>
      </c>
      <c r="L9" s="135">
        <v>385</v>
      </c>
      <c r="M9" s="135">
        <v>67</v>
      </c>
      <c r="N9" s="135">
        <v>37</v>
      </c>
      <c r="O9" s="135">
        <v>4059.5</v>
      </c>
      <c r="P9" s="119">
        <v>70092</v>
      </c>
      <c r="Q9" s="236">
        <f t="shared" si="1"/>
        <v>31200.399999999998</v>
      </c>
      <c r="R9" s="222">
        <v>68</v>
      </c>
      <c r="S9" s="222">
        <v>67</v>
      </c>
      <c r="T9" s="222">
        <v>49.8</v>
      </c>
      <c r="U9" s="222">
        <v>4069.8</v>
      </c>
      <c r="V9" s="116">
        <f t="shared" si="2"/>
        <v>10.300000000000182</v>
      </c>
    </row>
    <row r="10" spans="1:22">
      <c r="A10" s="119" t="s">
        <v>257</v>
      </c>
      <c r="B10" s="119" t="s">
        <v>259</v>
      </c>
      <c r="C10" s="135" t="s">
        <v>43</v>
      </c>
      <c r="D10" s="135">
        <v>82</v>
      </c>
      <c r="E10" s="136">
        <v>40</v>
      </c>
      <c r="F10" s="138">
        <f t="shared" si="0"/>
        <v>4960</v>
      </c>
      <c r="G10" s="136" t="s">
        <v>89</v>
      </c>
      <c r="H10" s="136"/>
      <c r="I10" s="136">
        <v>90502</v>
      </c>
      <c r="J10" s="135">
        <v>10027</v>
      </c>
      <c r="K10" s="135">
        <v>10040</v>
      </c>
      <c r="L10" s="135">
        <v>385</v>
      </c>
      <c r="M10" s="135">
        <v>82</v>
      </c>
      <c r="N10" s="135">
        <v>40</v>
      </c>
      <c r="O10" s="135">
        <v>4966.1000000000004</v>
      </c>
      <c r="P10" s="119">
        <v>70093</v>
      </c>
      <c r="Q10" s="236">
        <f t="shared" si="1"/>
        <v>38192</v>
      </c>
      <c r="R10" s="222">
        <v>83</v>
      </c>
      <c r="S10" s="222">
        <v>82</v>
      </c>
      <c r="T10" s="222">
        <v>42.3</v>
      </c>
      <c r="U10" s="222">
        <v>4962.3</v>
      </c>
      <c r="V10" s="116">
        <f t="shared" si="2"/>
        <v>-3.8000000000001819</v>
      </c>
    </row>
    <row r="11" spans="1:22">
      <c r="A11" s="119" t="s">
        <v>257</v>
      </c>
      <c r="B11" s="119" t="s">
        <v>259</v>
      </c>
      <c r="C11" s="135" t="s">
        <v>44</v>
      </c>
      <c r="D11" s="135">
        <v>11</v>
      </c>
      <c r="E11" s="136">
        <v>43</v>
      </c>
      <c r="F11" s="138">
        <f t="shared" si="0"/>
        <v>703</v>
      </c>
      <c r="G11" s="136" t="s">
        <v>89</v>
      </c>
      <c r="H11" s="136"/>
      <c r="I11" s="136">
        <v>90502</v>
      </c>
      <c r="J11" s="135">
        <v>10027</v>
      </c>
      <c r="K11" s="135">
        <v>10040</v>
      </c>
      <c r="L11" s="135">
        <v>375</v>
      </c>
      <c r="M11" s="135">
        <v>11</v>
      </c>
      <c r="N11" s="135">
        <v>43</v>
      </c>
      <c r="O11" s="135">
        <v>704.1</v>
      </c>
      <c r="P11" s="119">
        <v>70094</v>
      </c>
      <c r="Q11" s="236">
        <f t="shared" si="1"/>
        <v>5272.5</v>
      </c>
      <c r="R11" s="222">
        <v>12</v>
      </c>
      <c r="S11" s="222">
        <v>11</v>
      </c>
      <c r="T11" s="222">
        <v>40.200000000000003</v>
      </c>
      <c r="U11" s="222">
        <v>700.2</v>
      </c>
      <c r="V11" s="116">
        <f t="shared" si="2"/>
        <v>-3.8999999999999773</v>
      </c>
    </row>
    <row r="12" spans="1:22">
      <c r="A12" s="119" t="s">
        <v>255</v>
      </c>
      <c r="B12" s="119" t="s">
        <v>259</v>
      </c>
      <c r="C12" s="135" t="s">
        <v>43</v>
      </c>
      <c r="D12" s="135">
        <v>37</v>
      </c>
      <c r="E12" s="136">
        <v>37</v>
      </c>
      <c r="F12" s="138">
        <f t="shared" si="0"/>
        <v>2257</v>
      </c>
      <c r="G12" s="136" t="s">
        <v>89</v>
      </c>
      <c r="H12" s="136"/>
      <c r="I12" s="136">
        <v>90502</v>
      </c>
      <c r="J12" s="135">
        <v>10027</v>
      </c>
      <c r="K12" s="135">
        <v>10040</v>
      </c>
      <c r="L12" s="135">
        <v>385</v>
      </c>
      <c r="M12" s="135">
        <v>37</v>
      </c>
      <c r="N12" s="135">
        <v>37</v>
      </c>
      <c r="O12" s="135">
        <v>2263.1999999999998</v>
      </c>
      <c r="P12" s="119">
        <v>70091</v>
      </c>
      <c r="Q12" s="236">
        <f t="shared" si="1"/>
        <v>17378.899999999998</v>
      </c>
      <c r="R12" s="222">
        <v>38</v>
      </c>
      <c r="S12" s="222">
        <v>37</v>
      </c>
      <c r="T12" s="222">
        <v>35.799999999999997</v>
      </c>
      <c r="U12" s="222">
        <v>2255.8000000000002</v>
      </c>
      <c r="V12" s="116">
        <f t="shared" si="2"/>
        <v>-7.3999999999996362</v>
      </c>
    </row>
    <row r="13" spans="1:22">
      <c r="A13" s="233" t="s">
        <v>258</v>
      </c>
      <c r="B13" s="233"/>
      <c r="C13" s="136"/>
      <c r="D13" s="234">
        <f>F13/60</f>
        <v>510.86666666666667</v>
      </c>
      <c r="E13" s="113"/>
      <c r="F13" s="235">
        <f>SUM(F2:F12)</f>
        <v>30652</v>
      </c>
      <c r="G13" s="119"/>
      <c r="H13" s="119"/>
      <c r="I13" s="119"/>
      <c r="J13" s="135"/>
      <c r="K13" s="135"/>
      <c r="L13" s="135"/>
      <c r="M13" s="135"/>
      <c r="N13" s="135"/>
      <c r="O13" s="135">
        <f>SUM(O2:O12)</f>
        <v>30708.499999999996</v>
      </c>
      <c r="P13" s="119"/>
      <c r="Q13" s="236">
        <f>SUM(Q2:Q12)</f>
        <v>241701.8</v>
      </c>
      <c r="R13" s="119"/>
      <c r="S13" s="119"/>
      <c r="T13" s="119"/>
      <c r="U13" s="119">
        <f>SUM(U3:U12)</f>
        <v>28842.399999999998</v>
      </c>
      <c r="V13" s="116">
        <f>SUM(V2:V12)</f>
        <v>3.0000000000005684</v>
      </c>
    </row>
    <row r="14" spans="1:22">
      <c r="C14" s="122"/>
      <c r="D14" s="122"/>
      <c r="E14" s="122"/>
      <c r="J14" s="122"/>
      <c r="K14" s="122"/>
      <c r="L14" s="122"/>
      <c r="M14" s="122"/>
      <c r="N14" s="122"/>
      <c r="O14" s="122"/>
      <c r="U14" s="116">
        <f>SUM(U2:U13)</f>
        <v>59553.899999999994</v>
      </c>
    </row>
    <row r="16" spans="1:22">
      <c r="A16" s="164" t="s">
        <v>403</v>
      </c>
      <c r="B16" s="164"/>
      <c r="D16" s="232">
        <f>(F13/60*B16)*1.2</f>
        <v>0</v>
      </c>
      <c r="P16" s="179">
        <f>Q13/F13*50</f>
        <v>394.2675844969333</v>
      </c>
      <c r="U16" s="116">
        <f>SUM(U14:U15)</f>
        <v>59553.899999999994</v>
      </c>
    </row>
    <row r="23" spans="8:8">
      <c r="H23" s="116" t="s">
        <v>1375</v>
      </c>
    </row>
    <row r="24" spans="8:8">
      <c r="H24" s="135">
        <v>350</v>
      </c>
    </row>
    <row r="25" spans="8:8">
      <c r="H25" s="135">
        <v>37</v>
      </c>
    </row>
    <row r="29" spans="8:8">
      <c r="H29" s="116">
        <v>64</v>
      </c>
    </row>
    <row r="52" spans="7:22">
      <c r="I52" s="164">
        <f>SUM(I42:I51)</f>
        <v>0</v>
      </c>
      <c r="V52" s="116">
        <f>SUM(V42:V51)</f>
        <v>0</v>
      </c>
    </row>
    <row r="53" spans="7:22">
      <c r="I53" s="164">
        <f>I52/60</f>
        <v>0</v>
      </c>
    </row>
    <row r="56" spans="7:22">
      <c r="I56" s="164">
        <f>SUM(I54:I55)</f>
        <v>0</v>
      </c>
      <c r="V56" s="116">
        <f>SUM(V54:V55)</f>
        <v>0</v>
      </c>
    </row>
    <row r="57" spans="7:22">
      <c r="I57" s="1052">
        <f>I56/60</f>
        <v>0</v>
      </c>
    </row>
    <row r="61" spans="7:22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7:22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7:22">
      <c r="G63" s="135" t="s">
        <v>856</v>
      </c>
      <c r="H63" s="135"/>
      <c r="I63" s="135">
        <v>88</v>
      </c>
      <c r="J63" s="135">
        <v>88</v>
      </c>
      <c r="K63" s="135">
        <v>89</v>
      </c>
    </row>
  </sheetData>
  <autoFilter ref="A1:P13" xr:uid="{BB37AB79-23B7-4761-BE3F-DFCD6814FE5F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292F-AE30-48E4-9E32-D9942EA4887E}">
  <dimension ref="A1:Y112"/>
  <sheetViews>
    <sheetView topLeftCell="B55" workbookViewId="0">
      <selection activeCell="H30" sqref="H30"/>
    </sheetView>
  </sheetViews>
  <sheetFormatPr defaultColWidth="8.81640625" defaultRowHeight="13"/>
  <cols>
    <col min="1" max="1" width="11.1796875" style="116" customWidth="1"/>
    <col min="2" max="2" width="23.81640625" style="116" customWidth="1"/>
    <col min="3" max="3" width="15.453125" style="121" customWidth="1"/>
    <col min="4" max="4" width="12.453125" style="116" customWidth="1"/>
    <col min="5" max="5" width="11.54296875" style="123" customWidth="1"/>
    <col min="6" max="6" width="8.81640625" style="116" customWidth="1"/>
    <col min="7" max="8" width="11.81640625" style="116" customWidth="1"/>
    <col min="9" max="9" width="17.90625" style="116" bestFit="1" customWidth="1"/>
    <col min="10" max="10" width="16.81640625" style="116" bestFit="1" customWidth="1"/>
    <col min="11" max="11" width="13.1796875" style="116" bestFit="1" customWidth="1"/>
    <col min="12" max="12" width="8.81640625" style="122" customWidth="1"/>
    <col min="13" max="13" width="13.81640625" style="925" customWidth="1"/>
    <col min="14" max="14" width="14.81640625" style="116" customWidth="1"/>
    <col min="15" max="15" width="13.453125" style="116" customWidth="1"/>
    <col min="16" max="16" width="11" style="116" hidden="1" customWidth="1"/>
    <col min="17" max="18" width="8.81640625" style="116" hidden="1" customWidth="1"/>
    <col min="19" max="19" width="10.81640625" style="116" hidden="1" customWidth="1"/>
    <col min="20" max="20" width="17.453125" style="116" hidden="1" customWidth="1"/>
    <col min="21" max="21" width="15.453125" style="116" customWidth="1"/>
    <col min="22" max="22" width="14" style="116" customWidth="1"/>
    <col min="23" max="24" width="13.453125" style="116" customWidth="1"/>
    <col min="25" max="26" width="8.81640625" style="116" customWidth="1"/>
    <col min="27" max="16384" width="8.81640625" style="116"/>
  </cols>
  <sheetData>
    <row r="1" spans="1:25">
      <c r="A1" s="115" t="s">
        <v>20</v>
      </c>
      <c r="B1" s="115" t="s">
        <v>21</v>
      </c>
      <c r="C1" s="120" t="s">
        <v>22</v>
      </c>
      <c r="D1" s="115" t="s">
        <v>23</v>
      </c>
      <c r="E1" s="118" t="s">
        <v>24</v>
      </c>
      <c r="F1" s="115" t="s">
        <v>39</v>
      </c>
      <c r="G1" s="115" t="s">
        <v>25</v>
      </c>
      <c r="H1" s="115"/>
      <c r="I1" s="117" t="s">
        <v>26</v>
      </c>
      <c r="J1" s="117" t="s">
        <v>27</v>
      </c>
      <c r="K1" s="115" t="s">
        <v>28</v>
      </c>
      <c r="L1" s="117" t="s">
        <v>29</v>
      </c>
      <c r="M1" s="923" t="s">
        <v>1204</v>
      </c>
      <c r="N1" s="117" t="s">
        <v>31</v>
      </c>
      <c r="O1" s="115" t="s">
        <v>32</v>
      </c>
      <c r="P1" s="115" t="s">
        <v>33</v>
      </c>
      <c r="Q1" s="115" t="s">
        <v>34</v>
      </c>
      <c r="R1" s="115" t="s">
        <v>35</v>
      </c>
      <c r="S1" s="115" t="s">
        <v>36</v>
      </c>
      <c r="T1" s="115" t="s">
        <v>37</v>
      </c>
      <c r="U1" s="221" t="s">
        <v>705</v>
      </c>
      <c r="V1" s="221" t="s">
        <v>706</v>
      </c>
      <c r="W1" s="221" t="s">
        <v>704</v>
      </c>
      <c r="X1" s="221" t="s">
        <v>707</v>
      </c>
      <c r="Y1" s="116" t="s">
        <v>378</v>
      </c>
    </row>
    <row r="2" spans="1:25">
      <c r="A2" s="119" t="s">
        <v>246</v>
      </c>
      <c r="B2" s="204" t="s">
        <v>312</v>
      </c>
      <c r="C2" s="205" t="s">
        <v>341</v>
      </c>
      <c r="D2" s="206" t="s">
        <v>43</v>
      </c>
      <c r="E2" s="207">
        <v>50</v>
      </c>
      <c r="F2" s="208">
        <v>40</v>
      </c>
      <c r="G2" s="209">
        <f t="shared" ref="G2:G58" si="0">E2*60+F2</f>
        <v>3040</v>
      </c>
      <c r="H2" s="209"/>
      <c r="I2" s="209" t="s">
        <v>94</v>
      </c>
      <c r="J2" s="119"/>
      <c r="K2" s="119"/>
      <c r="L2" s="210">
        <v>382</v>
      </c>
      <c r="M2" s="924">
        <v>90502</v>
      </c>
      <c r="N2" s="211">
        <v>10027</v>
      </c>
      <c r="O2" s="211">
        <v>10040</v>
      </c>
      <c r="P2" s="119"/>
      <c r="Q2" s="119"/>
      <c r="R2" s="119"/>
      <c r="S2" s="202"/>
      <c r="T2" s="202"/>
      <c r="U2" s="222">
        <v>51</v>
      </c>
      <c r="V2" s="222">
        <v>50</v>
      </c>
      <c r="W2" s="222">
        <v>47.1</v>
      </c>
      <c r="X2" s="222">
        <v>3047.1</v>
      </c>
      <c r="Y2" s="124">
        <f>X2-G2</f>
        <v>7.0999999999999091</v>
      </c>
    </row>
    <row r="3" spans="1:25">
      <c r="A3" s="119" t="s">
        <v>246</v>
      </c>
      <c r="B3" s="204" t="s">
        <v>312</v>
      </c>
      <c r="C3" s="205" t="s">
        <v>341</v>
      </c>
      <c r="D3" s="206" t="s">
        <v>42</v>
      </c>
      <c r="E3" s="207">
        <v>67</v>
      </c>
      <c r="F3" s="208">
        <v>36</v>
      </c>
      <c r="G3" s="209">
        <f t="shared" si="0"/>
        <v>4056</v>
      </c>
      <c r="H3" s="209"/>
      <c r="I3" s="209" t="s">
        <v>94</v>
      </c>
      <c r="J3" s="119"/>
      <c r="K3" s="119"/>
      <c r="L3" s="210">
        <v>405</v>
      </c>
      <c r="M3" s="924">
        <v>90502</v>
      </c>
      <c r="N3" s="211">
        <v>10027</v>
      </c>
      <c r="O3" s="211">
        <v>10030</v>
      </c>
      <c r="P3" s="119"/>
      <c r="Q3" s="119"/>
      <c r="R3" s="119"/>
      <c r="S3" s="202"/>
      <c r="T3" s="202"/>
      <c r="U3" s="222">
        <v>68</v>
      </c>
      <c r="V3" s="222">
        <v>67</v>
      </c>
      <c r="W3" s="222">
        <v>0.8</v>
      </c>
      <c r="X3" s="222">
        <v>4020.8</v>
      </c>
      <c r="Y3" s="124">
        <f t="shared" ref="Y3:Y66" si="1">X3-G3</f>
        <v>-35.199999999999818</v>
      </c>
    </row>
    <row r="4" spans="1:25">
      <c r="A4" s="119" t="s">
        <v>246</v>
      </c>
      <c r="B4" s="204" t="s">
        <v>262</v>
      </c>
      <c r="C4" s="205" t="s">
        <v>215</v>
      </c>
      <c r="D4" s="206" t="s">
        <v>43</v>
      </c>
      <c r="E4" s="207">
        <v>60</v>
      </c>
      <c r="F4" s="208">
        <v>14</v>
      </c>
      <c r="G4" s="209">
        <f t="shared" si="0"/>
        <v>3614</v>
      </c>
      <c r="H4" s="209"/>
      <c r="I4" s="209" t="s">
        <v>94</v>
      </c>
      <c r="J4" s="119"/>
      <c r="K4" s="119"/>
      <c r="L4" s="210">
        <v>382</v>
      </c>
      <c r="M4" s="924">
        <v>90502</v>
      </c>
      <c r="N4" s="211">
        <v>10027</v>
      </c>
      <c r="O4" s="211">
        <v>10040</v>
      </c>
      <c r="P4" s="119"/>
      <c r="Q4" s="119"/>
      <c r="R4" s="119"/>
      <c r="S4" s="202"/>
      <c r="T4" s="202"/>
      <c r="U4" s="222">
        <v>61</v>
      </c>
      <c r="V4" s="222">
        <v>60</v>
      </c>
      <c r="W4" s="222">
        <v>28.1</v>
      </c>
      <c r="X4" s="222">
        <v>3628.1</v>
      </c>
      <c r="Y4" s="124">
        <f t="shared" si="1"/>
        <v>14.099999999999909</v>
      </c>
    </row>
    <row r="5" spans="1:25">
      <c r="A5" s="119" t="s">
        <v>246</v>
      </c>
      <c r="B5" s="204" t="s">
        <v>262</v>
      </c>
      <c r="C5" s="205" t="s">
        <v>215</v>
      </c>
      <c r="D5" s="206" t="s">
        <v>42</v>
      </c>
      <c r="E5" s="207">
        <v>62</v>
      </c>
      <c r="F5" s="208">
        <v>49</v>
      </c>
      <c r="G5" s="209">
        <f t="shared" si="0"/>
        <v>3769</v>
      </c>
      <c r="H5" s="209"/>
      <c r="I5" s="209" t="s">
        <v>94</v>
      </c>
      <c r="J5" s="119"/>
      <c r="K5" s="119"/>
      <c r="L5" s="210">
        <v>405</v>
      </c>
      <c r="M5" s="924">
        <v>90502</v>
      </c>
      <c r="N5" s="211">
        <v>10027</v>
      </c>
      <c r="O5" s="211">
        <v>10030</v>
      </c>
      <c r="P5" s="119"/>
      <c r="Q5" s="119"/>
      <c r="R5" s="119"/>
      <c r="S5" s="202"/>
      <c r="T5" s="202"/>
      <c r="U5" s="222">
        <v>63</v>
      </c>
      <c r="V5" s="222">
        <v>62</v>
      </c>
      <c r="W5" s="222">
        <v>58.3</v>
      </c>
      <c r="X5" s="222">
        <v>3778.3</v>
      </c>
      <c r="Y5" s="124">
        <f t="shared" si="1"/>
        <v>9.3000000000001819</v>
      </c>
    </row>
    <row r="6" spans="1:25">
      <c r="A6" s="119" t="s">
        <v>246</v>
      </c>
      <c r="B6" s="204" t="s">
        <v>312</v>
      </c>
      <c r="C6" s="205" t="s">
        <v>340</v>
      </c>
      <c r="D6" s="206" t="s">
        <v>43</v>
      </c>
      <c r="E6" s="207">
        <v>57</v>
      </c>
      <c r="F6" s="208">
        <v>65</v>
      </c>
      <c r="G6" s="209">
        <f t="shared" si="0"/>
        <v>3485</v>
      </c>
      <c r="H6" s="209"/>
      <c r="I6" s="209" t="s">
        <v>94</v>
      </c>
      <c r="J6" s="119"/>
      <c r="K6" s="119"/>
      <c r="L6" s="210">
        <v>382</v>
      </c>
      <c r="M6" s="924">
        <v>90502</v>
      </c>
      <c r="N6" s="211">
        <v>10027</v>
      </c>
      <c r="O6" s="211">
        <v>10040</v>
      </c>
      <c r="P6" s="119"/>
      <c r="Q6" s="119"/>
      <c r="R6" s="119"/>
      <c r="S6" s="202"/>
      <c r="T6" s="202"/>
      <c r="U6" s="222">
        <v>58</v>
      </c>
      <c r="V6" s="222">
        <v>58</v>
      </c>
      <c r="W6" s="222">
        <v>16.8</v>
      </c>
      <c r="X6" s="222">
        <v>3496.8</v>
      </c>
      <c r="Y6" s="124">
        <f t="shared" si="1"/>
        <v>11.800000000000182</v>
      </c>
    </row>
    <row r="7" spans="1:25">
      <c r="A7" s="119" t="s">
        <v>246</v>
      </c>
      <c r="B7" s="204" t="s">
        <v>265</v>
      </c>
      <c r="C7" s="205" t="s">
        <v>339</v>
      </c>
      <c r="D7" s="206" t="s">
        <v>42</v>
      </c>
      <c r="E7" s="207">
        <v>48</v>
      </c>
      <c r="F7" s="208">
        <v>49</v>
      </c>
      <c r="G7" s="209">
        <f t="shared" si="0"/>
        <v>2929</v>
      </c>
      <c r="H7" s="209"/>
      <c r="I7" s="209" t="s">
        <v>57</v>
      </c>
      <c r="J7" s="119"/>
      <c r="K7" s="119"/>
      <c r="L7" s="210">
        <v>317.4624</v>
      </c>
      <c r="M7" s="924">
        <v>90468</v>
      </c>
      <c r="N7" s="211">
        <v>10057</v>
      </c>
      <c r="O7" s="211">
        <v>10090</v>
      </c>
      <c r="P7" s="119"/>
      <c r="Q7" s="119"/>
      <c r="R7" s="119"/>
      <c r="S7" s="202"/>
      <c r="T7" s="202"/>
      <c r="U7" s="222">
        <v>49</v>
      </c>
      <c r="V7" s="222">
        <v>48</v>
      </c>
      <c r="W7" s="222">
        <v>54.9</v>
      </c>
      <c r="X7" s="222">
        <v>2934.9</v>
      </c>
      <c r="Y7" s="124">
        <f t="shared" si="1"/>
        <v>5.9000000000000909</v>
      </c>
    </row>
    <row r="8" spans="1:25">
      <c r="A8" s="119" t="s">
        <v>246</v>
      </c>
      <c r="B8" s="204" t="s">
        <v>318</v>
      </c>
      <c r="C8" s="205" t="s">
        <v>338</v>
      </c>
      <c r="D8" s="206" t="s">
        <v>43</v>
      </c>
      <c r="E8" s="207">
        <v>55</v>
      </c>
      <c r="F8" s="208">
        <v>42</v>
      </c>
      <c r="G8" s="209">
        <f t="shared" si="0"/>
        <v>3342</v>
      </c>
      <c r="H8" s="209"/>
      <c r="I8" s="209" t="s">
        <v>54</v>
      </c>
      <c r="J8" s="119"/>
      <c r="K8" s="119"/>
      <c r="L8" s="210">
        <v>322.97390000000001</v>
      </c>
      <c r="M8" s="924">
        <v>90468</v>
      </c>
      <c r="N8" s="211">
        <v>10057</v>
      </c>
      <c r="O8" s="211">
        <v>10070</v>
      </c>
      <c r="P8" s="119"/>
      <c r="Q8" s="119"/>
      <c r="R8" s="119"/>
      <c r="S8" s="202"/>
      <c r="T8" s="202"/>
      <c r="U8" s="222">
        <v>56</v>
      </c>
      <c r="V8" s="222">
        <v>55</v>
      </c>
      <c r="W8" s="222">
        <v>44.6</v>
      </c>
      <c r="X8" s="222">
        <v>3344.6</v>
      </c>
      <c r="Y8" s="124">
        <f t="shared" si="1"/>
        <v>2.5999999999999091</v>
      </c>
    </row>
    <row r="9" spans="1:25">
      <c r="A9" s="119" t="s">
        <v>246</v>
      </c>
      <c r="B9" s="204" t="s">
        <v>318</v>
      </c>
      <c r="C9" s="205" t="s">
        <v>338</v>
      </c>
      <c r="D9" s="206" t="s">
        <v>42</v>
      </c>
      <c r="E9" s="207">
        <v>57</v>
      </c>
      <c r="F9" s="208">
        <v>29</v>
      </c>
      <c r="G9" s="209">
        <f t="shared" si="0"/>
        <v>3449</v>
      </c>
      <c r="H9" s="209"/>
      <c r="I9" s="209" t="s">
        <v>54</v>
      </c>
      <c r="J9" s="119"/>
      <c r="K9" s="119"/>
      <c r="L9" s="210">
        <v>333.99690000000004</v>
      </c>
      <c r="M9" s="924">
        <v>90468</v>
      </c>
      <c r="N9" s="211">
        <v>10057</v>
      </c>
      <c r="O9" s="211">
        <v>10060</v>
      </c>
      <c r="P9" s="119"/>
      <c r="Q9" s="119"/>
      <c r="R9" s="119"/>
      <c r="S9" s="202"/>
      <c r="T9" s="202"/>
      <c r="U9" s="222">
        <v>58</v>
      </c>
      <c r="V9" s="222">
        <v>57</v>
      </c>
      <c r="W9" s="222">
        <v>33.799999999999997</v>
      </c>
      <c r="X9" s="222">
        <v>3453.8</v>
      </c>
      <c r="Y9" s="124">
        <f t="shared" si="1"/>
        <v>4.8000000000001819</v>
      </c>
    </row>
    <row r="10" spans="1:25">
      <c r="A10" s="119" t="s">
        <v>246</v>
      </c>
      <c r="B10" s="204" t="s">
        <v>312</v>
      </c>
      <c r="C10" s="205" t="s">
        <v>337</v>
      </c>
      <c r="D10" s="206" t="s">
        <v>42</v>
      </c>
      <c r="E10" s="207">
        <v>57</v>
      </c>
      <c r="F10" s="208">
        <v>39</v>
      </c>
      <c r="G10" s="209">
        <f t="shared" si="0"/>
        <v>3459</v>
      </c>
      <c r="H10" s="209"/>
      <c r="I10" s="209" t="s">
        <v>56</v>
      </c>
      <c r="J10" s="119"/>
      <c r="K10" s="119"/>
      <c r="L10" s="210">
        <v>317.4624</v>
      </c>
      <c r="M10" s="924">
        <v>90468</v>
      </c>
      <c r="N10" s="211">
        <v>10057</v>
      </c>
      <c r="O10" s="211">
        <v>10090</v>
      </c>
      <c r="P10" s="119"/>
      <c r="Q10" s="119"/>
      <c r="R10" s="119"/>
      <c r="S10" s="202"/>
      <c r="T10" s="202"/>
      <c r="U10" s="222">
        <v>58</v>
      </c>
      <c r="V10" s="222">
        <v>57</v>
      </c>
      <c r="W10" s="222">
        <v>58.8</v>
      </c>
      <c r="X10" s="222">
        <v>3478.8</v>
      </c>
      <c r="Y10" s="124">
        <f t="shared" si="1"/>
        <v>19.800000000000182</v>
      </c>
    </row>
    <row r="11" spans="1:25">
      <c r="A11" s="119" t="s">
        <v>246</v>
      </c>
      <c r="B11" s="204" t="s">
        <v>279</v>
      </c>
      <c r="C11" s="205" t="s">
        <v>209</v>
      </c>
      <c r="D11" s="206" t="s">
        <v>42</v>
      </c>
      <c r="E11" s="207">
        <v>85</v>
      </c>
      <c r="F11" s="208">
        <v>47</v>
      </c>
      <c r="G11" s="209">
        <f t="shared" si="0"/>
        <v>5147</v>
      </c>
      <c r="H11" s="209"/>
      <c r="I11" s="209" t="s">
        <v>89</v>
      </c>
      <c r="J11" s="119"/>
      <c r="K11" s="119"/>
      <c r="L11" s="210">
        <v>405</v>
      </c>
      <c r="M11" s="924">
        <v>90502</v>
      </c>
      <c r="N11" s="211">
        <v>10027</v>
      </c>
      <c r="O11" s="211">
        <v>10030</v>
      </c>
      <c r="P11" s="119"/>
      <c r="Q11" s="119"/>
      <c r="R11" s="119"/>
      <c r="S11" s="202"/>
      <c r="T11" s="202"/>
      <c r="U11" s="222">
        <v>86</v>
      </c>
      <c r="V11" s="222">
        <v>85</v>
      </c>
      <c r="W11" s="222">
        <v>52.6</v>
      </c>
      <c r="X11" s="222">
        <v>5152.6000000000004</v>
      </c>
      <c r="Y11" s="124">
        <f t="shared" si="1"/>
        <v>5.6000000000003638</v>
      </c>
    </row>
    <row r="12" spans="1:25">
      <c r="A12" s="119" t="s">
        <v>246</v>
      </c>
      <c r="B12" s="204" t="s">
        <v>273</v>
      </c>
      <c r="C12" s="205" t="s">
        <v>336</v>
      </c>
      <c r="D12" s="206" t="s">
        <v>43</v>
      </c>
      <c r="E12" s="207">
        <v>55</v>
      </c>
      <c r="F12" s="208">
        <v>51</v>
      </c>
      <c r="G12" s="209">
        <f t="shared" si="0"/>
        <v>3351</v>
      </c>
      <c r="H12" s="209"/>
      <c r="I12" s="209" t="s">
        <v>45</v>
      </c>
      <c r="J12" s="119"/>
      <c r="K12" s="119"/>
      <c r="L12" s="210">
        <v>322.97390000000001</v>
      </c>
      <c r="M12" s="924">
        <v>90468</v>
      </c>
      <c r="N12" s="211">
        <v>10057</v>
      </c>
      <c r="O12" s="211">
        <v>10040</v>
      </c>
      <c r="P12" s="119"/>
      <c r="Q12" s="119"/>
      <c r="R12" s="119"/>
      <c r="S12" s="202"/>
      <c r="T12" s="202"/>
      <c r="U12" s="222">
        <v>56</v>
      </c>
      <c r="V12" s="222">
        <v>55</v>
      </c>
      <c r="W12" s="222">
        <v>40.6</v>
      </c>
      <c r="X12" s="222">
        <v>3340.6</v>
      </c>
      <c r="Y12" s="124">
        <f t="shared" si="1"/>
        <v>-10.400000000000091</v>
      </c>
    </row>
    <row r="13" spans="1:25">
      <c r="A13" s="119" t="s">
        <v>246</v>
      </c>
      <c r="B13" s="204" t="s">
        <v>273</v>
      </c>
      <c r="C13" s="205" t="s">
        <v>336</v>
      </c>
      <c r="D13" s="206" t="s">
        <v>42</v>
      </c>
      <c r="E13" s="207">
        <v>82</v>
      </c>
      <c r="F13" s="208">
        <v>21</v>
      </c>
      <c r="G13" s="209">
        <f t="shared" si="0"/>
        <v>4941</v>
      </c>
      <c r="H13" s="209"/>
      <c r="I13" s="209" t="s">
        <v>45</v>
      </c>
      <c r="J13" s="119"/>
      <c r="K13" s="119"/>
      <c r="L13" s="210">
        <v>333.99689999999998</v>
      </c>
      <c r="M13" s="924">
        <v>90468</v>
      </c>
      <c r="N13" s="211">
        <v>10057</v>
      </c>
      <c r="O13" s="211">
        <v>10030</v>
      </c>
      <c r="P13" s="119"/>
      <c r="Q13" s="119"/>
      <c r="R13" s="119"/>
      <c r="S13" s="202"/>
      <c r="T13" s="202"/>
      <c r="U13" s="222">
        <f>SUM(U3:U12)</f>
        <v>613</v>
      </c>
      <c r="V13" s="222">
        <v>82</v>
      </c>
      <c r="W13" s="222">
        <v>13.3</v>
      </c>
      <c r="X13" s="222">
        <v>4933.3</v>
      </c>
      <c r="Y13" s="124">
        <f t="shared" si="1"/>
        <v>-7.6999999999998181</v>
      </c>
    </row>
    <row r="14" spans="1:25">
      <c r="A14" s="119" t="s">
        <v>246</v>
      </c>
      <c r="B14" s="204" t="s">
        <v>288</v>
      </c>
      <c r="C14" s="205" t="s">
        <v>232</v>
      </c>
      <c r="D14" s="206" t="s">
        <v>43</v>
      </c>
      <c r="E14" s="207">
        <v>71</v>
      </c>
      <c r="F14" s="208">
        <v>63</v>
      </c>
      <c r="G14" s="209">
        <f t="shared" si="0"/>
        <v>4323</v>
      </c>
      <c r="H14" s="209"/>
      <c r="I14" s="209" t="s">
        <v>94</v>
      </c>
      <c r="J14" s="119"/>
      <c r="K14" s="119"/>
      <c r="L14" s="210">
        <v>382</v>
      </c>
      <c r="M14" s="924">
        <v>90502</v>
      </c>
      <c r="N14" s="211">
        <v>10027</v>
      </c>
      <c r="O14" s="211">
        <v>10040</v>
      </c>
      <c r="P14" s="119"/>
      <c r="Q14" s="119"/>
      <c r="R14" s="119"/>
      <c r="S14" s="202"/>
      <c r="T14" s="202"/>
      <c r="U14" s="222">
        <v>72</v>
      </c>
      <c r="V14" s="222">
        <v>71</v>
      </c>
      <c r="W14" s="222">
        <v>51.2</v>
      </c>
      <c r="X14" s="222">
        <v>4311.2</v>
      </c>
      <c r="Y14" s="124">
        <f t="shared" si="1"/>
        <v>-11.800000000000182</v>
      </c>
    </row>
    <row r="15" spans="1:25">
      <c r="A15" s="119" t="s">
        <v>246</v>
      </c>
      <c r="B15" s="204" t="s">
        <v>288</v>
      </c>
      <c r="C15" s="205" t="s">
        <v>232</v>
      </c>
      <c r="D15" s="206" t="s">
        <v>42</v>
      </c>
      <c r="E15" s="207">
        <v>78</v>
      </c>
      <c r="F15" s="208">
        <v>47</v>
      </c>
      <c r="G15" s="209">
        <f t="shared" si="0"/>
        <v>4727</v>
      </c>
      <c r="H15" s="209"/>
      <c r="I15" s="209" t="s">
        <v>94</v>
      </c>
      <c r="J15" s="119"/>
      <c r="K15" s="119"/>
      <c r="L15" s="210">
        <v>405</v>
      </c>
      <c r="M15" s="924">
        <v>90502</v>
      </c>
      <c r="N15" s="211">
        <v>10027</v>
      </c>
      <c r="O15" s="211">
        <v>10030</v>
      </c>
      <c r="P15" s="119"/>
      <c r="Q15" s="119"/>
      <c r="R15" s="119"/>
      <c r="S15" s="202"/>
      <c r="T15" s="202"/>
      <c r="U15" s="222">
        <v>79</v>
      </c>
      <c r="V15" s="222">
        <v>78</v>
      </c>
      <c r="W15" s="222">
        <v>33.9</v>
      </c>
      <c r="X15" s="222">
        <v>4713.8999999999996</v>
      </c>
      <c r="Y15" s="124">
        <f t="shared" si="1"/>
        <v>-13.100000000000364</v>
      </c>
    </row>
    <row r="16" spans="1:25">
      <c r="A16" s="119" t="s">
        <v>246</v>
      </c>
      <c r="B16" s="204" t="s">
        <v>319</v>
      </c>
      <c r="C16" s="205" t="s">
        <v>335</v>
      </c>
      <c r="D16" s="206" t="s">
        <v>43</v>
      </c>
      <c r="E16" s="207">
        <v>48</v>
      </c>
      <c r="F16" s="208">
        <v>54</v>
      </c>
      <c r="G16" s="209">
        <f t="shared" si="0"/>
        <v>2934</v>
      </c>
      <c r="H16" s="209"/>
      <c r="I16" s="209" t="s">
        <v>54</v>
      </c>
      <c r="J16" s="119"/>
      <c r="K16" s="119"/>
      <c r="L16" s="210">
        <v>322.97390000000001</v>
      </c>
      <c r="M16" s="924">
        <v>90468</v>
      </c>
      <c r="N16" s="211">
        <v>10057</v>
      </c>
      <c r="O16" s="211">
        <v>10070</v>
      </c>
      <c r="P16" s="119"/>
      <c r="Q16" s="119"/>
      <c r="R16" s="119"/>
      <c r="S16" s="202"/>
      <c r="T16" s="202"/>
      <c r="U16" s="222">
        <f>SUM(U14:U15)</f>
        <v>151</v>
      </c>
      <c r="V16" s="222">
        <v>48</v>
      </c>
      <c r="W16" s="222"/>
      <c r="X16" s="222">
        <v>2929.9</v>
      </c>
      <c r="Y16" s="124">
        <f t="shared" si="1"/>
        <v>-4.0999999999999091</v>
      </c>
    </row>
    <row r="17" spans="1:25">
      <c r="A17" s="119" t="s">
        <v>246</v>
      </c>
      <c r="B17" s="204" t="s">
        <v>262</v>
      </c>
      <c r="C17" s="205" t="s">
        <v>220</v>
      </c>
      <c r="D17" s="206" t="s">
        <v>43</v>
      </c>
      <c r="E17" s="207">
        <v>49</v>
      </c>
      <c r="F17" s="208">
        <v>51</v>
      </c>
      <c r="G17" s="209">
        <f t="shared" si="0"/>
        <v>2991</v>
      </c>
      <c r="H17" s="209"/>
      <c r="I17" s="209" t="s">
        <v>94</v>
      </c>
      <c r="J17" s="119"/>
      <c r="K17" s="119"/>
      <c r="L17" s="210">
        <v>382</v>
      </c>
      <c r="M17" s="924">
        <v>90502</v>
      </c>
      <c r="N17" s="211">
        <v>10027</v>
      </c>
      <c r="O17" s="211">
        <v>10040</v>
      </c>
      <c r="P17" s="119"/>
      <c r="Q17" s="119"/>
      <c r="R17" s="119"/>
      <c r="S17" s="202"/>
      <c r="T17" s="202"/>
      <c r="U17" s="222">
        <v>50</v>
      </c>
      <c r="V17" s="222">
        <v>49</v>
      </c>
      <c r="W17" s="222">
        <v>33</v>
      </c>
      <c r="X17" s="222">
        <v>2973</v>
      </c>
      <c r="Y17" s="124">
        <f t="shared" si="1"/>
        <v>-18</v>
      </c>
    </row>
    <row r="18" spans="1:25">
      <c r="A18" s="119" t="s">
        <v>246</v>
      </c>
      <c r="B18" s="204" t="s">
        <v>262</v>
      </c>
      <c r="C18" s="205" t="s">
        <v>220</v>
      </c>
      <c r="D18" s="206" t="s">
        <v>42</v>
      </c>
      <c r="E18" s="207">
        <v>54</v>
      </c>
      <c r="F18" s="208">
        <v>49</v>
      </c>
      <c r="G18" s="209">
        <f t="shared" si="0"/>
        <v>3289</v>
      </c>
      <c r="H18" s="209"/>
      <c r="I18" s="209" t="s">
        <v>94</v>
      </c>
      <c r="J18" s="119"/>
      <c r="K18" s="119"/>
      <c r="L18" s="210">
        <v>405</v>
      </c>
      <c r="M18" s="924">
        <v>90502</v>
      </c>
      <c r="N18" s="211">
        <v>10027</v>
      </c>
      <c r="O18" s="211">
        <v>10030</v>
      </c>
      <c r="P18" s="119"/>
      <c r="Q18" s="119"/>
      <c r="R18" s="119"/>
      <c r="S18" s="202"/>
      <c r="T18" s="202"/>
      <c r="U18" s="222">
        <v>55</v>
      </c>
      <c r="V18" s="222">
        <v>54</v>
      </c>
      <c r="W18" s="222">
        <v>36.5</v>
      </c>
      <c r="X18" s="222">
        <v>3276.5</v>
      </c>
      <c r="Y18" s="124">
        <f t="shared" si="1"/>
        <v>-12.5</v>
      </c>
    </row>
    <row r="19" spans="1:25">
      <c r="A19" s="119" t="s">
        <v>246</v>
      </c>
      <c r="B19" s="204" t="s">
        <v>312</v>
      </c>
      <c r="C19" s="205" t="s">
        <v>334</v>
      </c>
      <c r="D19" s="206" t="s">
        <v>42</v>
      </c>
      <c r="E19" s="207">
        <v>63</v>
      </c>
      <c r="F19" s="208">
        <v>7</v>
      </c>
      <c r="G19" s="209">
        <f t="shared" si="0"/>
        <v>3787</v>
      </c>
      <c r="H19" s="209"/>
      <c r="I19" s="209"/>
      <c r="J19" s="119"/>
      <c r="K19" s="119"/>
      <c r="L19" s="210">
        <v>333.99690000000004</v>
      </c>
      <c r="M19" s="924">
        <v>90468</v>
      </c>
      <c r="N19" s="211">
        <v>10057</v>
      </c>
      <c r="O19" s="211">
        <v>10030</v>
      </c>
      <c r="P19" s="119"/>
      <c r="Q19" s="119"/>
      <c r="R19" s="119"/>
      <c r="S19" s="202"/>
      <c r="T19" s="202"/>
      <c r="U19" s="222">
        <v>64</v>
      </c>
      <c r="V19" s="222">
        <v>63</v>
      </c>
      <c r="W19" s="222">
        <v>5.4</v>
      </c>
      <c r="X19" s="222">
        <v>3785.4</v>
      </c>
      <c r="Y19" s="124">
        <f t="shared" si="1"/>
        <v>-1.5999999999999091</v>
      </c>
    </row>
    <row r="20" spans="1:25">
      <c r="A20" s="119" t="s">
        <v>246</v>
      </c>
      <c r="B20" s="204" t="s">
        <v>318</v>
      </c>
      <c r="C20" s="205" t="s">
        <v>223</v>
      </c>
      <c r="D20" s="206" t="s">
        <v>43</v>
      </c>
      <c r="E20" s="207">
        <v>55</v>
      </c>
      <c r="F20" s="208">
        <v>58</v>
      </c>
      <c r="G20" s="209">
        <f t="shared" si="0"/>
        <v>3358</v>
      </c>
      <c r="H20" s="209"/>
      <c r="I20" s="209"/>
      <c r="J20" s="119"/>
      <c r="K20" s="119"/>
      <c r="L20" s="210">
        <v>382</v>
      </c>
      <c r="M20" s="924">
        <v>90502</v>
      </c>
      <c r="N20" s="211">
        <v>10027</v>
      </c>
      <c r="O20" s="211">
        <v>10040</v>
      </c>
      <c r="P20" s="119"/>
      <c r="Q20" s="119"/>
      <c r="R20" s="119"/>
      <c r="S20" s="202"/>
      <c r="T20" s="202"/>
      <c r="U20" s="222">
        <v>56</v>
      </c>
      <c r="V20" s="222">
        <v>55</v>
      </c>
      <c r="W20" s="222">
        <v>58.6</v>
      </c>
      <c r="X20" s="222">
        <v>3358.6</v>
      </c>
      <c r="Y20" s="124">
        <f t="shared" si="1"/>
        <v>0.59999999999990905</v>
      </c>
    </row>
    <row r="21" spans="1:25">
      <c r="A21" s="119" t="s">
        <v>246</v>
      </c>
      <c r="B21" s="204" t="s">
        <v>318</v>
      </c>
      <c r="C21" s="205" t="s">
        <v>223</v>
      </c>
      <c r="D21" s="206" t="s">
        <v>42</v>
      </c>
      <c r="E21" s="207">
        <v>55</v>
      </c>
      <c r="F21" s="208">
        <v>29</v>
      </c>
      <c r="G21" s="209">
        <f t="shared" si="0"/>
        <v>3329</v>
      </c>
      <c r="H21" s="209"/>
      <c r="I21" s="209" t="s">
        <v>94</v>
      </c>
      <c r="J21" s="119"/>
      <c r="K21" s="119"/>
      <c r="L21" s="210">
        <v>405</v>
      </c>
      <c r="M21" s="924">
        <v>90502</v>
      </c>
      <c r="N21" s="211">
        <v>10027</v>
      </c>
      <c r="O21" s="211">
        <v>10030</v>
      </c>
      <c r="P21" s="119"/>
      <c r="Q21" s="119"/>
      <c r="R21" s="119"/>
      <c r="S21" s="202"/>
      <c r="T21" s="202"/>
      <c r="U21" s="222">
        <v>56</v>
      </c>
      <c r="V21" s="222">
        <v>55</v>
      </c>
      <c r="W21" s="222">
        <v>27.6</v>
      </c>
      <c r="X21" s="222">
        <v>3327.6</v>
      </c>
      <c r="Y21" s="124">
        <f t="shared" si="1"/>
        <v>-1.4000000000000909</v>
      </c>
    </row>
    <row r="22" spans="1:25">
      <c r="A22" s="119" t="s">
        <v>246</v>
      </c>
      <c r="B22" s="204" t="s">
        <v>312</v>
      </c>
      <c r="C22" s="205" t="s">
        <v>222</v>
      </c>
      <c r="D22" s="206" t="s">
        <v>42</v>
      </c>
      <c r="E22" s="207">
        <v>60</v>
      </c>
      <c r="F22" s="208">
        <v>17</v>
      </c>
      <c r="G22" s="209">
        <f t="shared" si="0"/>
        <v>3617</v>
      </c>
      <c r="H22" s="209"/>
      <c r="I22" s="209" t="s">
        <v>94</v>
      </c>
      <c r="J22" s="119"/>
      <c r="K22" s="119"/>
      <c r="L22" s="210">
        <v>405</v>
      </c>
      <c r="M22" s="924">
        <v>90502</v>
      </c>
      <c r="N22" s="211">
        <v>10027</v>
      </c>
      <c r="O22" s="211">
        <v>10030</v>
      </c>
      <c r="P22" s="119"/>
      <c r="Q22" s="119"/>
      <c r="R22" s="119"/>
      <c r="S22" s="202"/>
      <c r="T22" s="202"/>
      <c r="U22" s="222">
        <v>61</v>
      </c>
      <c r="V22" s="222">
        <v>60</v>
      </c>
      <c r="W22" s="222">
        <v>19.100000000000001</v>
      </c>
      <c r="X22" s="222">
        <v>3619.1</v>
      </c>
      <c r="Y22" s="124">
        <f t="shared" si="1"/>
        <v>2.0999999999999091</v>
      </c>
    </row>
    <row r="23" spans="1:25">
      <c r="A23" s="554" t="s">
        <v>246</v>
      </c>
      <c r="B23" s="555" t="s">
        <v>238</v>
      </c>
      <c r="C23" s="556" t="s">
        <v>333</v>
      </c>
      <c r="D23" s="557" t="s">
        <v>42</v>
      </c>
      <c r="E23" s="558">
        <v>49</v>
      </c>
      <c r="F23" s="557">
        <v>13</v>
      </c>
      <c r="G23" s="559">
        <f t="shared" si="0"/>
        <v>2953</v>
      </c>
      <c r="H23" s="559" t="s">
        <v>1375</v>
      </c>
      <c r="I23" s="559" t="s">
        <v>94</v>
      </c>
      <c r="J23" s="554"/>
      <c r="K23" s="554"/>
      <c r="L23" s="560">
        <v>405</v>
      </c>
      <c r="M23" s="924">
        <v>90502</v>
      </c>
      <c r="N23" s="557">
        <v>10027</v>
      </c>
      <c r="O23" s="557">
        <v>10030</v>
      </c>
      <c r="P23" s="554"/>
      <c r="Q23" s="554"/>
      <c r="R23" s="554"/>
      <c r="S23" s="561"/>
      <c r="T23" s="561"/>
      <c r="U23" s="562">
        <v>50</v>
      </c>
      <c r="V23" s="562">
        <v>49</v>
      </c>
      <c r="W23" s="562">
        <v>3</v>
      </c>
      <c r="X23" s="562">
        <v>2943</v>
      </c>
      <c r="Y23" s="563">
        <f t="shared" si="1"/>
        <v>-10</v>
      </c>
    </row>
    <row r="24" spans="1:25">
      <c r="A24" s="554" t="s">
        <v>246</v>
      </c>
      <c r="B24" s="555" t="s">
        <v>238</v>
      </c>
      <c r="C24" s="556" t="s">
        <v>333</v>
      </c>
      <c r="D24" s="557" t="s">
        <v>43</v>
      </c>
      <c r="E24" s="558">
        <v>61</v>
      </c>
      <c r="F24" s="557">
        <v>31</v>
      </c>
      <c r="G24" s="559">
        <f t="shared" si="0"/>
        <v>3691</v>
      </c>
      <c r="H24" s="924">
        <v>350</v>
      </c>
      <c r="I24" s="559" t="s">
        <v>94</v>
      </c>
      <c r="J24" s="554"/>
      <c r="K24" s="554"/>
      <c r="L24" s="560">
        <v>382</v>
      </c>
      <c r="M24" s="924">
        <v>90502</v>
      </c>
      <c r="N24" s="557">
        <v>10027</v>
      </c>
      <c r="O24" s="557">
        <v>10040</v>
      </c>
      <c r="P24" s="554"/>
      <c r="Q24" s="554"/>
      <c r="R24" s="554"/>
      <c r="S24" s="561"/>
      <c r="T24" s="561"/>
      <c r="U24" s="562">
        <v>62</v>
      </c>
      <c r="V24" s="562">
        <v>61</v>
      </c>
      <c r="W24" s="562">
        <v>28.2</v>
      </c>
      <c r="X24" s="562">
        <v>3688.2</v>
      </c>
      <c r="Y24" s="563">
        <f t="shared" si="1"/>
        <v>-2.8000000000001819</v>
      </c>
    </row>
    <row r="25" spans="1:25">
      <c r="A25" s="119" t="s">
        <v>246</v>
      </c>
      <c r="B25" s="204" t="s">
        <v>288</v>
      </c>
      <c r="C25" s="205" t="s">
        <v>219</v>
      </c>
      <c r="D25" s="206" t="s">
        <v>42</v>
      </c>
      <c r="E25" s="207">
        <v>58</v>
      </c>
      <c r="F25" s="208">
        <v>37</v>
      </c>
      <c r="G25" s="209">
        <f t="shared" si="0"/>
        <v>3517</v>
      </c>
      <c r="H25" s="924">
        <v>90468</v>
      </c>
      <c r="I25" s="209" t="s">
        <v>94</v>
      </c>
      <c r="J25" s="119"/>
      <c r="K25" s="119"/>
      <c r="L25" s="210">
        <v>405</v>
      </c>
      <c r="M25" s="924">
        <v>90502</v>
      </c>
      <c r="N25" s="211">
        <v>10027</v>
      </c>
      <c r="O25" s="211">
        <v>10030</v>
      </c>
      <c r="P25" s="119"/>
      <c r="Q25" s="119"/>
      <c r="R25" s="119"/>
      <c r="S25" s="202"/>
      <c r="T25" s="202"/>
      <c r="U25" s="222">
        <v>59</v>
      </c>
      <c r="V25" s="222">
        <v>58</v>
      </c>
      <c r="W25" s="222">
        <v>17.899999999999999</v>
      </c>
      <c r="X25" s="222">
        <v>3497.9</v>
      </c>
      <c r="Y25" s="124">
        <f t="shared" si="1"/>
        <v>-19.099999999999909</v>
      </c>
    </row>
    <row r="26" spans="1:25">
      <c r="A26" s="119" t="s">
        <v>246</v>
      </c>
      <c r="B26" s="204" t="s">
        <v>273</v>
      </c>
      <c r="C26" s="205" t="s">
        <v>228</v>
      </c>
      <c r="D26" s="206" t="s">
        <v>43</v>
      </c>
      <c r="E26" s="207">
        <v>65</v>
      </c>
      <c r="F26" s="208">
        <v>30</v>
      </c>
      <c r="G26" s="209">
        <f t="shared" si="0"/>
        <v>3930</v>
      </c>
      <c r="H26" s="209"/>
      <c r="I26" s="209" t="s">
        <v>94</v>
      </c>
      <c r="J26" s="119"/>
      <c r="K26" s="119"/>
      <c r="L26" s="210">
        <v>382</v>
      </c>
      <c r="M26" s="924">
        <v>90502</v>
      </c>
      <c r="N26" s="211">
        <v>10027</v>
      </c>
      <c r="O26" s="211">
        <v>10040</v>
      </c>
      <c r="P26" s="119"/>
      <c r="Q26" s="119"/>
      <c r="R26" s="119"/>
      <c r="S26" s="202"/>
      <c r="T26" s="202"/>
      <c r="U26" s="222">
        <v>66</v>
      </c>
      <c r="V26" s="222">
        <v>65</v>
      </c>
      <c r="W26" s="222">
        <v>32.6</v>
      </c>
      <c r="X26" s="222">
        <v>3932.6</v>
      </c>
      <c r="Y26" s="124">
        <f t="shared" si="1"/>
        <v>2.5999999999999091</v>
      </c>
    </row>
    <row r="27" spans="1:25">
      <c r="A27" s="119" t="s">
        <v>246</v>
      </c>
      <c r="B27" s="204" t="s">
        <v>273</v>
      </c>
      <c r="C27" s="205" t="s">
        <v>228</v>
      </c>
      <c r="D27" s="206" t="s">
        <v>42</v>
      </c>
      <c r="E27" s="207">
        <v>68</v>
      </c>
      <c r="F27" s="208">
        <v>53</v>
      </c>
      <c r="G27" s="209">
        <f t="shared" si="0"/>
        <v>4133</v>
      </c>
      <c r="H27" s="665">
        <v>90502</v>
      </c>
      <c r="I27" s="209" t="s">
        <v>94</v>
      </c>
      <c r="J27" s="119"/>
      <c r="K27" s="119"/>
      <c r="L27" s="210">
        <v>405</v>
      </c>
      <c r="M27" s="924">
        <v>90502</v>
      </c>
      <c r="N27" s="211">
        <v>10027</v>
      </c>
      <c r="O27" s="211">
        <v>10030</v>
      </c>
      <c r="P27" s="119"/>
      <c r="Q27" s="119"/>
      <c r="R27" s="119"/>
      <c r="S27" s="202"/>
      <c r="T27" s="202"/>
      <c r="U27" s="222">
        <v>69</v>
      </c>
      <c r="V27" s="222">
        <v>68</v>
      </c>
      <c r="W27" s="222">
        <v>52.9</v>
      </c>
      <c r="X27" s="222">
        <v>4132.8999999999996</v>
      </c>
      <c r="Y27" s="124">
        <f t="shared" si="1"/>
        <v>-0.1000000000003638</v>
      </c>
    </row>
    <row r="28" spans="1:25">
      <c r="A28" s="119" t="s">
        <v>246</v>
      </c>
      <c r="B28" s="214" t="s">
        <v>318</v>
      </c>
      <c r="C28" s="215" t="s">
        <v>329</v>
      </c>
      <c r="D28" s="216" t="s">
        <v>43</v>
      </c>
      <c r="E28" s="217" t="s">
        <v>330</v>
      </c>
      <c r="F28" s="216" t="s">
        <v>284</v>
      </c>
      <c r="G28" s="209">
        <v>1731</v>
      </c>
      <c r="H28" s="665">
        <v>90502</v>
      </c>
      <c r="I28" s="216" t="s">
        <v>94</v>
      </c>
      <c r="J28" s="119"/>
      <c r="K28" s="119"/>
      <c r="L28" s="210">
        <v>382</v>
      </c>
      <c r="M28" s="924">
        <v>90502</v>
      </c>
      <c r="N28" s="211">
        <v>10027</v>
      </c>
      <c r="O28" s="211">
        <v>10040</v>
      </c>
      <c r="P28" s="119"/>
      <c r="Q28" s="119"/>
      <c r="R28" s="119"/>
      <c r="S28" s="202"/>
      <c r="T28" s="202"/>
      <c r="U28" s="222">
        <v>29</v>
      </c>
      <c r="V28" s="222">
        <v>29</v>
      </c>
      <c r="W28" s="222">
        <v>0.9</v>
      </c>
      <c r="X28" s="222">
        <v>1740.9</v>
      </c>
      <c r="Y28" s="124">
        <f t="shared" si="1"/>
        <v>9.9000000000000909</v>
      </c>
    </row>
    <row r="29" spans="1:25">
      <c r="A29" s="119" t="s">
        <v>246</v>
      </c>
      <c r="B29" s="214" t="s">
        <v>318</v>
      </c>
      <c r="C29" s="215" t="s">
        <v>329</v>
      </c>
      <c r="D29" s="216" t="s">
        <v>42</v>
      </c>
      <c r="E29" s="217" t="s">
        <v>331</v>
      </c>
      <c r="F29" s="216" t="s">
        <v>332</v>
      </c>
      <c r="G29" s="209">
        <v>1759</v>
      </c>
      <c r="H29" s="665">
        <v>90502</v>
      </c>
      <c r="I29" s="216" t="s">
        <v>94</v>
      </c>
      <c r="J29" s="119"/>
      <c r="K29" s="119"/>
      <c r="L29" s="135">
        <v>405</v>
      </c>
      <c r="M29" s="924">
        <v>90502</v>
      </c>
      <c r="N29" s="211">
        <v>10027</v>
      </c>
      <c r="O29" s="211">
        <v>10030</v>
      </c>
      <c r="P29" s="119"/>
      <c r="Q29" s="119"/>
      <c r="R29" s="119"/>
      <c r="S29" s="202"/>
      <c r="T29" s="202"/>
      <c r="U29" s="222">
        <v>30</v>
      </c>
      <c r="V29" s="222">
        <v>29</v>
      </c>
      <c r="W29" s="222">
        <v>28</v>
      </c>
      <c r="X29" s="222">
        <v>1768</v>
      </c>
      <c r="Y29" s="124">
        <f t="shared" si="1"/>
        <v>9</v>
      </c>
    </row>
    <row r="30" spans="1:25">
      <c r="A30" s="119" t="s">
        <v>246</v>
      </c>
      <c r="B30" s="204" t="s">
        <v>262</v>
      </c>
      <c r="C30" s="205" t="s">
        <v>226</v>
      </c>
      <c r="D30" s="206" t="s">
        <v>43</v>
      </c>
      <c r="E30" s="207">
        <v>61</v>
      </c>
      <c r="F30" s="208">
        <v>10</v>
      </c>
      <c r="G30" s="209">
        <f t="shared" si="0"/>
        <v>3670</v>
      </c>
      <c r="H30" s="209"/>
      <c r="I30" s="209" t="s">
        <v>94</v>
      </c>
      <c r="J30" s="119"/>
      <c r="K30" s="119"/>
      <c r="L30" s="210">
        <v>382</v>
      </c>
      <c r="M30" s="924">
        <v>90502</v>
      </c>
      <c r="N30" s="211">
        <v>10027</v>
      </c>
      <c r="O30" s="211">
        <v>10040</v>
      </c>
      <c r="P30" s="119"/>
      <c r="Q30" s="119"/>
      <c r="R30" s="119"/>
      <c r="S30" s="202"/>
      <c r="T30" s="202"/>
      <c r="U30" s="222">
        <v>62</v>
      </c>
      <c r="V30" s="222">
        <v>61</v>
      </c>
      <c r="W30" s="222">
        <v>12.2</v>
      </c>
      <c r="X30" s="222">
        <v>3672.2</v>
      </c>
      <c r="Y30" s="124">
        <f t="shared" si="1"/>
        <v>2.1999999999998181</v>
      </c>
    </row>
    <row r="31" spans="1:25">
      <c r="A31" s="119" t="s">
        <v>246</v>
      </c>
      <c r="B31" s="204" t="s">
        <v>262</v>
      </c>
      <c r="C31" s="205" t="s">
        <v>226</v>
      </c>
      <c r="D31" s="206" t="s">
        <v>42</v>
      </c>
      <c r="E31" s="207">
        <v>55</v>
      </c>
      <c r="F31" s="208">
        <v>32</v>
      </c>
      <c r="G31" s="209">
        <f t="shared" si="0"/>
        <v>3332</v>
      </c>
      <c r="H31" s="209"/>
      <c r="I31" s="209" t="s">
        <v>94</v>
      </c>
      <c r="J31" s="119"/>
      <c r="K31" s="119"/>
      <c r="L31" s="210">
        <v>405</v>
      </c>
      <c r="M31" s="924">
        <v>90502</v>
      </c>
      <c r="N31" s="211">
        <v>10027</v>
      </c>
      <c r="O31" s="211">
        <v>10030</v>
      </c>
      <c r="P31" s="119"/>
      <c r="Q31" s="119"/>
      <c r="R31" s="119"/>
      <c r="S31" s="202"/>
      <c r="T31" s="202"/>
      <c r="U31" s="222">
        <v>56</v>
      </c>
      <c r="V31" s="222">
        <v>55</v>
      </c>
      <c r="W31" s="222">
        <v>37.6</v>
      </c>
      <c r="X31" s="222">
        <v>3337.6</v>
      </c>
      <c r="Y31" s="124">
        <f t="shared" si="1"/>
        <v>5.5999999999999091</v>
      </c>
    </row>
    <row r="32" spans="1:25">
      <c r="A32" s="119" t="s">
        <v>246</v>
      </c>
      <c r="B32" s="204" t="s">
        <v>319</v>
      </c>
      <c r="C32" s="205" t="s">
        <v>328</v>
      </c>
      <c r="D32" s="206" t="s">
        <v>43</v>
      </c>
      <c r="E32" s="207">
        <v>51</v>
      </c>
      <c r="F32" s="208">
        <v>54</v>
      </c>
      <c r="G32" s="209">
        <f t="shared" si="0"/>
        <v>3114</v>
      </c>
      <c r="H32" s="209"/>
      <c r="I32" s="209" t="s">
        <v>45</v>
      </c>
      <c r="J32" s="119"/>
      <c r="K32" s="119"/>
      <c r="L32" s="210">
        <v>322.97390000000001</v>
      </c>
      <c r="M32" s="924">
        <v>90468</v>
      </c>
      <c r="N32" s="211">
        <v>10057</v>
      </c>
      <c r="O32" s="211">
        <v>10040</v>
      </c>
      <c r="P32" s="119"/>
      <c r="Q32" s="119"/>
      <c r="R32" s="119"/>
      <c r="S32" s="202"/>
      <c r="T32" s="202"/>
      <c r="U32" s="222">
        <v>52</v>
      </c>
      <c r="V32" s="222">
        <v>51</v>
      </c>
      <c r="W32" s="222">
        <v>51.2</v>
      </c>
      <c r="X32" s="222">
        <v>3111.2</v>
      </c>
      <c r="Y32" s="124">
        <f t="shared" si="1"/>
        <v>-2.8000000000001819</v>
      </c>
    </row>
    <row r="33" spans="1:25">
      <c r="A33" s="119" t="s">
        <v>246</v>
      </c>
      <c r="B33" s="204" t="s">
        <v>319</v>
      </c>
      <c r="C33" s="205" t="s">
        <v>328</v>
      </c>
      <c r="D33" s="206" t="s">
        <v>42</v>
      </c>
      <c r="E33" s="207">
        <v>53</v>
      </c>
      <c r="F33" s="208">
        <v>29</v>
      </c>
      <c r="G33" s="209">
        <f t="shared" si="0"/>
        <v>3209</v>
      </c>
      <c r="H33" s="209"/>
      <c r="I33" s="209" t="s">
        <v>45</v>
      </c>
      <c r="J33" s="119"/>
      <c r="K33" s="119"/>
      <c r="L33" s="210">
        <v>333.99690000000004</v>
      </c>
      <c r="M33" s="924">
        <v>90468</v>
      </c>
      <c r="N33" s="211">
        <v>10057</v>
      </c>
      <c r="O33" s="211">
        <v>10030</v>
      </c>
      <c r="P33" s="119"/>
      <c r="Q33" s="119"/>
      <c r="R33" s="119"/>
      <c r="S33" s="202"/>
      <c r="T33" s="202"/>
      <c r="U33" s="222">
        <v>54</v>
      </c>
      <c r="V33" s="222">
        <v>53</v>
      </c>
      <c r="W33" s="222">
        <v>3.4</v>
      </c>
      <c r="X33" s="222">
        <v>3183.4</v>
      </c>
      <c r="Y33" s="124">
        <f t="shared" si="1"/>
        <v>-25.599999999999909</v>
      </c>
    </row>
    <row r="34" spans="1:25">
      <c r="A34" s="226" t="s">
        <v>246</v>
      </c>
      <c r="B34" s="247" t="s">
        <v>312</v>
      </c>
      <c r="C34" s="248" t="s">
        <v>327</v>
      </c>
      <c r="D34" s="218" t="s">
        <v>42</v>
      </c>
      <c r="E34" s="249">
        <v>25</v>
      </c>
      <c r="F34" s="250">
        <v>17</v>
      </c>
      <c r="G34" s="251">
        <f t="shared" si="0"/>
        <v>1517</v>
      </c>
      <c r="H34" s="251"/>
      <c r="I34" s="251" t="s">
        <v>45</v>
      </c>
      <c r="J34" s="226"/>
      <c r="K34" s="226" t="s">
        <v>734</v>
      </c>
      <c r="L34" s="252">
        <v>333.99690000000004</v>
      </c>
      <c r="M34" s="924">
        <v>90468</v>
      </c>
      <c r="N34" s="253">
        <v>10057</v>
      </c>
      <c r="O34" s="253">
        <v>10030</v>
      </c>
      <c r="P34" s="226"/>
      <c r="Q34" s="226"/>
      <c r="R34" s="226"/>
      <c r="S34" s="254"/>
      <c r="T34" s="254"/>
      <c r="U34" s="255"/>
      <c r="V34" s="255"/>
      <c r="W34" s="255"/>
      <c r="X34" s="255"/>
      <c r="Y34" s="124"/>
    </row>
    <row r="35" spans="1:25">
      <c r="A35" s="119" t="s">
        <v>246</v>
      </c>
      <c r="B35" s="214" t="s">
        <v>273</v>
      </c>
      <c r="C35" s="215" t="s">
        <v>323</v>
      </c>
      <c r="D35" s="216" t="s">
        <v>43</v>
      </c>
      <c r="E35" s="217" t="s">
        <v>324</v>
      </c>
      <c r="F35" s="216" t="s">
        <v>325</v>
      </c>
      <c r="G35" s="209">
        <v>3824</v>
      </c>
      <c r="H35" s="209"/>
      <c r="I35" s="216" t="s">
        <v>94</v>
      </c>
      <c r="J35" s="119"/>
      <c r="K35" s="119"/>
      <c r="L35" s="210">
        <v>382</v>
      </c>
      <c r="M35" s="924">
        <v>90502</v>
      </c>
      <c r="N35" s="211">
        <v>10027</v>
      </c>
      <c r="O35" s="211">
        <v>10040</v>
      </c>
      <c r="P35" s="119"/>
      <c r="Q35" s="119"/>
      <c r="R35" s="119"/>
      <c r="S35" s="202"/>
      <c r="T35" s="202"/>
      <c r="U35" s="222">
        <v>64</v>
      </c>
      <c r="V35" s="222">
        <v>63</v>
      </c>
      <c r="W35" s="222">
        <v>48.4</v>
      </c>
      <c r="X35" s="222">
        <v>3828.4</v>
      </c>
      <c r="Y35" s="124">
        <f t="shared" si="1"/>
        <v>4.4000000000000909</v>
      </c>
    </row>
    <row r="36" spans="1:25">
      <c r="A36" s="119" t="s">
        <v>246</v>
      </c>
      <c r="B36" s="214" t="s">
        <v>273</v>
      </c>
      <c r="C36" s="215" t="s">
        <v>323</v>
      </c>
      <c r="D36" s="216" t="s">
        <v>42</v>
      </c>
      <c r="E36" s="217" t="s">
        <v>326</v>
      </c>
      <c r="F36" s="216" t="s">
        <v>270</v>
      </c>
      <c r="G36" s="209">
        <v>3474</v>
      </c>
      <c r="H36" s="209"/>
      <c r="I36" s="216" t="s">
        <v>94</v>
      </c>
      <c r="J36" s="119"/>
      <c r="K36" s="119"/>
      <c r="L36" s="135">
        <v>405</v>
      </c>
      <c r="M36" s="924">
        <v>90502</v>
      </c>
      <c r="N36" s="211">
        <v>10027</v>
      </c>
      <c r="O36" s="211">
        <v>10030</v>
      </c>
      <c r="P36" s="119"/>
      <c r="Q36" s="119"/>
      <c r="R36" s="119"/>
      <c r="S36" s="202"/>
      <c r="T36" s="202"/>
      <c r="U36" s="222">
        <v>58</v>
      </c>
      <c r="V36" s="222">
        <v>57</v>
      </c>
      <c r="W36" s="222">
        <v>59.8</v>
      </c>
      <c r="X36" s="222">
        <v>3479.8</v>
      </c>
      <c r="Y36" s="124">
        <f t="shared" si="1"/>
        <v>5.8000000000001819</v>
      </c>
    </row>
    <row r="37" spans="1:25">
      <c r="A37" s="119" t="s">
        <v>246</v>
      </c>
      <c r="B37" s="204" t="s">
        <v>303</v>
      </c>
      <c r="C37" s="205" t="s">
        <v>322</v>
      </c>
      <c r="D37" s="206" t="s">
        <v>43</v>
      </c>
      <c r="E37" s="207">
        <v>12</v>
      </c>
      <c r="F37" s="208">
        <v>26</v>
      </c>
      <c r="G37" s="209">
        <f t="shared" si="0"/>
        <v>746</v>
      </c>
      <c r="H37" s="209"/>
      <c r="I37" s="209" t="s">
        <v>56</v>
      </c>
      <c r="J37" s="119"/>
      <c r="K37" s="119"/>
      <c r="L37" s="210">
        <v>306.43940000000003</v>
      </c>
      <c r="M37" s="924">
        <v>90468</v>
      </c>
      <c r="N37" s="211">
        <v>10057</v>
      </c>
      <c r="O37" s="211">
        <v>10100</v>
      </c>
      <c r="P37" s="119"/>
      <c r="Q37" s="119"/>
      <c r="R37" s="119"/>
      <c r="S37" s="202"/>
      <c r="T37" s="202"/>
      <c r="U37" s="222">
        <v>13</v>
      </c>
      <c r="V37" s="222">
        <v>12</v>
      </c>
      <c r="W37" s="222">
        <v>18.3</v>
      </c>
      <c r="X37" s="222">
        <v>738.3</v>
      </c>
      <c r="Y37" s="124">
        <f t="shared" si="1"/>
        <v>-7.7000000000000455</v>
      </c>
    </row>
    <row r="38" spans="1:25">
      <c r="A38" s="119" t="s">
        <v>246</v>
      </c>
      <c r="B38" s="204" t="s">
        <v>303</v>
      </c>
      <c r="C38" s="205" t="s">
        <v>322</v>
      </c>
      <c r="D38" s="206" t="s">
        <v>42</v>
      </c>
      <c r="E38" s="207">
        <v>13</v>
      </c>
      <c r="F38" s="208">
        <v>55</v>
      </c>
      <c r="G38" s="209">
        <f t="shared" si="0"/>
        <v>835</v>
      </c>
      <c r="H38" s="209"/>
      <c r="I38" s="209"/>
      <c r="J38" s="119"/>
      <c r="K38" s="119"/>
      <c r="L38" s="210">
        <v>317.4624</v>
      </c>
      <c r="M38" s="924">
        <v>90468</v>
      </c>
      <c r="N38" s="211">
        <v>10057</v>
      </c>
      <c r="O38" s="211">
        <v>10090</v>
      </c>
      <c r="P38" s="119"/>
      <c r="Q38" s="119"/>
      <c r="R38" s="119"/>
      <c r="S38" s="202"/>
      <c r="T38" s="202"/>
      <c r="U38" s="222">
        <v>14</v>
      </c>
      <c r="V38" s="222">
        <v>13</v>
      </c>
      <c r="W38" s="222">
        <v>47.4</v>
      </c>
      <c r="X38" s="222">
        <v>827.4</v>
      </c>
      <c r="Y38" s="124">
        <f t="shared" si="1"/>
        <v>-7.6000000000000227</v>
      </c>
    </row>
    <row r="39" spans="1:25">
      <c r="A39" s="119" t="s">
        <v>246</v>
      </c>
      <c r="B39" s="204" t="s">
        <v>303</v>
      </c>
      <c r="C39" s="205" t="s">
        <v>206</v>
      </c>
      <c r="D39" s="206" t="s">
        <v>42</v>
      </c>
      <c r="E39" s="207">
        <v>12</v>
      </c>
      <c r="F39" s="208">
        <v>43</v>
      </c>
      <c r="G39" s="209">
        <f t="shared" si="0"/>
        <v>763</v>
      </c>
      <c r="H39" s="209"/>
      <c r="I39" s="209" t="s">
        <v>89</v>
      </c>
      <c r="J39" s="119"/>
      <c r="K39" s="119"/>
      <c r="L39" s="210">
        <v>405</v>
      </c>
      <c r="M39" s="924">
        <v>90502</v>
      </c>
      <c r="N39" s="211">
        <v>10027</v>
      </c>
      <c r="O39" s="211">
        <v>10030</v>
      </c>
      <c r="P39" s="119"/>
      <c r="Q39" s="119"/>
      <c r="R39" s="119"/>
      <c r="S39" s="202"/>
      <c r="T39" s="202"/>
      <c r="U39" s="222">
        <v>13</v>
      </c>
      <c r="V39" s="222">
        <v>12</v>
      </c>
      <c r="W39" s="222">
        <v>34.299999999999997</v>
      </c>
      <c r="X39" s="222">
        <v>754.3</v>
      </c>
      <c r="Y39" s="124">
        <f t="shared" si="1"/>
        <v>-8.7000000000000455</v>
      </c>
    </row>
    <row r="40" spans="1:25">
      <c r="A40" s="119" t="s">
        <v>246</v>
      </c>
      <c r="B40" s="204" t="s">
        <v>319</v>
      </c>
      <c r="C40" s="205" t="s">
        <v>321</v>
      </c>
      <c r="D40" s="206" t="s">
        <v>43</v>
      </c>
      <c r="E40" s="207">
        <v>35</v>
      </c>
      <c r="F40" s="208">
        <v>32</v>
      </c>
      <c r="G40" s="209">
        <f t="shared" si="0"/>
        <v>2132</v>
      </c>
      <c r="H40" s="209"/>
      <c r="I40" s="209" t="s">
        <v>54</v>
      </c>
      <c r="J40" s="119"/>
      <c r="K40" s="119"/>
      <c r="L40" s="210">
        <v>322.97390000000001</v>
      </c>
      <c r="M40" s="924">
        <v>90468</v>
      </c>
      <c r="N40" s="211">
        <v>10057</v>
      </c>
      <c r="O40" s="211">
        <v>10070</v>
      </c>
      <c r="P40" s="119"/>
      <c r="Q40" s="119"/>
      <c r="R40" s="119"/>
      <c r="S40" s="202"/>
      <c r="T40" s="202"/>
      <c r="U40" s="222">
        <v>36</v>
      </c>
      <c r="V40" s="222">
        <v>35</v>
      </c>
      <c r="W40" s="222">
        <v>31.6</v>
      </c>
      <c r="X40" s="222">
        <v>2131.6</v>
      </c>
      <c r="Y40" s="124">
        <f t="shared" si="1"/>
        <v>-0.40000000000009095</v>
      </c>
    </row>
    <row r="41" spans="1:25">
      <c r="A41" s="119" t="s">
        <v>246</v>
      </c>
      <c r="B41" s="204" t="s">
        <v>319</v>
      </c>
      <c r="C41" s="205" t="s">
        <v>321</v>
      </c>
      <c r="D41" s="206" t="s">
        <v>42</v>
      </c>
      <c r="E41" s="207">
        <v>36</v>
      </c>
      <c r="F41" s="208">
        <v>44</v>
      </c>
      <c r="G41" s="209">
        <f t="shared" si="0"/>
        <v>2204</v>
      </c>
      <c r="H41" s="209"/>
      <c r="I41" s="209" t="s">
        <v>54</v>
      </c>
      <c r="J41" s="119"/>
      <c r="K41" s="119"/>
      <c r="L41" s="210">
        <v>333.99690000000004</v>
      </c>
      <c r="M41" s="924">
        <v>90468</v>
      </c>
      <c r="N41" s="211">
        <v>10057</v>
      </c>
      <c r="O41" s="211">
        <v>10060</v>
      </c>
      <c r="P41" s="119"/>
      <c r="Q41" s="119"/>
      <c r="R41" s="119"/>
      <c r="S41" s="202"/>
      <c r="T41" s="202"/>
      <c r="U41" s="222">
        <v>37</v>
      </c>
      <c r="V41" s="222">
        <v>36</v>
      </c>
      <c r="W41" s="222">
        <v>40.700000000000003</v>
      </c>
      <c r="X41" s="222">
        <v>2200.6999999999998</v>
      </c>
      <c r="Y41" s="124">
        <f t="shared" si="1"/>
        <v>-3.3000000000001819</v>
      </c>
    </row>
    <row r="42" spans="1:25">
      <c r="A42" s="119" t="s">
        <v>246</v>
      </c>
      <c r="B42" s="204" t="s">
        <v>319</v>
      </c>
      <c r="C42" s="205" t="s">
        <v>320</v>
      </c>
      <c r="D42" s="206" t="s">
        <v>42</v>
      </c>
      <c r="E42" s="207">
        <v>71</v>
      </c>
      <c r="F42" s="208">
        <v>17</v>
      </c>
      <c r="G42" s="209">
        <f t="shared" si="0"/>
        <v>4277</v>
      </c>
      <c r="H42" s="209"/>
      <c r="I42" s="209" t="s">
        <v>54</v>
      </c>
      <c r="J42" s="119"/>
      <c r="K42" s="119"/>
      <c r="L42" s="210">
        <v>333.99690000000004</v>
      </c>
      <c r="M42" s="924">
        <v>90468</v>
      </c>
      <c r="N42" s="211">
        <v>10057</v>
      </c>
      <c r="O42" s="211">
        <v>10060</v>
      </c>
      <c r="P42" s="119"/>
      <c r="Q42" s="119"/>
      <c r="R42" s="119"/>
      <c r="S42" s="202"/>
      <c r="T42" s="202"/>
      <c r="U42" s="222">
        <v>72</v>
      </c>
      <c r="V42" s="222">
        <v>71</v>
      </c>
      <c r="W42" s="222">
        <v>52.2</v>
      </c>
      <c r="X42" s="222">
        <v>4312.2</v>
      </c>
      <c r="Y42" s="124">
        <f t="shared" si="1"/>
        <v>35.199999999999818</v>
      </c>
    </row>
    <row r="43" spans="1:25">
      <c r="A43" s="119" t="s">
        <v>246</v>
      </c>
      <c r="B43" s="204" t="s">
        <v>318</v>
      </c>
      <c r="C43" s="205" t="s">
        <v>229</v>
      </c>
      <c r="D43" s="206" t="s">
        <v>43</v>
      </c>
      <c r="E43" s="207">
        <v>65</v>
      </c>
      <c r="F43" s="208">
        <v>34</v>
      </c>
      <c r="G43" s="209">
        <f t="shared" si="0"/>
        <v>3934</v>
      </c>
      <c r="H43" s="209"/>
      <c r="I43" s="209" t="s">
        <v>94</v>
      </c>
      <c r="J43" s="119"/>
      <c r="K43" s="119"/>
      <c r="L43" s="210">
        <v>382</v>
      </c>
      <c r="M43" s="924">
        <v>90502</v>
      </c>
      <c r="N43" s="211">
        <v>10027</v>
      </c>
      <c r="O43" s="211">
        <v>10040</v>
      </c>
      <c r="P43" s="119"/>
      <c r="Q43" s="119"/>
      <c r="R43" s="119"/>
      <c r="S43" s="202"/>
      <c r="T43" s="202"/>
      <c r="U43" s="222">
        <v>66</v>
      </c>
      <c r="V43" s="222">
        <v>65</v>
      </c>
      <c r="W43" s="222">
        <v>49.6</v>
      </c>
      <c r="X43" s="222">
        <v>3949.6</v>
      </c>
      <c r="Y43" s="124">
        <f t="shared" si="1"/>
        <v>15.599999999999909</v>
      </c>
    </row>
    <row r="44" spans="1:25">
      <c r="A44" s="119" t="s">
        <v>246</v>
      </c>
      <c r="B44" s="204" t="s">
        <v>318</v>
      </c>
      <c r="C44" s="205" t="s">
        <v>229</v>
      </c>
      <c r="D44" s="206" t="s">
        <v>42</v>
      </c>
      <c r="E44" s="207">
        <v>47</v>
      </c>
      <c r="F44" s="208">
        <v>11</v>
      </c>
      <c r="G44" s="209">
        <f t="shared" si="0"/>
        <v>2831</v>
      </c>
      <c r="H44" s="209"/>
      <c r="I44" s="209" t="s">
        <v>94</v>
      </c>
      <c r="J44" s="119"/>
      <c r="K44" s="119"/>
      <c r="L44" s="210">
        <v>405</v>
      </c>
      <c r="M44" s="924">
        <v>90502</v>
      </c>
      <c r="N44" s="211">
        <v>10027</v>
      </c>
      <c r="O44" s="211">
        <v>10030</v>
      </c>
      <c r="P44" s="119"/>
      <c r="Q44" s="119"/>
      <c r="R44" s="119"/>
      <c r="S44" s="202"/>
      <c r="T44" s="202"/>
      <c r="U44" s="222">
        <v>48</v>
      </c>
      <c r="V44" s="222">
        <v>47</v>
      </c>
      <c r="W44" s="222">
        <v>18.8</v>
      </c>
      <c r="X44" s="222">
        <v>2838.8</v>
      </c>
      <c r="Y44" s="124">
        <f t="shared" si="1"/>
        <v>7.8000000000001819</v>
      </c>
    </row>
    <row r="45" spans="1:25">
      <c r="A45" s="119" t="s">
        <v>246</v>
      </c>
      <c r="B45" s="204" t="s">
        <v>273</v>
      </c>
      <c r="C45" s="205" t="s">
        <v>317</v>
      </c>
      <c r="D45" s="206" t="s">
        <v>43</v>
      </c>
      <c r="E45" s="207">
        <v>59</v>
      </c>
      <c r="F45" s="208">
        <v>43</v>
      </c>
      <c r="G45" s="209">
        <f t="shared" si="0"/>
        <v>3583</v>
      </c>
      <c r="H45" s="209"/>
      <c r="I45" s="209" t="s">
        <v>94</v>
      </c>
      <c r="J45" s="119"/>
      <c r="K45" s="119"/>
      <c r="L45" s="210">
        <v>382</v>
      </c>
      <c r="M45" s="924">
        <v>90502</v>
      </c>
      <c r="N45" s="211">
        <v>10027</v>
      </c>
      <c r="O45" s="211">
        <v>10040</v>
      </c>
      <c r="P45" s="119"/>
      <c r="Q45" s="119"/>
      <c r="R45" s="119"/>
      <c r="S45" s="202"/>
      <c r="T45" s="202"/>
      <c r="U45" s="222">
        <v>60</v>
      </c>
      <c r="V45" s="222">
        <v>59</v>
      </c>
      <c r="W45" s="222">
        <v>62</v>
      </c>
      <c r="X45" s="222">
        <v>3602</v>
      </c>
      <c r="Y45" s="124">
        <f t="shared" si="1"/>
        <v>19</v>
      </c>
    </row>
    <row r="46" spans="1:25">
      <c r="A46" s="119" t="s">
        <v>246</v>
      </c>
      <c r="B46" s="204" t="s">
        <v>273</v>
      </c>
      <c r="C46" s="205" t="s">
        <v>317</v>
      </c>
      <c r="D46" s="206" t="s">
        <v>42</v>
      </c>
      <c r="E46" s="207">
        <v>50</v>
      </c>
      <c r="F46" s="208">
        <v>24</v>
      </c>
      <c r="G46" s="209">
        <f t="shared" si="0"/>
        <v>3024</v>
      </c>
      <c r="H46" s="209"/>
      <c r="I46" s="209" t="s">
        <v>94</v>
      </c>
      <c r="J46" s="119"/>
      <c r="K46" s="119"/>
      <c r="L46" s="210">
        <v>405</v>
      </c>
      <c r="M46" s="924">
        <v>90502</v>
      </c>
      <c r="N46" s="211">
        <v>10027</v>
      </c>
      <c r="O46" s="211">
        <v>10030</v>
      </c>
      <c r="P46" s="119"/>
      <c r="Q46" s="119"/>
      <c r="R46" s="119"/>
      <c r="S46" s="202"/>
      <c r="T46" s="202"/>
      <c r="U46" s="222">
        <v>51</v>
      </c>
      <c r="V46" s="222">
        <v>50</v>
      </c>
      <c r="W46" s="222">
        <v>44.1</v>
      </c>
      <c r="X46" s="222">
        <v>3044.1</v>
      </c>
      <c r="Y46" s="124">
        <f t="shared" si="1"/>
        <v>20.099999999999909</v>
      </c>
    </row>
    <row r="47" spans="1:25">
      <c r="A47" s="119" t="s">
        <v>246</v>
      </c>
      <c r="B47" s="214" t="s">
        <v>312</v>
      </c>
      <c r="C47" s="215" t="s">
        <v>313</v>
      </c>
      <c r="D47" s="216" t="s">
        <v>43</v>
      </c>
      <c r="E47" s="217" t="s">
        <v>314</v>
      </c>
      <c r="F47" s="216" t="s">
        <v>315</v>
      </c>
      <c r="G47" s="209">
        <v>2773</v>
      </c>
      <c r="H47" s="209"/>
      <c r="I47" s="216" t="s">
        <v>94</v>
      </c>
      <c r="J47" s="119"/>
      <c r="K47" s="119"/>
      <c r="L47" s="210">
        <v>382</v>
      </c>
      <c r="M47" s="924">
        <v>90502</v>
      </c>
      <c r="N47" s="211">
        <v>10027</v>
      </c>
      <c r="O47" s="211">
        <v>10040</v>
      </c>
      <c r="P47" s="119"/>
      <c r="Q47" s="119"/>
      <c r="R47" s="119"/>
      <c r="S47" s="202"/>
      <c r="T47" s="202"/>
      <c r="U47" s="222">
        <v>47</v>
      </c>
      <c r="V47" s="222">
        <v>46</v>
      </c>
      <c r="W47" s="222">
        <v>31.7</v>
      </c>
      <c r="X47" s="222">
        <v>2791.7</v>
      </c>
      <c r="Y47" s="124">
        <f t="shared" si="1"/>
        <v>18.699999999999818</v>
      </c>
    </row>
    <row r="48" spans="1:25">
      <c r="A48" s="119" t="s">
        <v>246</v>
      </c>
      <c r="B48" s="214" t="s">
        <v>312</v>
      </c>
      <c r="C48" s="215" t="s">
        <v>313</v>
      </c>
      <c r="D48" s="216" t="s">
        <v>42</v>
      </c>
      <c r="E48" s="217" t="s">
        <v>316</v>
      </c>
      <c r="F48" s="216" t="s">
        <v>314</v>
      </c>
      <c r="G48" s="209">
        <v>1906</v>
      </c>
      <c r="H48" s="209"/>
      <c r="I48" s="216" t="s">
        <v>94</v>
      </c>
      <c r="J48" s="119"/>
      <c r="K48" s="119"/>
      <c r="L48" s="135">
        <v>405</v>
      </c>
      <c r="M48" s="924">
        <v>90502</v>
      </c>
      <c r="N48" s="211">
        <v>10027</v>
      </c>
      <c r="O48" s="211">
        <v>10030</v>
      </c>
      <c r="P48" s="119"/>
      <c r="Q48" s="119"/>
      <c r="R48" s="119"/>
      <c r="S48" s="202"/>
      <c r="T48" s="202"/>
      <c r="U48" s="222">
        <v>32</v>
      </c>
      <c r="V48" s="222">
        <v>31</v>
      </c>
      <c r="W48" s="222">
        <v>58.2</v>
      </c>
      <c r="X48" s="222">
        <v>1918.2</v>
      </c>
      <c r="Y48" s="124">
        <f t="shared" si="1"/>
        <v>12.200000000000045</v>
      </c>
    </row>
    <row r="49" spans="1:25">
      <c r="A49" s="119" t="s">
        <v>246</v>
      </c>
      <c r="B49" s="204" t="s">
        <v>288</v>
      </c>
      <c r="C49" s="205" t="s">
        <v>311</v>
      </c>
      <c r="D49" s="206" t="s">
        <v>43</v>
      </c>
      <c r="E49" s="207">
        <v>69</v>
      </c>
      <c r="F49" s="208">
        <v>19</v>
      </c>
      <c r="G49" s="209">
        <f t="shared" si="0"/>
        <v>4159</v>
      </c>
      <c r="H49" s="209"/>
      <c r="I49" s="209" t="s">
        <v>89</v>
      </c>
      <c r="J49" s="119"/>
      <c r="K49" s="119"/>
      <c r="L49" s="210">
        <v>382</v>
      </c>
      <c r="M49" s="924">
        <v>90502</v>
      </c>
      <c r="N49" s="211">
        <v>10027</v>
      </c>
      <c r="O49" s="211">
        <v>10040</v>
      </c>
      <c r="P49" s="119"/>
      <c r="Q49" s="119"/>
      <c r="R49" s="119"/>
      <c r="S49" s="202"/>
      <c r="T49" s="202"/>
      <c r="U49" s="222">
        <v>70</v>
      </c>
      <c r="V49" s="222">
        <v>69</v>
      </c>
      <c r="W49" s="222">
        <v>48</v>
      </c>
      <c r="X49" s="222">
        <v>4188</v>
      </c>
      <c r="Y49" s="124">
        <f t="shared" si="1"/>
        <v>29</v>
      </c>
    </row>
    <row r="50" spans="1:25">
      <c r="A50" s="119" t="s">
        <v>246</v>
      </c>
      <c r="B50" s="204" t="s">
        <v>288</v>
      </c>
      <c r="C50" s="205" t="s">
        <v>311</v>
      </c>
      <c r="D50" s="206" t="s">
        <v>42</v>
      </c>
      <c r="E50" s="207">
        <v>56</v>
      </c>
      <c r="F50" s="208">
        <v>18</v>
      </c>
      <c r="G50" s="209">
        <f t="shared" si="0"/>
        <v>3378</v>
      </c>
      <c r="H50" s="209"/>
      <c r="I50" s="209" t="s">
        <v>94</v>
      </c>
      <c r="J50" s="119"/>
      <c r="K50" s="119"/>
      <c r="L50" s="210">
        <v>405</v>
      </c>
      <c r="M50" s="924">
        <v>90502</v>
      </c>
      <c r="N50" s="211">
        <v>10027</v>
      </c>
      <c r="O50" s="211">
        <v>10030</v>
      </c>
      <c r="P50" s="119"/>
      <c r="Q50" s="119"/>
      <c r="R50" s="119"/>
      <c r="S50" s="202"/>
      <c r="T50" s="202"/>
      <c r="U50" s="222">
        <v>57</v>
      </c>
      <c r="V50" s="222">
        <v>56</v>
      </c>
      <c r="W50" s="222">
        <v>28.7</v>
      </c>
      <c r="X50" s="222">
        <v>3388.7</v>
      </c>
      <c r="Y50" s="124">
        <f t="shared" si="1"/>
        <v>10.699999999999818</v>
      </c>
    </row>
    <row r="51" spans="1:25">
      <c r="A51" s="119" t="s">
        <v>246</v>
      </c>
      <c r="B51" s="204" t="s">
        <v>281</v>
      </c>
      <c r="C51" s="205" t="s">
        <v>208</v>
      </c>
      <c r="D51" s="206" t="s">
        <v>42</v>
      </c>
      <c r="E51" s="207">
        <v>49</v>
      </c>
      <c r="F51" s="208">
        <v>64</v>
      </c>
      <c r="G51" s="209">
        <f t="shared" si="0"/>
        <v>3004</v>
      </c>
      <c r="H51" s="209"/>
      <c r="I51" s="209" t="s">
        <v>94</v>
      </c>
      <c r="J51" s="119"/>
      <c r="K51" s="119"/>
      <c r="L51" s="210">
        <v>405</v>
      </c>
      <c r="M51" s="924">
        <v>90502</v>
      </c>
      <c r="N51" s="211">
        <v>10027</v>
      </c>
      <c r="O51" s="211">
        <v>10030</v>
      </c>
      <c r="P51" s="119"/>
      <c r="Q51" s="119"/>
      <c r="R51" s="119"/>
      <c r="S51" s="202"/>
      <c r="T51" s="202"/>
      <c r="U51" s="222">
        <v>50</v>
      </c>
      <c r="V51" s="222">
        <v>50</v>
      </c>
      <c r="W51" s="222">
        <v>22</v>
      </c>
      <c r="X51" s="222">
        <v>3022</v>
      </c>
      <c r="Y51" s="124">
        <f t="shared" si="1"/>
        <v>18</v>
      </c>
    </row>
    <row r="52" spans="1:25">
      <c r="A52" s="119"/>
      <c r="B52" s="204"/>
      <c r="C52" s="205"/>
      <c r="D52" s="206"/>
      <c r="E52" s="207"/>
      <c r="F52" s="208"/>
      <c r="G52" s="209"/>
      <c r="H52" s="209"/>
      <c r="I52" s="660">
        <f>SUM(I42:I51)</f>
        <v>0</v>
      </c>
      <c r="J52" s="119"/>
      <c r="K52" s="119"/>
      <c r="L52" s="210"/>
      <c r="M52" s="924"/>
      <c r="N52" s="211"/>
      <c r="O52" s="211"/>
      <c r="P52" s="119"/>
      <c r="Q52" s="119"/>
      <c r="R52" s="119"/>
      <c r="S52" s="202"/>
      <c r="T52" s="202"/>
      <c r="U52" s="222"/>
      <c r="V52" s="222">
        <f>SUM(V42:V51)</f>
        <v>544</v>
      </c>
      <c r="W52" s="222"/>
      <c r="X52" s="222"/>
      <c r="Y52" s="124"/>
    </row>
    <row r="53" spans="1:25">
      <c r="A53" s="119"/>
      <c r="B53" s="204"/>
      <c r="C53" s="205"/>
      <c r="D53" s="206"/>
      <c r="E53" s="207"/>
      <c r="F53" s="208"/>
      <c r="G53" s="209"/>
      <c r="H53" s="209"/>
      <c r="I53" s="660">
        <f>I52/60</f>
        <v>0</v>
      </c>
      <c r="J53" s="119"/>
      <c r="K53" s="119"/>
      <c r="L53" s="210"/>
      <c r="M53" s="924"/>
      <c r="N53" s="211"/>
      <c r="O53" s="211"/>
      <c r="P53" s="119"/>
      <c r="Q53" s="119"/>
      <c r="R53" s="119"/>
      <c r="S53" s="202"/>
      <c r="T53" s="202"/>
      <c r="U53" s="222"/>
      <c r="V53" s="222"/>
      <c r="W53" s="222"/>
      <c r="X53" s="222"/>
      <c r="Y53" s="124"/>
    </row>
    <row r="54" spans="1:25">
      <c r="A54" s="119" t="s">
        <v>246</v>
      </c>
      <c r="B54" s="204" t="s">
        <v>265</v>
      </c>
      <c r="C54" s="205" t="s">
        <v>230</v>
      </c>
      <c r="D54" s="206" t="s">
        <v>43</v>
      </c>
      <c r="E54" s="207">
        <v>70</v>
      </c>
      <c r="F54" s="208">
        <v>17</v>
      </c>
      <c r="G54" s="209">
        <f>E54*60+F54</f>
        <v>4217</v>
      </c>
      <c r="H54" s="209"/>
      <c r="I54" s="209" t="s">
        <v>94</v>
      </c>
      <c r="J54" s="119"/>
      <c r="K54" s="119"/>
      <c r="L54" s="210">
        <v>382</v>
      </c>
      <c r="M54" s="924">
        <v>90502</v>
      </c>
      <c r="N54" s="211">
        <v>10027</v>
      </c>
      <c r="O54" s="211">
        <v>10040</v>
      </c>
      <c r="P54" s="119"/>
      <c r="Q54" s="119"/>
      <c r="R54" s="119"/>
      <c r="S54" s="202"/>
      <c r="T54" s="202"/>
      <c r="U54" s="222">
        <v>71</v>
      </c>
      <c r="V54" s="222">
        <v>70</v>
      </c>
      <c r="W54" s="222">
        <v>45.1</v>
      </c>
      <c r="X54" s="222">
        <v>4245.1000000000004</v>
      </c>
      <c r="Y54" s="124">
        <f>X54-G54</f>
        <v>28.100000000000364</v>
      </c>
    </row>
    <row r="55" spans="1:25">
      <c r="A55" s="119" t="s">
        <v>246</v>
      </c>
      <c r="B55" s="204" t="s">
        <v>265</v>
      </c>
      <c r="C55" s="205" t="s">
        <v>230</v>
      </c>
      <c r="D55" s="206" t="s">
        <v>42</v>
      </c>
      <c r="E55" s="207">
        <v>54</v>
      </c>
      <c r="F55" s="208">
        <v>17</v>
      </c>
      <c r="G55" s="209">
        <f>E55*60+F55</f>
        <v>3257</v>
      </c>
      <c r="H55" s="209"/>
      <c r="I55" s="209" t="s">
        <v>94</v>
      </c>
      <c r="J55" s="119"/>
      <c r="K55" s="119"/>
      <c r="L55" s="210">
        <v>405</v>
      </c>
      <c r="M55" s="924">
        <v>90502</v>
      </c>
      <c r="N55" s="211">
        <v>10027</v>
      </c>
      <c r="O55" s="211">
        <v>10030</v>
      </c>
      <c r="P55" s="119"/>
      <c r="Q55" s="119"/>
      <c r="R55" s="119"/>
      <c r="S55" s="202"/>
      <c r="T55" s="202"/>
      <c r="U55" s="222">
        <v>55</v>
      </c>
      <c r="V55" s="222">
        <v>54</v>
      </c>
      <c r="W55" s="222">
        <v>38.5</v>
      </c>
      <c r="X55" s="222">
        <v>3278.5</v>
      </c>
      <c r="Y55" s="124">
        <f>X55-G55</f>
        <v>21.5</v>
      </c>
    </row>
    <row r="56" spans="1:25">
      <c r="A56" s="226" t="s">
        <v>246</v>
      </c>
      <c r="B56" s="247" t="s">
        <v>273</v>
      </c>
      <c r="C56" s="248" t="s">
        <v>309</v>
      </c>
      <c r="D56" s="218" t="s">
        <v>43</v>
      </c>
      <c r="E56" s="249">
        <v>55</v>
      </c>
      <c r="F56" s="250">
        <v>10</v>
      </c>
      <c r="G56" s="251">
        <f t="shared" si="0"/>
        <v>3310</v>
      </c>
      <c r="H56" s="251"/>
      <c r="I56" s="1051">
        <f>SUM(I54:I55)</f>
        <v>0</v>
      </c>
      <c r="J56" s="226"/>
      <c r="K56" s="226" t="s">
        <v>734</v>
      </c>
      <c r="L56" s="252">
        <v>322.97390000000001</v>
      </c>
      <c r="M56" s="924">
        <v>90468</v>
      </c>
      <c r="N56" s="253">
        <v>10057</v>
      </c>
      <c r="O56" s="253">
        <v>10070</v>
      </c>
      <c r="P56" s="226"/>
      <c r="Q56" s="226"/>
      <c r="R56" s="226"/>
      <c r="S56" s="254"/>
      <c r="T56" s="254"/>
      <c r="U56" s="255"/>
      <c r="V56" s="255">
        <f>SUM(V54:V55)</f>
        <v>124</v>
      </c>
      <c r="W56" s="255"/>
      <c r="X56" s="255"/>
      <c r="Y56" s="124"/>
    </row>
    <row r="57" spans="1:25">
      <c r="A57" s="119" t="s">
        <v>246</v>
      </c>
      <c r="B57" s="204" t="s">
        <v>271</v>
      </c>
      <c r="C57" s="205" t="s">
        <v>308</v>
      </c>
      <c r="D57" s="206" t="s">
        <v>43</v>
      </c>
      <c r="E57" s="207">
        <v>36</v>
      </c>
      <c r="F57" s="208">
        <v>20</v>
      </c>
      <c r="G57" s="209">
        <f t="shared" si="0"/>
        <v>2180</v>
      </c>
      <c r="H57" s="209"/>
      <c r="I57" s="1059">
        <f>I56/60</f>
        <v>0</v>
      </c>
      <c r="J57" s="119"/>
      <c r="K57" s="119"/>
      <c r="L57" s="210">
        <v>306.43940000000003</v>
      </c>
      <c r="M57" s="924">
        <v>90468</v>
      </c>
      <c r="N57" s="211">
        <v>10057</v>
      </c>
      <c r="O57" s="211">
        <v>10100</v>
      </c>
      <c r="P57" s="119"/>
      <c r="Q57" s="119"/>
      <c r="R57" s="119"/>
      <c r="S57" s="202"/>
      <c r="T57" s="202"/>
      <c r="U57" s="222">
        <v>37</v>
      </c>
      <c r="V57" s="222">
        <v>36</v>
      </c>
      <c r="W57" s="222">
        <v>8.6999999999999993</v>
      </c>
      <c r="X57" s="222">
        <v>2168.6999999999998</v>
      </c>
      <c r="Y57" s="124">
        <f t="shared" si="1"/>
        <v>-11.300000000000182</v>
      </c>
    </row>
    <row r="58" spans="1:25">
      <c r="A58" s="119" t="s">
        <v>246</v>
      </c>
      <c r="B58" s="204" t="s">
        <v>271</v>
      </c>
      <c r="C58" s="205" t="s">
        <v>308</v>
      </c>
      <c r="D58" s="206" t="s">
        <v>42</v>
      </c>
      <c r="E58" s="207">
        <v>47</v>
      </c>
      <c r="F58" s="208">
        <v>40</v>
      </c>
      <c r="G58" s="209">
        <f t="shared" si="0"/>
        <v>2860</v>
      </c>
      <c r="H58" s="209"/>
      <c r="I58" s="209" t="s">
        <v>56</v>
      </c>
      <c r="J58" s="119"/>
      <c r="K58" s="119"/>
      <c r="L58" s="210">
        <v>317.4624</v>
      </c>
      <c r="M58" s="924">
        <v>90468</v>
      </c>
      <c r="N58" s="211">
        <v>10057</v>
      </c>
      <c r="O58" s="211">
        <v>10090</v>
      </c>
      <c r="P58" s="119"/>
      <c r="Q58" s="119"/>
      <c r="R58" s="119"/>
      <c r="S58" s="202"/>
      <c r="T58" s="202"/>
      <c r="U58" s="222">
        <v>48</v>
      </c>
      <c r="V58" s="222">
        <v>47</v>
      </c>
      <c r="W58" s="222">
        <v>43.8</v>
      </c>
      <c r="X58" s="222">
        <v>2863.8</v>
      </c>
      <c r="Y58" s="124">
        <f t="shared" si="1"/>
        <v>3.8000000000001819</v>
      </c>
    </row>
    <row r="59" spans="1:25">
      <c r="A59" s="554" t="s">
        <v>246</v>
      </c>
      <c r="B59" s="555" t="s">
        <v>239</v>
      </c>
      <c r="C59" s="556" t="s">
        <v>307</v>
      </c>
      <c r="D59" s="557" t="s">
        <v>42</v>
      </c>
      <c r="E59" s="558">
        <v>105</v>
      </c>
      <c r="F59" s="564">
        <v>21</v>
      </c>
      <c r="G59" s="559">
        <f t="shared" ref="G59:G107" si="2">E59*60+F59</f>
        <v>6321</v>
      </c>
      <c r="H59" s="559"/>
      <c r="I59" s="557" t="s">
        <v>94</v>
      </c>
      <c r="J59" s="554"/>
      <c r="K59" s="554"/>
      <c r="L59" s="560">
        <v>405</v>
      </c>
      <c r="M59" s="924">
        <v>90502</v>
      </c>
      <c r="N59" s="557">
        <v>10027</v>
      </c>
      <c r="O59" s="557">
        <v>10030</v>
      </c>
      <c r="P59" s="554"/>
      <c r="Q59" s="554"/>
      <c r="R59" s="554"/>
      <c r="S59" s="561"/>
      <c r="T59" s="561"/>
      <c r="U59" s="562">
        <v>106</v>
      </c>
      <c r="V59" s="562">
        <v>105</v>
      </c>
      <c r="W59" s="562">
        <v>8.6</v>
      </c>
      <c r="X59" s="562">
        <v>6308.6</v>
      </c>
      <c r="Y59" s="124">
        <f t="shared" si="1"/>
        <v>-12.399999999999636</v>
      </c>
    </row>
    <row r="60" spans="1:25">
      <c r="A60" s="554" t="s">
        <v>246</v>
      </c>
      <c r="B60" s="555" t="s">
        <v>239</v>
      </c>
      <c r="C60" s="556" t="s">
        <v>307</v>
      </c>
      <c r="D60" s="557" t="s">
        <v>43</v>
      </c>
      <c r="E60" s="558">
        <v>141</v>
      </c>
      <c r="F60" s="564">
        <v>51</v>
      </c>
      <c r="G60" s="1085">
        <f t="shared" si="2"/>
        <v>8511</v>
      </c>
      <c r="H60" s="1085"/>
      <c r="I60" s="1086" t="s">
        <v>94</v>
      </c>
      <c r="J60" s="1087"/>
      <c r="K60" s="1087"/>
      <c r="L60" s="560">
        <v>382</v>
      </c>
      <c r="M60" s="924">
        <v>90502</v>
      </c>
      <c r="N60" s="557">
        <v>10027</v>
      </c>
      <c r="O60" s="557">
        <v>10040</v>
      </c>
      <c r="P60" s="554"/>
      <c r="Q60" s="554"/>
      <c r="R60" s="554"/>
      <c r="S60" s="561"/>
      <c r="T60" s="561"/>
      <c r="U60" s="562">
        <v>142</v>
      </c>
      <c r="V60" s="562">
        <v>142</v>
      </c>
      <c r="W60" s="562">
        <v>35.200000000000003</v>
      </c>
      <c r="X60" s="562">
        <v>8555.2000000000007</v>
      </c>
      <c r="Y60" s="563">
        <f t="shared" si="1"/>
        <v>44.200000000000728</v>
      </c>
    </row>
    <row r="61" spans="1:25">
      <c r="A61" s="119" t="s">
        <v>246</v>
      </c>
      <c r="B61" s="137" t="s">
        <v>235</v>
      </c>
      <c r="C61" s="212" t="s">
        <v>306</v>
      </c>
      <c r="D61" s="211" t="s">
        <v>42</v>
      </c>
      <c r="E61" s="213">
        <v>63</v>
      </c>
      <c r="F61" s="1066">
        <v>11</v>
      </c>
      <c r="G61" s="209">
        <f t="shared" si="2"/>
        <v>3791</v>
      </c>
      <c r="H61" s="209"/>
      <c r="I61" s="211" t="s">
        <v>1372</v>
      </c>
      <c r="J61" s="135" t="s">
        <v>1373</v>
      </c>
      <c r="K61" s="135" t="s">
        <v>1374</v>
      </c>
      <c r="L61" s="1073">
        <v>333.99690000000004</v>
      </c>
      <c r="M61" s="924">
        <v>90468</v>
      </c>
      <c r="N61" s="211">
        <v>10057</v>
      </c>
      <c r="O61" s="211">
        <v>10030</v>
      </c>
      <c r="P61" s="119"/>
      <c r="Q61" s="119"/>
      <c r="R61" s="119"/>
      <c r="S61" s="202"/>
      <c r="T61" s="202"/>
      <c r="U61" s="222">
        <v>64</v>
      </c>
      <c r="V61" s="222">
        <v>63</v>
      </c>
      <c r="W61" s="222">
        <v>21.4</v>
      </c>
      <c r="X61" s="222">
        <v>3801.4</v>
      </c>
      <c r="Y61" s="124">
        <f t="shared" si="1"/>
        <v>10.400000000000091</v>
      </c>
    </row>
    <row r="62" spans="1:25">
      <c r="A62" s="119" t="s">
        <v>246</v>
      </c>
      <c r="B62" s="137" t="s">
        <v>235</v>
      </c>
      <c r="C62" s="212" t="s">
        <v>306</v>
      </c>
      <c r="D62" s="211" t="s">
        <v>43</v>
      </c>
      <c r="E62" s="213">
        <v>45</v>
      </c>
      <c r="F62" s="1066">
        <v>0</v>
      </c>
      <c r="G62" s="209" t="s">
        <v>354</v>
      </c>
      <c r="H62" s="209"/>
      <c r="I62" s="211">
        <v>30087</v>
      </c>
      <c r="J62" s="135">
        <v>30223.7</v>
      </c>
      <c r="K62" s="135">
        <v>30163</v>
      </c>
      <c r="L62" s="1073">
        <v>322.97390000000001</v>
      </c>
      <c r="M62" s="924">
        <v>90468</v>
      </c>
      <c r="N62" s="211">
        <v>10057</v>
      </c>
      <c r="O62" s="211">
        <v>10040</v>
      </c>
      <c r="P62" s="119"/>
      <c r="Q62" s="119"/>
      <c r="R62" s="119"/>
      <c r="S62" s="202"/>
      <c r="T62" s="202"/>
      <c r="U62" s="222">
        <v>46</v>
      </c>
      <c r="V62" s="222">
        <v>45</v>
      </c>
      <c r="W62" s="222">
        <v>13.6</v>
      </c>
      <c r="X62" s="222">
        <v>2713.6</v>
      </c>
      <c r="Y62" s="124" t="e">
        <f t="shared" si="1"/>
        <v>#VALUE!</v>
      </c>
    </row>
    <row r="63" spans="1:25">
      <c r="A63" s="637" t="s">
        <v>246</v>
      </c>
      <c r="B63" s="638" t="s">
        <v>238</v>
      </c>
      <c r="C63" s="639" t="s">
        <v>305</v>
      </c>
      <c r="D63" s="640" t="s">
        <v>42</v>
      </c>
      <c r="E63" s="641">
        <v>83</v>
      </c>
      <c r="F63" s="1067">
        <v>45</v>
      </c>
      <c r="G63" s="642" t="s">
        <v>856</v>
      </c>
      <c r="H63" s="642"/>
      <c r="I63" s="640">
        <v>88</v>
      </c>
      <c r="J63" s="1111">
        <v>88</v>
      </c>
      <c r="K63" s="1111">
        <v>89</v>
      </c>
      <c r="L63" s="1074">
        <v>405</v>
      </c>
      <c r="M63" s="924">
        <v>90502</v>
      </c>
      <c r="N63" s="640">
        <v>10027</v>
      </c>
      <c r="O63" s="640">
        <v>10030</v>
      </c>
      <c r="P63" s="637"/>
      <c r="Q63" s="637"/>
      <c r="R63" s="637"/>
      <c r="S63" s="644"/>
      <c r="T63" s="644"/>
      <c r="U63" s="645">
        <v>84</v>
      </c>
      <c r="V63" s="645">
        <v>83</v>
      </c>
      <c r="W63" s="645">
        <v>53.4</v>
      </c>
      <c r="X63" s="645">
        <v>5033.3999999999996</v>
      </c>
      <c r="Y63" s="646" t="e">
        <f t="shared" si="1"/>
        <v>#VALUE!</v>
      </c>
    </row>
    <row r="64" spans="1:25">
      <c r="A64" s="637" t="s">
        <v>246</v>
      </c>
      <c r="B64" s="638" t="s">
        <v>238</v>
      </c>
      <c r="C64" s="639" t="s">
        <v>305</v>
      </c>
      <c r="D64" s="640" t="s">
        <v>43</v>
      </c>
      <c r="E64" s="641">
        <v>110</v>
      </c>
      <c r="F64" s="640">
        <v>7</v>
      </c>
      <c r="G64" s="1099">
        <f t="shared" si="2"/>
        <v>6607</v>
      </c>
      <c r="H64" s="1099"/>
      <c r="I64" s="1100" t="s">
        <v>94</v>
      </c>
      <c r="J64" s="1101"/>
      <c r="K64" s="1101"/>
      <c r="L64" s="643">
        <v>382</v>
      </c>
      <c r="M64" s="924">
        <v>90502</v>
      </c>
      <c r="N64" s="640">
        <v>10027</v>
      </c>
      <c r="O64" s="640">
        <v>10040</v>
      </c>
      <c r="P64" s="637"/>
      <c r="Q64" s="637"/>
      <c r="R64" s="637"/>
      <c r="S64" s="644"/>
      <c r="T64" s="644"/>
      <c r="U64" s="645">
        <v>111</v>
      </c>
      <c r="V64" s="645">
        <v>110</v>
      </c>
      <c r="W64" s="645">
        <v>16.100000000000001</v>
      </c>
      <c r="X64" s="645">
        <v>6616.1</v>
      </c>
      <c r="Y64" s="646">
        <f t="shared" si="1"/>
        <v>9.1000000000003638</v>
      </c>
    </row>
    <row r="65" spans="1:25">
      <c r="A65" s="119" t="s">
        <v>246</v>
      </c>
      <c r="B65" s="204" t="s">
        <v>303</v>
      </c>
      <c r="C65" s="205" t="s">
        <v>304</v>
      </c>
      <c r="D65" s="206" t="s">
        <v>43</v>
      </c>
      <c r="E65" s="207">
        <v>36</v>
      </c>
      <c r="F65" s="208">
        <v>62</v>
      </c>
      <c r="G65" s="209">
        <f t="shared" si="2"/>
        <v>2222</v>
      </c>
      <c r="H65" s="209"/>
      <c r="I65" s="135" t="s">
        <v>45</v>
      </c>
      <c r="J65" s="119"/>
      <c r="K65" s="119"/>
      <c r="L65" s="210">
        <v>322.97390000000001</v>
      </c>
      <c r="M65" s="924">
        <v>90468</v>
      </c>
      <c r="N65" s="211">
        <v>10057</v>
      </c>
      <c r="O65" s="211">
        <v>10040</v>
      </c>
      <c r="P65" s="119"/>
      <c r="Q65" s="119"/>
      <c r="R65" s="119"/>
      <c r="S65" s="202"/>
      <c r="T65" s="202"/>
      <c r="U65" s="222">
        <v>37</v>
      </c>
      <c r="V65" s="222">
        <v>37</v>
      </c>
      <c r="W65" s="222">
        <v>0.7</v>
      </c>
      <c r="X65" s="222">
        <v>2220.6999999999998</v>
      </c>
      <c r="Y65" s="124">
        <f t="shared" si="1"/>
        <v>-1.3000000000001819</v>
      </c>
    </row>
    <row r="66" spans="1:25">
      <c r="A66" s="119" t="s">
        <v>246</v>
      </c>
      <c r="B66" s="204" t="s">
        <v>303</v>
      </c>
      <c r="C66" s="205" t="s">
        <v>304</v>
      </c>
      <c r="D66" s="206" t="s">
        <v>42</v>
      </c>
      <c r="E66" s="207">
        <v>41</v>
      </c>
      <c r="F66" s="208">
        <v>44</v>
      </c>
      <c r="G66" s="209">
        <f t="shared" si="2"/>
        <v>2504</v>
      </c>
      <c r="H66" s="209"/>
      <c r="I66" s="209" t="s">
        <v>45</v>
      </c>
      <c r="J66" s="119"/>
      <c r="K66" s="119"/>
      <c r="L66" s="210">
        <v>333.99690000000004</v>
      </c>
      <c r="M66" s="924">
        <v>90468</v>
      </c>
      <c r="N66" s="211">
        <v>10057</v>
      </c>
      <c r="O66" s="211">
        <v>10030</v>
      </c>
      <c r="P66" s="119"/>
      <c r="Q66" s="119"/>
      <c r="R66" s="119"/>
      <c r="S66" s="202"/>
      <c r="T66" s="202"/>
      <c r="U66" s="222">
        <v>42</v>
      </c>
      <c r="V66" s="222">
        <v>41</v>
      </c>
      <c r="W66" s="222">
        <v>38.200000000000003</v>
      </c>
      <c r="X66" s="222">
        <v>2498.1999999999998</v>
      </c>
      <c r="Y66" s="124">
        <f t="shared" si="1"/>
        <v>-5.8000000000001819</v>
      </c>
    </row>
    <row r="67" spans="1:25">
      <c r="A67" s="554" t="s">
        <v>246</v>
      </c>
      <c r="B67" s="573" t="s">
        <v>265</v>
      </c>
      <c r="C67" s="574" t="s">
        <v>301</v>
      </c>
      <c r="D67" s="575" t="s">
        <v>43</v>
      </c>
      <c r="E67" s="576" t="s">
        <v>302</v>
      </c>
      <c r="F67" s="577">
        <v>66</v>
      </c>
      <c r="G67" s="559">
        <v>4386</v>
      </c>
      <c r="H67" s="559"/>
      <c r="I67" s="575" t="s">
        <v>94</v>
      </c>
      <c r="J67" s="554"/>
      <c r="K67" s="554"/>
      <c r="L67" s="560">
        <v>382</v>
      </c>
      <c r="M67" s="924">
        <v>90502</v>
      </c>
      <c r="N67" s="557">
        <v>10027</v>
      </c>
      <c r="O67" s="557">
        <v>10040</v>
      </c>
      <c r="P67" s="554"/>
      <c r="Q67" s="554"/>
      <c r="R67" s="554"/>
      <c r="S67" s="561"/>
      <c r="T67" s="561"/>
      <c r="U67" s="562">
        <v>73</v>
      </c>
      <c r="V67" s="562">
        <v>73</v>
      </c>
      <c r="W67" s="562">
        <v>58.3</v>
      </c>
      <c r="X67" s="562">
        <v>4438.3</v>
      </c>
      <c r="Y67" s="563">
        <f t="shared" ref="Y67:Y107" si="3">X67-G67</f>
        <v>52.300000000000182</v>
      </c>
    </row>
    <row r="68" spans="1:25">
      <c r="A68" s="119" t="s">
        <v>246</v>
      </c>
      <c r="B68" s="214" t="s">
        <v>265</v>
      </c>
      <c r="C68" s="215" t="s">
        <v>301</v>
      </c>
      <c r="D68" s="216" t="s">
        <v>42</v>
      </c>
      <c r="E68" s="217" t="s">
        <v>300</v>
      </c>
      <c r="F68" s="220">
        <v>7</v>
      </c>
      <c r="G68" s="209">
        <v>2827</v>
      </c>
      <c r="H68" s="209"/>
      <c r="I68" s="216" t="s">
        <v>94</v>
      </c>
      <c r="J68" s="119"/>
      <c r="K68" s="119"/>
      <c r="L68" s="135">
        <v>405</v>
      </c>
      <c r="M68" s="924">
        <v>90502</v>
      </c>
      <c r="N68" s="211">
        <v>10027</v>
      </c>
      <c r="O68" s="211">
        <v>10030</v>
      </c>
      <c r="P68" s="119"/>
      <c r="Q68" s="119"/>
      <c r="R68" s="119"/>
      <c r="S68" s="202"/>
      <c r="T68" s="202"/>
      <c r="U68" s="222">
        <v>48</v>
      </c>
      <c r="V68" s="222">
        <v>47</v>
      </c>
      <c r="W68" s="222">
        <v>29.8</v>
      </c>
      <c r="X68" s="222">
        <v>2849.8</v>
      </c>
      <c r="Y68" s="124">
        <f t="shared" si="3"/>
        <v>22.800000000000182</v>
      </c>
    </row>
    <row r="69" spans="1:25">
      <c r="A69" s="119" t="s">
        <v>246</v>
      </c>
      <c r="B69" s="214" t="s">
        <v>281</v>
      </c>
      <c r="C69" s="215" t="s">
        <v>298</v>
      </c>
      <c r="D69" s="216" t="s">
        <v>43</v>
      </c>
      <c r="E69" s="217" t="s">
        <v>299</v>
      </c>
      <c r="F69" s="220">
        <v>54</v>
      </c>
      <c r="G69" s="209">
        <v>3594</v>
      </c>
      <c r="H69" s="209"/>
      <c r="I69" s="216" t="s">
        <v>94</v>
      </c>
      <c r="J69" s="119"/>
      <c r="K69" s="119"/>
      <c r="L69" s="210">
        <v>382</v>
      </c>
      <c r="M69" s="924">
        <v>90502</v>
      </c>
      <c r="N69" s="211">
        <v>10027</v>
      </c>
      <c r="O69" s="211">
        <v>10040</v>
      </c>
      <c r="P69" s="119"/>
      <c r="Q69" s="119"/>
      <c r="R69" s="119"/>
      <c r="S69" s="202"/>
      <c r="T69" s="202"/>
      <c r="U69" s="222">
        <v>60</v>
      </c>
      <c r="V69" s="222">
        <v>60</v>
      </c>
      <c r="W69" s="222">
        <v>1</v>
      </c>
      <c r="X69" s="222">
        <v>3601</v>
      </c>
      <c r="Y69" s="124">
        <f t="shared" si="3"/>
        <v>7</v>
      </c>
    </row>
    <row r="70" spans="1:25">
      <c r="A70" s="119" t="s">
        <v>246</v>
      </c>
      <c r="B70" s="214" t="s">
        <v>281</v>
      </c>
      <c r="C70" s="215" t="s">
        <v>298</v>
      </c>
      <c r="D70" s="216" t="s">
        <v>42</v>
      </c>
      <c r="E70" s="217" t="s">
        <v>300</v>
      </c>
      <c r="F70" s="220">
        <v>59</v>
      </c>
      <c r="G70" s="209">
        <v>2875</v>
      </c>
      <c r="H70" s="209"/>
      <c r="I70" s="216" t="s">
        <v>94</v>
      </c>
      <c r="J70" s="119"/>
      <c r="K70" s="119"/>
      <c r="L70" s="135">
        <v>405</v>
      </c>
      <c r="M70" s="924">
        <v>90502</v>
      </c>
      <c r="N70" s="211">
        <v>10027</v>
      </c>
      <c r="O70" s="211">
        <v>10030</v>
      </c>
      <c r="P70" s="119"/>
      <c r="Q70" s="119"/>
      <c r="R70" s="119"/>
      <c r="S70" s="202"/>
      <c r="T70" s="202"/>
      <c r="U70" s="222">
        <v>48</v>
      </c>
      <c r="V70" s="222">
        <v>48</v>
      </c>
      <c r="W70" s="222">
        <v>19.8</v>
      </c>
      <c r="X70" s="222">
        <v>2899.8</v>
      </c>
      <c r="Y70" s="124">
        <f t="shared" si="3"/>
        <v>24.800000000000182</v>
      </c>
    </row>
    <row r="71" spans="1:25">
      <c r="A71" s="119" t="s">
        <v>246</v>
      </c>
      <c r="B71" s="204" t="s">
        <v>273</v>
      </c>
      <c r="C71" s="205" t="s">
        <v>297</v>
      </c>
      <c r="D71" s="206" t="s">
        <v>43</v>
      </c>
      <c r="E71" s="207">
        <v>52</v>
      </c>
      <c r="F71" s="208">
        <v>23</v>
      </c>
      <c r="G71" s="209">
        <f t="shared" si="2"/>
        <v>3143</v>
      </c>
      <c r="H71" s="209"/>
      <c r="I71" s="209" t="s">
        <v>94</v>
      </c>
      <c r="J71" s="119"/>
      <c r="K71" s="119"/>
      <c r="L71" s="210">
        <v>382</v>
      </c>
      <c r="M71" s="924">
        <v>90502</v>
      </c>
      <c r="N71" s="211">
        <v>10027</v>
      </c>
      <c r="O71" s="211">
        <v>10040</v>
      </c>
      <c r="P71" s="119"/>
      <c r="Q71" s="119"/>
      <c r="R71" s="119"/>
      <c r="S71" s="202"/>
      <c r="T71" s="202"/>
      <c r="U71" s="222">
        <v>53</v>
      </c>
      <c r="V71" s="222">
        <v>52</v>
      </c>
      <c r="W71" s="222">
        <v>40.299999999999997</v>
      </c>
      <c r="X71" s="222">
        <v>3160.3</v>
      </c>
      <c r="Y71" s="124">
        <f t="shared" si="3"/>
        <v>17.300000000000182</v>
      </c>
    </row>
    <row r="72" spans="1:25">
      <c r="A72" s="119" t="s">
        <v>246</v>
      </c>
      <c r="B72" s="204" t="s">
        <v>273</v>
      </c>
      <c r="C72" s="205" t="s">
        <v>297</v>
      </c>
      <c r="D72" s="206" t="s">
        <v>42</v>
      </c>
      <c r="E72" s="207">
        <v>48</v>
      </c>
      <c r="F72" s="208">
        <v>27</v>
      </c>
      <c r="G72" s="209">
        <f t="shared" si="2"/>
        <v>2907</v>
      </c>
      <c r="H72" s="209"/>
      <c r="I72" s="209" t="s">
        <v>94</v>
      </c>
      <c r="J72" s="119"/>
      <c r="K72" s="119"/>
      <c r="L72" s="210">
        <v>405</v>
      </c>
      <c r="M72" s="924">
        <v>90502</v>
      </c>
      <c r="N72" s="211">
        <v>10027</v>
      </c>
      <c r="O72" s="211">
        <v>10030</v>
      </c>
      <c r="P72" s="119"/>
      <c r="Q72" s="119"/>
      <c r="R72" s="119"/>
      <c r="S72" s="202"/>
      <c r="T72" s="202"/>
      <c r="U72" s="222">
        <v>49</v>
      </c>
      <c r="V72" s="222">
        <v>48</v>
      </c>
      <c r="W72" s="222">
        <v>36.9</v>
      </c>
      <c r="X72" s="222">
        <v>2916.9</v>
      </c>
      <c r="Y72" s="124">
        <f t="shared" si="3"/>
        <v>9.9000000000000909</v>
      </c>
    </row>
    <row r="73" spans="1:25" s="571" customFormat="1">
      <c r="A73" s="554" t="s">
        <v>246</v>
      </c>
      <c r="B73" s="555" t="s">
        <v>295</v>
      </c>
      <c r="C73" s="556" t="s">
        <v>296</v>
      </c>
      <c r="D73" s="557" t="s">
        <v>42</v>
      </c>
      <c r="E73" s="558">
        <v>64</v>
      </c>
      <c r="F73" s="557">
        <v>49</v>
      </c>
      <c r="G73" s="559">
        <f t="shared" si="2"/>
        <v>3889</v>
      </c>
      <c r="H73" s="559"/>
      <c r="I73" s="557" t="s">
        <v>45</v>
      </c>
      <c r="J73" s="554"/>
      <c r="K73" s="554"/>
      <c r="L73" s="570">
        <v>333.99690000000004</v>
      </c>
      <c r="M73" s="924">
        <v>90468</v>
      </c>
      <c r="N73" s="557">
        <v>10057</v>
      </c>
      <c r="O73" s="557">
        <v>10030</v>
      </c>
      <c r="P73" s="554"/>
      <c r="Q73" s="554"/>
      <c r="R73" s="554"/>
      <c r="S73" s="561"/>
      <c r="T73" s="561"/>
      <c r="U73" s="562">
        <v>65</v>
      </c>
      <c r="V73" s="562">
        <v>64</v>
      </c>
      <c r="W73" s="562">
        <v>32.5</v>
      </c>
      <c r="X73" s="562">
        <v>3872.5</v>
      </c>
      <c r="Y73" s="563">
        <f t="shared" si="3"/>
        <v>-16.5</v>
      </c>
    </row>
    <row r="74" spans="1:25">
      <c r="A74" s="554" t="s">
        <v>246</v>
      </c>
      <c r="B74" s="555" t="s">
        <v>295</v>
      </c>
      <c r="C74" s="556" t="s">
        <v>296</v>
      </c>
      <c r="D74" s="557" t="s">
        <v>43</v>
      </c>
      <c r="E74" s="558">
        <v>63</v>
      </c>
      <c r="F74" s="557">
        <v>49</v>
      </c>
      <c r="G74" s="559">
        <f t="shared" si="2"/>
        <v>3829</v>
      </c>
      <c r="H74" s="559"/>
      <c r="I74" s="557" t="s">
        <v>45</v>
      </c>
      <c r="J74" s="554"/>
      <c r="K74" s="554"/>
      <c r="L74" s="570">
        <v>322.97390000000001</v>
      </c>
      <c r="M74" s="924">
        <v>90468</v>
      </c>
      <c r="N74" s="557">
        <v>10057</v>
      </c>
      <c r="O74" s="557">
        <v>10040</v>
      </c>
      <c r="P74" s="554"/>
      <c r="Q74" s="554"/>
      <c r="R74" s="554"/>
      <c r="S74" s="561"/>
      <c r="T74" s="561"/>
      <c r="U74" s="562">
        <v>64</v>
      </c>
      <c r="V74" s="562">
        <v>63</v>
      </c>
      <c r="W74" s="562">
        <v>53.4</v>
      </c>
      <c r="X74" s="562">
        <v>3833.4</v>
      </c>
      <c r="Y74" s="563">
        <f t="shared" si="3"/>
        <v>4.4000000000000909</v>
      </c>
    </row>
    <row r="75" spans="1:25">
      <c r="A75" s="119" t="s">
        <v>246</v>
      </c>
      <c r="B75" s="204" t="s">
        <v>273</v>
      </c>
      <c r="C75" s="205" t="s">
        <v>294</v>
      </c>
      <c r="D75" s="206" t="s">
        <v>43</v>
      </c>
      <c r="E75" s="207">
        <v>54</v>
      </c>
      <c r="F75" s="208">
        <v>25</v>
      </c>
      <c r="G75" s="209">
        <f t="shared" si="2"/>
        <v>3265</v>
      </c>
      <c r="H75" s="209"/>
      <c r="I75" s="209" t="s">
        <v>94</v>
      </c>
      <c r="J75" s="119"/>
      <c r="K75" s="119"/>
      <c r="L75" s="210">
        <v>300.92790000000002</v>
      </c>
      <c r="M75" s="924">
        <v>90502</v>
      </c>
      <c r="N75" s="211">
        <v>10027</v>
      </c>
      <c r="O75" s="211">
        <v>10040</v>
      </c>
      <c r="P75" s="119"/>
      <c r="Q75" s="119"/>
      <c r="R75" s="119"/>
      <c r="S75" s="202"/>
      <c r="T75" s="202"/>
      <c r="U75" s="222">
        <v>55</v>
      </c>
      <c r="V75" s="222">
        <v>54</v>
      </c>
      <c r="W75" s="222">
        <v>30.5</v>
      </c>
      <c r="X75" s="222">
        <v>3270.5</v>
      </c>
      <c r="Y75" s="124">
        <f t="shared" si="3"/>
        <v>5.5</v>
      </c>
    </row>
    <row r="76" spans="1:25">
      <c r="A76" s="119" t="s">
        <v>246</v>
      </c>
      <c r="B76" s="204" t="s">
        <v>273</v>
      </c>
      <c r="C76" s="205" t="s">
        <v>294</v>
      </c>
      <c r="D76" s="206" t="s">
        <v>42</v>
      </c>
      <c r="E76" s="207">
        <v>51</v>
      </c>
      <c r="F76" s="208">
        <v>16</v>
      </c>
      <c r="G76" s="209">
        <f t="shared" si="2"/>
        <v>3076</v>
      </c>
      <c r="H76" s="209"/>
      <c r="I76" s="209" t="s">
        <v>94</v>
      </c>
      <c r="J76" s="119"/>
      <c r="K76" s="119"/>
      <c r="L76" s="210">
        <v>317</v>
      </c>
      <c r="M76" s="924">
        <v>90502</v>
      </c>
      <c r="N76" s="211">
        <v>10027</v>
      </c>
      <c r="O76" s="211">
        <v>10030</v>
      </c>
      <c r="P76" s="119"/>
      <c r="Q76" s="119"/>
      <c r="R76" s="119"/>
      <c r="S76" s="202"/>
      <c r="T76" s="202"/>
      <c r="U76" s="222">
        <v>52</v>
      </c>
      <c r="V76" s="222">
        <v>51</v>
      </c>
      <c r="W76" s="222">
        <v>18.2</v>
      </c>
      <c r="X76" s="222">
        <v>3078.2</v>
      </c>
      <c r="Y76" s="124">
        <f t="shared" si="3"/>
        <v>2.1999999999998181</v>
      </c>
    </row>
    <row r="77" spans="1:25">
      <c r="A77" s="119" t="s">
        <v>246</v>
      </c>
      <c r="B77" s="204" t="s">
        <v>271</v>
      </c>
      <c r="C77" s="205" t="s">
        <v>293</v>
      </c>
      <c r="D77" s="206" t="s">
        <v>43</v>
      </c>
      <c r="E77" s="207">
        <v>89</v>
      </c>
      <c r="F77" s="208">
        <v>35</v>
      </c>
      <c r="G77" s="209">
        <f t="shared" si="2"/>
        <v>5375</v>
      </c>
      <c r="H77" s="209"/>
      <c r="I77" s="209" t="s">
        <v>94</v>
      </c>
      <c r="J77" s="119"/>
      <c r="K77" s="119"/>
      <c r="L77" s="210">
        <v>382</v>
      </c>
      <c r="M77" s="924">
        <v>90502</v>
      </c>
      <c r="N77" s="211">
        <v>10027</v>
      </c>
      <c r="O77" s="211">
        <v>10040</v>
      </c>
      <c r="P77" s="119"/>
      <c r="Q77" s="119"/>
      <c r="R77" s="119"/>
      <c r="S77" s="202"/>
      <c r="T77" s="202"/>
      <c r="U77" s="222">
        <v>90</v>
      </c>
      <c r="V77" s="222">
        <v>89</v>
      </c>
      <c r="W77" s="222">
        <v>51</v>
      </c>
      <c r="X77" s="222">
        <v>5391</v>
      </c>
      <c r="Y77" s="124">
        <f t="shared" si="3"/>
        <v>16</v>
      </c>
    </row>
    <row r="78" spans="1:25">
      <c r="A78" s="119" t="s">
        <v>246</v>
      </c>
      <c r="B78" s="204" t="s">
        <v>271</v>
      </c>
      <c r="C78" s="205" t="s">
        <v>293</v>
      </c>
      <c r="D78" s="206" t="s">
        <v>42</v>
      </c>
      <c r="E78" s="207">
        <v>76</v>
      </c>
      <c r="F78" s="208">
        <v>51</v>
      </c>
      <c r="G78" s="209">
        <f t="shared" si="2"/>
        <v>4611</v>
      </c>
      <c r="H78" s="209"/>
      <c r="I78" s="209" t="s">
        <v>94</v>
      </c>
      <c r="J78" s="119"/>
      <c r="K78" s="119"/>
      <c r="L78" s="210">
        <v>405</v>
      </c>
      <c r="M78" s="924">
        <v>90502</v>
      </c>
      <c r="N78" s="211">
        <v>10027</v>
      </c>
      <c r="O78" s="211">
        <v>10030</v>
      </c>
      <c r="P78" s="119"/>
      <c r="Q78" s="119"/>
      <c r="R78" s="119"/>
      <c r="S78" s="202"/>
      <c r="T78" s="202"/>
      <c r="U78" s="222">
        <v>77</v>
      </c>
      <c r="V78" s="222">
        <v>77</v>
      </c>
      <c r="W78" s="222">
        <v>6.7</v>
      </c>
      <c r="X78" s="222">
        <v>4626.7</v>
      </c>
      <c r="Y78" s="124">
        <f t="shared" si="3"/>
        <v>15.699999999999818</v>
      </c>
    </row>
    <row r="79" spans="1:25">
      <c r="A79" s="119" t="s">
        <v>246</v>
      </c>
      <c r="B79" s="204" t="s">
        <v>265</v>
      </c>
      <c r="C79" s="205" t="s">
        <v>231</v>
      </c>
      <c r="D79" s="206" t="s">
        <v>43</v>
      </c>
      <c r="E79" s="207">
        <v>73</v>
      </c>
      <c r="F79" s="208">
        <v>55</v>
      </c>
      <c r="G79" s="209">
        <f t="shared" si="2"/>
        <v>4435</v>
      </c>
      <c r="H79" s="209"/>
      <c r="I79" s="209" t="s">
        <v>94</v>
      </c>
      <c r="J79" s="119"/>
      <c r="K79" s="119"/>
      <c r="L79" s="210">
        <v>382</v>
      </c>
      <c r="M79" s="924">
        <v>90502</v>
      </c>
      <c r="N79" s="211">
        <v>10027</v>
      </c>
      <c r="O79" s="211">
        <v>10040</v>
      </c>
      <c r="P79" s="119"/>
      <c r="Q79" s="119"/>
      <c r="R79" s="119"/>
      <c r="S79" s="202"/>
      <c r="T79" s="202"/>
      <c r="U79" s="222">
        <v>74</v>
      </c>
      <c r="V79" s="222">
        <v>74</v>
      </c>
      <c r="W79" s="222">
        <v>23.4</v>
      </c>
      <c r="X79" s="222">
        <v>4463.3999999999996</v>
      </c>
      <c r="Y79" s="124">
        <f t="shared" si="3"/>
        <v>28.399999999999636</v>
      </c>
    </row>
    <row r="80" spans="1:25">
      <c r="A80" s="119" t="s">
        <v>246</v>
      </c>
      <c r="B80" s="204" t="s">
        <v>265</v>
      </c>
      <c r="C80" s="205" t="s">
        <v>231</v>
      </c>
      <c r="D80" s="206" t="s">
        <v>42</v>
      </c>
      <c r="E80" s="207">
        <v>51</v>
      </c>
      <c r="F80" s="208">
        <v>41</v>
      </c>
      <c r="G80" s="209">
        <f t="shared" si="2"/>
        <v>3101</v>
      </c>
      <c r="H80" s="209"/>
      <c r="I80" s="209" t="s">
        <v>94</v>
      </c>
      <c r="J80" s="119"/>
      <c r="K80" s="119"/>
      <c r="L80" s="210">
        <v>405</v>
      </c>
      <c r="M80" s="924">
        <v>90502</v>
      </c>
      <c r="N80" s="211">
        <v>10027</v>
      </c>
      <c r="O80" s="211">
        <v>10030</v>
      </c>
      <c r="P80" s="119"/>
      <c r="Q80" s="119"/>
      <c r="R80" s="119"/>
      <c r="S80" s="202"/>
      <c r="T80" s="202"/>
      <c r="U80" s="222">
        <v>52</v>
      </c>
      <c r="V80" s="222">
        <v>52</v>
      </c>
      <c r="W80" s="222">
        <v>0.2</v>
      </c>
      <c r="X80" s="222">
        <v>3120.2</v>
      </c>
      <c r="Y80" s="124">
        <f t="shared" si="3"/>
        <v>19.199999999999818</v>
      </c>
    </row>
    <row r="81" spans="1:25">
      <c r="A81" s="119" t="s">
        <v>246</v>
      </c>
      <c r="B81" s="204" t="s">
        <v>262</v>
      </c>
      <c r="C81" s="205" t="s">
        <v>292</v>
      </c>
      <c r="D81" s="206" t="s">
        <v>43</v>
      </c>
      <c r="E81" s="207">
        <v>45</v>
      </c>
      <c r="F81" s="208">
        <v>31</v>
      </c>
      <c r="G81" s="209">
        <f t="shared" si="2"/>
        <v>2731</v>
      </c>
      <c r="H81" s="209"/>
      <c r="I81" s="209" t="s">
        <v>56</v>
      </c>
      <c r="J81" s="119"/>
      <c r="K81" s="119"/>
      <c r="L81" s="210">
        <v>306.43940000000003</v>
      </c>
      <c r="M81" s="924">
        <v>90468</v>
      </c>
      <c r="N81" s="211">
        <v>10057</v>
      </c>
      <c r="O81" s="211">
        <v>10100</v>
      </c>
      <c r="P81" s="119"/>
      <c r="Q81" s="119"/>
      <c r="R81" s="119"/>
      <c r="S81" s="202"/>
      <c r="T81" s="202"/>
      <c r="U81" s="222">
        <v>46</v>
      </c>
      <c r="V81" s="222">
        <v>45</v>
      </c>
      <c r="W81" s="222">
        <v>28.6</v>
      </c>
      <c r="X81" s="222">
        <v>2728.6</v>
      </c>
      <c r="Y81" s="124">
        <f t="shared" si="3"/>
        <v>-2.4000000000000909</v>
      </c>
    </row>
    <row r="82" spans="1:25">
      <c r="A82" s="119" t="s">
        <v>246</v>
      </c>
      <c r="B82" s="204" t="s">
        <v>262</v>
      </c>
      <c r="C82" s="205" t="s">
        <v>292</v>
      </c>
      <c r="D82" s="206" t="s">
        <v>42</v>
      </c>
      <c r="E82" s="207">
        <v>57</v>
      </c>
      <c r="F82" s="208">
        <v>39</v>
      </c>
      <c r="G82" s="209">
        <f t="shared" si="2"/>
        <v>3459</v>
      </c>
      <c r="H82" s="209"/>
      <c r="I82" s="209" t="s">
        <v>56</v>
      </c>
      <c r="J82" s="119"/>
      <c r="K82" s="119"/>
      <c r="L82" s="210">
        <v>317.4624</v>
      </c>
      <c r="M82" s="924">
        <v>90468</v>
      </c>
      <c r="N82" s="211">
        <v>10057</v>
      </c>
      <c r="O82" s="211">
        <v>10090</v>
      </c>
      <c r="P82" s="119"/>
      <c r="Q82" s="119"/>
      <c r="R82" s="119"/>
      <c r="S82" s="202"/>
      <c r="T82" s="202"/>
      <c r="U82" s="222">
        <v>58</v>
      </c>
      <c r="V82" s="222">
        <v>57</v>
      </c>
      <c r="W82" s="222">
        <v>10.8</v>
      </c>
      <c r="X82" s="222">
        <v>3430.8</v>
      </c>
      <c r="Y82" s="124">
        <f t="shared" si="3"/>
        <v>-28.199999999999818</v>
      </c>
    </row>
    <row r="83" spans="1:25">
      <c r="A83" s="119" t="s">
        <v>246</v>
      </c>
      <c r="B83" s="204" t="s">
        <v>279</v>
      </c>
      <c r="C83" s="205" t="s">
        <v>291</v>
      </c>
      <c r="D83" s="206" t="s">
        <v>43</v>
      </c>
      <c r="E83" s="207">
        <v>59</v>
      </c>
      <c r="F83" s="208">
        <v>12</v>
      </c>
      <c r="G83" s="209">
        <f t="shared" si="2"/>
        <v>3552</v>
      </c>
      <c r="H83" s="209"/>
      <c r="I83" s="216" t="s">
        <v>94</v>
      </c>
      <c r="J83" s="119"/>
      <c r="K83" s="119"/>
      <c r="L83" s="210">
        <v>382</v>
      </c>
      <c r="M83" s="924">
        <v>90502</v>
      </c>
      <c r="N83" s="211">
        <v>10027</v>
      </c>
      <c r="O83" s="211">
        <v>10040</v>
      </c>
      <c r="P83" s="119"/>
      <c r="Q83" s="119"/>
      <c r="R83" s="119"/>
      <c r="S83" s="202"/>
      <c r="T83" s="202"/>
      <c r="U83" s="222">
        <v>60</v>
      </c>
      <c r="V83" s="222">
        <v>59</v>
      </c>
      <c r="W83" s="222">
        <v>20</v>
      </c>
      <c r="X83" s="222">
        <v>3560</v>
      </c>
      <c r="Y83" s="124">
        <f t="shared" si="3"/>
        <v>8</v>
      </c>
    </row>
    <row r="84" spans="1:25">
      <c r="A84" s="119" t="s">
        <v>246</v>
      </c>
      <c r="B84" s="204" t="s">
        <v>279</v>
      </c>
      <c r="C84" s="205" t="s">
        <v>291</v>
      </c>
      <c r="D84" s="206" t="s">
        <v>42</v>
      </c>
      <c r="E84" s="207">
        <v>46</v>
      </c>
      <c r="F84" s="208">
        <v>45</v>
      </c>
      <c r="G84" s="209">
        <f t="shared" si="2"/>
        <v>2805</v>
      </c>
      <c r="H84" s="209"/>
      <c r="I84" s="216" t="s">
        <v>94</v>
      </c>
      <c r="J84" s="119"/>
      <c r="K84" s="119"/>
      <c r="L84" s="210">
        <v>405</v>
      </c>
      <c r="M84" s="924">
        <v>90502</v>
      </c>
      <c r="N84" s="211">
        <v>10027</v>
      </c>
      <c r="O84" s="211">
        <v>10030</v>
      </c>
      <c r="P84" s="119"/>
      <c r="Q84" s="119"/>
      <c r="R84" s="119"/>
      <c r="S84" s="202"/>
      <c r="T84" s="202"/>
      <c r="U84" s="222">
        <v>47</v>
      </c>
      <c r="V84" s="222">
        <v>46</v>
      </c>
      <c r="W84" s="222">
        <v>52.7</v>
      </c>
      <c r="X84" s="222">
        <v>2812.7</v>
      </c>
      <c r="Y84" s="124">
        <f t="shared" si="3"/>
        <v>7.6999999999998181</v>
      </c>
    </row>
    <row r="85" spans="1:25">
      <c r="A85" s="119" t="s">
        <v>246</v>
      </c>
      <c r="B85" s="204" t="s">
        <v>281</v>
      </c>
      <c r="C85" s="205" t="s">
        <v>290</v>
      </c>
      <c r="D85" s="206" t="s">
        <v>43</v>
      </c>
      <c r="E85" s="207">
        <v>58</v>
      </c>
      <c r="F85" s="208">
        <v>21</v>
      </c>
      <c r="G85" s="209">
        <f t="shared" si="2"/>
        <v>3501</v>
      </c>
      <c r="H85" s="209"/>
      <c r="I85" s="216" t="s">
        <v>94</v>
      </c>
      <c r="J85" s="119"/>
      <c r="K85" s="119"/>
      <c r="L85" s="210">
        <v>382</v>
      </c>
      <c r="M85" s="924">
        <v>90502</v>
      </c>
      <c r="N85" s="211">
        <v>10027</v>
      </c>
      <c r="O85" s="211">
        <v>10040</v>
      </c>
      <c r="P85" s="119"/>
      <c r="Q85" s="119"/>
      <c r="R85" s="119"/>
      <c r="S85" s="202"/>
      <c r="T85" s="202"/>
      <c r="U85" s="222">
        <v>59</v>
      </c>
      <c r="V85" s="222">
        <v>58</v>
      </c>
      <c r="W85" s="222">
        <v>24.9</v>
      </c>
      <c r="X85" s="222">
        <v>3504.9</v>
      </c>
      <c r="Y85" s="124">
        <f t="shared" si="3"/>
        <v>3.9000000000000909</v>
      </c>
    </row>
    <row r="86" spans="1:25">
      <c r="A86" s="119" t="s">
        <v>246</v>
      </c>
      <c r="B86" s="204" t="s">
        <v>281</v>
      </c>
      <c r="C86" s="205" t="s">
        <v>290</v>
      </c>
      <c r="D86" s="206" t="s">
        <v>42</v>
      </c>
      <c r="E86" s="207">
        <v>52</v>
      </c>
      <c r="F86" s="208">
        <v>66</v>
      </c>
      <c r="G86" s="209">
        <f t="shared" si="2"/>
        <v>3186</v>
      </c>
      <c r="H86" s="209"/>
      <c r="I86" s="216" t="s">
        <v>94</v>
      </c>
      <c r="J86" s="119"/>
      <c r="K86" s="119"/>
      <c r="L86" s="210">
        <v>405</v>
      </c>
      <c r="M86" s="924">
        <v>90502</v>
      </c>
      <c r="N86" s="211">
        <v>10027</v>
      </c>
      <c r="O86" s="211">
        <v>10030</v>
      </c>
      <c r="P86" s="119"/>
      <c r="Q86" s="119"/>
      <c r="R86" s="119"/>
      <c r="S86" s="202"/>
      <c r="T86" s="202"/>
      <c r="U86" s="222">
        <v>53</v>
      </c>
      <c r="V86" s="222">
        <v>53</v>
      </c>
      <c r="W86" s="222">
        <v>11.3</v>
      </c>
      <c r="X86" s="222">
        <v>3191.3</v>
      </c>
      <c r="Y86" s="124">
        <f t="shared" si="3"/>
        <v>5.3000000000001819</v>
      </c>
    </row>
    <row r="87" spans="1:25">
      <c r="A87" s="119" t="s">
        <v>246</v>
      </c>
      <c r="B87" s="204" t="s">
        <v>288</v>
      </c>
      <c r="C87" s="205" t="s">
        <v>289</v>
      </c>
      <c r="D87" s="206" t="s">
        <v>43</v>
      </c>
      <c r="E87" s="207">
        <v>61</v>
      </c>
      <c r="F87" s="208">
        <v>47</v>
      </c>
      <c r="G87" s="209">
        <f t="shared" si="2"/>
        <v>3707</v>
      </c>
      <c r="H87" s="209"/>
      <c r="I87" s="216" t="s">
        <v>94</v>
      </c>
      <c r="J87" s="119"/>
      <c r="K87" s="119"/>
      <c r="L87" s="210">
        <v>382</v>
      </c>
      <c r="M87" s="924">
        <v>90502</v>
      </c>
      <c r="N87" s="211">
        <v>10027</v>
      </c>
      <c r="O87" s="211">
        <v>10040</v>
      </c>
      <c r="P87" s="119"/>
      <c r="Q87" s="119"/>
      <c r="R87" s="119"/>
      <c r="S87" s="202"/>
      <c r="T87" s="202"/>
      <c r="U87" s="222">
        <v>62</v>
      </c>
      <c r="V87" s="222">
        <v>61</v>
      </c>
      <c r="W87" s="222">
        <v>57.2</v>
      </c>
      <c r="X87" s="222">
        <v>3717.2</v>
      </c>
      <c r="Y87" s="124">
        <f t="shared" si="3"/>
        <v>10.199999999999818</v>
      </c>
    </row>
    <row r="88" spans="1:25">
      <c r="A88" s="119" t="s">
        <v>246</v>
      </c>
      <c r="B88" s="204" t="s">
        <v>288</v>
      </c>
      <c r="C88" s="205" t="s">
        <v>289</v>
      </c>
      <c r="D88" s="206" t="s">
        <v>42</v>
      </c>
      <c r="E88" s="207">
        <v>60</v>
      </c>
      <c r="F88" s="208">
        <v>44</v>
      </c>
      <c r="G88" s="209">
        <f t="shared" si="2"/>
        <v>3644</v>
      </c>
      <c r="H88" s="209"/>
      <c r="I88" s="216" t="s">
        <v>94</v>
      </c>
      <c r="J88" s="119"/>
      <c r="K88" s="119"/>
      <c r="L88" s="210">
        <v>405</v>
      </c>
      <c r="M88" s="924">
        <v>90502</v>
      </c>
      <c r="N88" s="211">
        <v>10027</v>
      </c>
      <c r="O88" s="211">
        <v>10030</v>
      </c>
      <c r="P88" s="119"/>
      <c r="Q88" s="119"/>
      <c r="R88" s="119"/>
      <c r="S88" s="202"/>
      <c r="T88" s="202"/>
      <c r="U88" s="222">
        <v>61</v>
      </c>
      <c r="V88" s="222">
        <v>60</v>
      </c>
      <c r="W88" s="222">
        <v>58.1</v>
      </c>
      <c r="X88" s="222">
        <v>3658.1</v>
      </c>
      <c r="Y88" s="124">
        <f t="shared" si="3"/>
        <v>14.099999999999909</v>
      </c>
    </row>
    <row r="89" spans="1:25">
      <c r="A89" s="119" t="s">
        <v>246</v>
      </c>
      <c r="B89" s="204" t="s">
        <v>265</v>
      </c>
      <c r="C89" s="205" t="s">
        <v>287</v>
      </c>
      <c r="D89" s="206" t="s">
        <v>43</v>
      </c>
      <c r="E89" s="207">
        <v>120</v>
      </c>
      <c r="F89" s="208">
        <v>14</v>
      </c>
      <c r="G89" s="209">
        <f t="shared" si="2"/>
        <v>7214</v>
      </c>
      <c r="H89" s="209"/>
      <c r="I89" s="216" t="s">
        <v>94</v>
      </c>
      <c r="J89" s="119"/>
      <c r="K89" s="119"/>
      <c r="L89" s="210">
        <v>382</v>
      </c>
      <c r="M89" s="924">
        <v>90502</v>
      </c>
      <c r="N89" s="211">
        <v>10027</v>
      </c>
      <c r="O89" s="211">
        <v>10040</v>
      </c>
      <c r="P89" s="119"/>
      <c r="Q89" s="119"/>
      <c r="R89" s="119"/>
      <c r="S89" s="202"/>
      <c r="T89" s="202"/>
      <c r="U89" s="222">
        <v>121</v>
      </c>
      <c r="V89" s="222">
        <v>120</v>
      </c>
      <c r="W89" s="222">
        <v>57.1</v>
      </c>
      <c r="X89" s="222">
        <v>7257.1</v>
      </c>
      <c r="Y89" s="124">
        <f t="shared" si="3"/>
        <v>43.100000000000364</v>
      </c>
    </row>
    <row r="90" spans="1:25">
      <c r="A90" s="119" t="s">
        <v>246</v>
      </c>
      <c r="B90" s="204" t="s">
        <v>265</v>
      </c>
      <c r="C90" s="205" t="s">
        <v>287</v>
      </c>
      <c r="D90" s="206" t="s">
        <v>42</v>
      </c>
      <c r="E90" s="207">
        <v>68</v>
      </c>
      <c r="F90" s="208">
        <v>62</v>
      </c>
      <c r="G90" s="209">
        <f t="shared" si="2"/>
        <v>4142</v>
      </c>
      <c r="H90" s="209"/>
      <c r="I90" s="216" t="s">
        <v>94</v>
      </c>
      <c r="J90" s="119"/>
      <c r="K90" s="119"/>
      <c r="L90" s="210">
        <v>405</v>
      </c>
      <c r="M90" s="924">
        <v>90502</v>
      </c>
      <c r="N90" s="211">
        <v>10027</v>
      </c>
      <c r="O90" s="211">
        <v>10030</v>
      </c>
      <c r="P90" s="119"/>
      <c r="Q90" s="119"/>
      <c r="R90" s="119"/>
      <c r="S90" s="202"/>
      <c r="T90" s="202"/>
      <c r="U90" s="222">
        <v>69</v>
      </c>
      <c r="V90" s="222">
        <v>69</v>
      </c>
      <c r="W90" s="222">
        <v>22.9</v>
      </c>
      <c r="X90" s="222">
        <v>4162.8999999999996</v>
      </c>
      <c r="Y90" s="124">
        <f t="shared" si="3"/>
        <v>20.899999999999636</v>
      </c>
    </row>
    <row r="91" spans="1:25">
      <c r="A91" s="119" t="s">
        <v>246</v>
      </c>
      <c r="B91" s="214" t="s">
        <v>279</v>
      </c>
      <c r="C91" s="215" t="s">
        <v>282</v>
      </c>
      <c r="D91" s="216" t="s">
        <v>43</v>
      </c>
      <c r="E91" s="217" t="s">
        <v>283</v>
      </c>
      <c r="F91" s="216" t="s">
        <v>284</v>
      </c>
      <c r="G91" s="209">
        <v>2631</v>
      </c>
      <c r="H91" s="209"/>
      <c r="I91" s="216" t="s">
        <v>94</v>
      </c>
      <c r="J91" s="119"/>
      <c r="K91" s="119"/>
      <c r="L91" s="210">
        <v>382</v>
      </c>
      <c r="M91" s="924">
        <v>90502</v>
      </c>
      <c r="N91" s="211">
        <v>10027</v>
      </c>
      <c r="O91" s="211">
        <v>10040</v>
      </c>
      <c r="P91" s="119"/>
      <c r="Q91" s="119"/>
      <c r="R91" s="119"/>
      <c r="S91" s="202"/>
      <c r="T91" s="202"/>
      <c r="U91" s="222">
        <v>44</v>
      </c>
      <c r="V91" s="222">
        <v>43</v>
      </c>
      <c r="W91" s="222">
        <v>58.4</v>
      </c>
      <c r="X91" s="222">
        <v>2638.4</v>
      </c>
      <c r="Y91" s="124">
        <f t="shared" si="3"/>
        <v>7.4000000000000909</v>
      </c>
    </row>
    <row r="92" spans="1:25">
      <c r="A92" s="119" t="s">
        <v>246</v>
      </c>
      <c r="B92" s="214" t="s">
        <v>279</v>
      </c>
      <c r="C92" s="215" t="s">
        <v>282</v>
      </c>
      <c r="D92" s="216" t="s">
        <v>42</v>
      </c>
      <c r="E92" s="217" t="s">
        <v>285</v>
      </c>
      <c r="F92" s="216" t="s">
        <v>286</v>
      </c>
      <c r="G92" s="209">
        <v>3049</v>
      </c>
      <c r="H92" s="209"/>
      <c r="I92" s="216" t="s">
        <v>94</v>
      </c>
      <c r="J92" s="119"/>
      <c r="K92" s="119"/>
      <c r="L92" s="135">
        <v>405</v>
      </c>
      <c r="M92" s="924">
        <v>90502</v>
      </c>
      <c r="N92" s="211">
        <v>10027</v>
      </c>
      <c r="O92" s="211">
        <v>10030</v>
      </c>
      <c r="P92" s="119"/>
      <c r="Q92" s="119"/>
      <c r="R92" s="119"/>
      <c r="S92" s="202"/>
      <c r="T92" s="202"/>
      <c r="U92" s="222">
        <v>51</v>
      </c>
      <c r="V92" s="222">
        <v>50</v>
      </c>
      <c r="W92" s="222">
        <v>35.1</v>
      </c>
      <c r="X92" s="222">
        <v>3035.1</v>
      </c>
      <c r="Y92" s="124">
        <f t="shared" si="3"/>
        <v>-13.900000000000091</v>
      </c>
    </row>
    <row r="93" spans="1:25">
      <c r="A93" s="554" t="s">
        <v>246</v>
      </c>
      <c r="B93" s="565" t="s">
        <v>281</v>
      </c>
      <c r="C93" s="566" t="s">
        <v>210</v>
      </c>
      <c r="D93" s="567" t="s">
        <v>42</v>
      </c>
      <c r="E93" s="568">
        <v>93</v>
      </c>
      <c r="F93" s="569">
        <v>14</v>
      </c>
      <c r="G93" s="559">
        <f t="shared" si="2"/>
        <v>5594</v>
      </c>
      <c r="H93" s="559"/>
      <c r="I93" s="559" t="s">
        <v>89</v>
      </c>
      <c r="J93" s="554"/>
      <c r="K93" s="554"/>
      <c r="L93" s="560">
        <v>405</v>
      </c>
      <c r="M93" s="924">
        <v>90502</v>
      </c>
      <c r="N93" s="557">
        <v>10027</v>
      </c>
      <c r="O93" s="557">
        <v>10030</v>
      </c>
      <c r="P93" s="554"/>
      <c r="Q93" s="554"/>
      <c r="R93" s="554"/>
      <c r="S93" s="561"/>
      <c r="T93" s="561"/>
      <c r="U93" s="562">
        <v>94</v>
      </c>
      <c r="V93" s="562">
        <v>93</v>
      </c>
      <c r="W93" s="562">
        <v>36.4</v>
      </c>
      <c r="X93" s="562">
        <v>5616.4</v>
      </c>
      <c r="Y93" s="563">
        <f t="shared" si="3"/>
        <v>22.399999999999636</v>
      </c>
    </row>
    <row r="94" spans="1:25">
      <c r="A94" s="119" t="s">
        <v>246</v>
      </c>
      <c r="B94" s="204" t="s">
        <v>279</v>
      </c>
      <c r="C94" s="205" t="s">
        <v>280</v>
      </c>
      <c r="D94" s="206" t="s">
        <v>43</v>
      </c>
      <c r="E94" s="207">
        <v>43</v>
      </c>
      <c r="F94" s="208">
        <v>33</v>
      </c>
      <c r="G94" s="209">
        <f t="shared" si="2"/>
        <v>2613</v>
      </c>
      <c r="H94" s="209"/>
      <c r="I94" s="209" t="s">
        <v>56</v>
      </c>
      <c r="J94" s="119"/>
      <c r="K94" s="119"/>
      <c r="L94" s="210">
        <v>306.43940000000003</v>
      </c>
      <c r="M94" s="924">
        <v>90468</v>
      </c>
      <c r="N94" s="211">
        <v>10057</v>
      </c>
      <c r="O94" s="211">
        <v>10100</v>
      </c>
      <c r="P94" s="119"/>
      <c r="Q94" s="119"/>
      <c r="R94" s="119"/>
      <c r="S94" s="202"/>
      <c r="T94" s="202"/>
      <c r="U94" s="222">
        <v>44</v>
      </c>
      <c r="V94" s="222">
        <v>43</v>
      </c>
      <c r="W94" s="222">
        <v>23.4</v>
      </c>
      <c r="X94" s="222">
        <v>2603.4</v>
      </c>
      <c r="Y94" s="124">
        <f t="shared" si="3"/>
        <v>-9.5999999999999091</v>
      </c>
    </row>
    <row r="95" spans="1:25">
      <c r="A95" s="119" t="s">
        <v>246</v>
      </c>
      <c r="B95" s="204" t="s">
        <v>279</v>
      </c>
      <c r="C95" s="205" t="s">
        <v>280</v>
      </c>
      <c r="D95" s="206" t="s">
        <v>42</v>
      </c>
      <c r="E95" s="207">
        <v>51</v>
      </c>
      <c r="F95" s="208">
        <v>11</v>
      </c>
      <c r="G95" s="209">
        <f t="shared" si="2"/>
        <v>3071</v>
      </c>
      <c r="H95" s="209"/>
      <c r="I95" s="209" t="s">
        <v>56</v>
      </c>
      <c r="J95" s="119"/>
      <c r="K95" s="119"/>
      <c r="L95" s="210">
        <v>317.4624</v>
      </c>
      <c r="M95" s="924">
        <v>90468</v>
      </c>
      <c r="N95" s="211">
        <v>10057</v>
      </c>
      <c r="O95" s="211">
        <v>10090</v>
      </c>
      <c r="P95" s="119"/>
      <c r="Q95" s="119"/>
      <c r="R95" s="119"/>
      <c r="S95" s="202"/>
      <c r="T95" s="202"/>
      <c r="U95" s="222">
        <v>52</v>
      </c>
      <c r="V95" s="222">
        <v>51</v>
      </c>
      <c r="W95" s="222">
        <v>2.2000000000000002</v>
      </c>
      <c r="X95" s="222">
        <v>3062.2</v>
      </c>
      <c r="Y95" s="124">
        <f t="shared" si="3"/>
        <v>-8.8000000000001819</v>
      </c>
    </row>
    <row r="96" spans="1:25">
      <c r="A96" s="119" t="s">
        <v>246</v>
      </c>
      <c r="B96" s="214" t="s">
        <v>273</v>
      </c>
      <c r="C96" s="215" t="s">
        <v>274</v>
      </c>
      <c r="D96" s="216" t="s">
        <v>43</v>
      </c>
      <c r="E96" s="217" t="s">
        <v>275</v>
      </c>
      <c r="F96" s="216" t="s">
        <v>276</v>
      </c>
      <c r="G96" s="209">
        <v>1475</v>
      </c>
      <c r="H96" s="209"/>
      <c r="I96" s="216" t="s">
        <v>94</v>
      </c>
      <c r="J96" s="119"/>
      <c r="K96" s="119"/>
      <c r="L96" s="210">
        <v>382</v>
      </c>
      <c r="M96" s="924">
        <v>90502</v>
      </c>
      <c r="N96" s="211">
        <v>10027</v>
      </c>
      <c r="O96" s="211">
        <v>10040</v>
      </c>
      <c r="P96" s="119"/>
      <c r="Q96" s="119"/>
      <c r="R96" s="119"/>
      <c r="S96" s="202"/>
      <c r="T96" s="202"/>
      <c r="U96" s="222">
        <v>25</v>
      </c>
      <c r="V96" s="222">
        <v>24</v>
      </c>
      <c r="W96" s="222">
        <v>33.5</v>
      </c>
      <c r="X96" s="222">
        <v>1473.5</v>
      </c>
      <c r="Y96" s="124">
        <f t="shared" si="3"/>
        <v>-1.5</v>
      </c>
    </row>
    <row r="97" spans="1:25">
      <c r="A97" s="119" t="s">
        <v>246</v>
      </c>
      <c r="B97" s="214" t="s">
        <v>273</v>
      </c>
      <c r="C97" s="215" t="s">
        <v>274</v>
      </c>
      <c r="D97" s="216" t="s">
        <v>42</v>
      </c>
      <c r="E97" s="217" t="s">
        <v>277</v>
      </c>
      <c r="F97" s="216" t="s">
        <v>278</v>
      </c>
      <c r="G97" s="209">
        <v>1384</v>
      </c>
      <c r="H97" s="209"/>
      <c r="I97" s="216" t="s">
        <v>94</v>
      </c>
      <c r="J97" s="119"/>
      <c r="K97" s="119"/>
      <c r="L97" s="135">
        <v>405</v>
      </c>
      <c r="M97" s="924">
        <v>90502</v>
      </c>
      <c r="N97" s="211">
        <v>10027</v>
      </c>
      <c r="O97" s="211">
        <v>10030</v>
      </c>
      <c r="P97" s="119"/>
      <c r="Q97" s="119"/>
      <c r="R97" s="119"/>
      <c r="S97" s="202"/>
      <c r="T97" s="202"/>
      <c r="U97" s="222">
        <v>23</v>
      </c>
      <c r="V97" s="222">
        <v>23</v>
      </c>
      <c r="W97" s="222">
        <v>1.3</v>
      </c>
      <c r="X97" s="222">
        <v>1381.3</v>
      </c>
      <c r="Y97" s="124">
        <f t="shared" si="3"/>
        <v>-2.7000000000000455</v>
      </c>
    </row>
    <row r="98" spans="1:25">
      <c r="A98" s="119" t="s">
        <v>246</v>
      </c>
      <c r="B98" s="204" t="s">
        <v>271</v>
      </c>
      <c r="C98" s="205" t="s">
        <v>272</v>
      </c>
      <c r="D98" s="206" t="s">
        <v>43</v>
      </c>
      <c r="E98" s="207">
        <v>68</v>
      </c>
      <c r="F98" s="208">
        <v>19</v>
      </c>
      <c r="G98" s="209">
        <f t="shared" si="2"/>
        <v>4099</v>
      </c>
      <c r="H98" s="209"/>
      <c r="I98" s="209" t="s">
        <v>54</v>
      </c>
      <c r="J98" s="119"/>
      <c r="K98" s="119"/>
      <c r="L98" s="210">
        <v>322.97390000000001</v>
      </c>
      <c r="M98" s="924">
        <v>90468</v>
      </c>
      <c r="N98" s="211">
        <v>10057</v>
      </c>
      <c r="O98" s="211">
        <v>10070</v>
      </c>
      <c r="P98" s="119"/>
      <c r="Q98" s="119"/>
      <c r="R98" s="119"/>
      <c r="S98" s="202"/>
      <c r="T98" s="202"/>
      <c r="U98" s="222">
        <v>69</v>
      </c>
      <c r="V98" s="222">
        <v>68</v>
      </c>
      <c r="W98" s="222">
        <v>44.9</v>
      </c>
      <c r="X98" s="222">
        <v>4124.8999999999996</v>
      </c>
      <c r="Y98" s="124">
        <f t="shared" si="3"/>
        <v>25.899999999999636</v>
      </c>
    </row>
    <row r="99" spans="1:25">
      <c r="A99" s="119" t="s">
        <v>246</v>
      </c>
      <c r="B99" s="204" t="s">
        <v>271</v>
      </c>
      <c r="C99" s="205" t="s">
        <v>272</v>
      </c>
      <c r="D99" s="206" t="s">
        <v>42</v>
      </c>
      <c r="E99" s="207">
        <v>59</v>
      </c>
      <c r="F99" s="208">
        <v>43</v>
      </c>
      <c r="G99" s="209">
        <f t="shared" si="2"/>
        <v>3583</v>
      </c>
      <c r="H99" s="209"/>
      <c r="I99" s="209" t="s">
        <v>54</v>
      </c>
      <c r="J99" s="119"/>
      <c r="K99" s="119"/>
      <c r="L99" s="210">
        <v>333.99690000000004</v>
      </c>
      <c r="M99" s="924">
        <v>90468</v>
      </c>
      <c r="N99" s="211">
        <v>10057</v>
      </c>
      <c r="O99" s="211">
        <v>10060</v>
      </c>
      <c r="P99" s="119"/>
      <c r="Q99" s="119"/>
      <c r="R99" s="119"/>
      <c r="S99" s="202"/>
      <c r="T99" s="202"/>
      <c r="U99" s="222">
        <v>60</v>
      </c>
      <c r="V99" s="222">
        <v>60</v>
      </c>
      <c r="W99" s="222">
        <v>0</v>
      </c>
      <c r="X99" s="222">
        <v>3600</v>
      </c>
      <c r="Y99" s="124">
        <f t="shared" si="3"/>
        <v>17</v>
      </c>
    </row>
    <row r="100" spans="1:25">
      <c r="A100" s="119" t="s">
        <v>246</v>
      </c>
      <c r="B100" s="214" t="s">
        <v>265</v>
      </c>
      <c r="C100" s="215" t="s">
        <v>266</v>
      </c>
      <c r="D100" s="216" t="s">
        <v>43</v>
      </c>
      <c r="E100" s="217" t="s">
        <v>267</v>
      </c>
      <c r="F100" s="216" t="s">
        <v>268</v>
      </c>
      <c r="G100" s="209">
        <v>8532</v>
      </c>
      <c r="H100" s="209"/>
      <c r="I100" s="216" t="s">
        <v>94</v>
      </c>
      <c r="J100" s="119"/>
      <c r="K100" s="119"/>
      <c r="L100" s="210">
        <v>382</v>
      </c>
      <c r="M100" s="924">
        <v>90502</v>
      </c>
      <c r="N100" s="211">
        <v>10027</v>
      </c>
      <c r="O100" s="211">
        <v>10040</v>
      </c>
      <c r="P100" s="119"/>
      <c r="Q100" s="119"/>
      <c r="R100" s="119"/>
      <c r="S100" s="202"/>
      <c r="T100" s="202"/>
      <c r="U100" s="222">
        <v>143</v>
      </c>
      <c r="V100" s="222">
        <v>143</v>
      </c>
      <c r="W100" s="222">
        <v>7.3</v>
      </c>
      <c r="X100" s="222">
        <v>8587.2999999999993</v>
      </c>
      <c r="Y100" s="124">
        <f t="shared" si="3"/>
        <v>55.299999999999272</v>
      </c>
    </row>
    <row r="101" spans="1:25">
      <c r="A101" s="119" t="s">
        <v>246</v>
      </c>
      <c r="B101" s="214" t="s">
        <v>265</v>
      </c>
      <c r="C101" s="215" t="s">
        <v>266</v>
      </c>
      <c r="D101" s="216" t="s">
        <v>42</v>
      </c>
      <c r="E101" s="217" t="s">
        <v>269</v>
      </c>
      <c r="F101" s="216" t="s">
        <v>270</v>
      </c>
      <c r="G101" s="209">
        <v>6474</v>
      </c>
      <c r="H101" s="209"/>
      <c r="I101" s="216" t="s">
        <v>94</v>
      </c>
      <c r="J101" s="119"/>
      <c r="K101" s="119"/>
      <c r="L101" s="135">
        <v>405</v>
      </c>
      <c r="M101" s="924">
        <v>90502</v>
      </c>
      <c r="N101" s="211">
        <v>10027</v>
      </c>
      <c r="O101" s="211">
        <v>10030</v>
      </c>
      <c r="P101" s="119"/>
      <c r="Q101" s="119"/>
      <c r="R101" s="119"/>
      <c r="S101" s="202"/>
      <c r="T101" s="202"/>
      <c r="U101" s="222">
        <v>108</v>
      </c>
      <c r="V101" s="222">
        <v>108</v>
      </c>
      <c r="W101" s="222">
        <v>28.8</v>
      </c>
      <c r="X101" s="222">
        <v>6508.8</v>
      </c>
      <c r="Y101" s="124">
        <f t="shared" si="3"/>
        <v>34.800000000000182</v>
      </c>
    </row>
    <row r="102" spans="1:25">
      <c r="A102" s="119" t="s">
        <v>246</v>
      </c>
      <c r="B102" s="137" t="s">
        <v>233</v>
      </c>
      <c r="C102" s="212" t="s">
        <v>264</v>
      </c>
      <c r="D102" s="211" t="s">
        <v>42</v>
      </c>
      <c r="E102" s="213">
        <v>51</v>
      </c>
      <c r="F102" s="211">
        <v>25</v>
      </c>
      <c r="G102" s="209">
        <f t="shared" si="2"/>
        <v>3085</v>
      </c>
      <c r="H102" s="209"/>
      <c r="I102" s="211" t="s">
        <v>94</v>
      </c>
      <c r="J102" s="119"/>
      <c r="K102" s="119"/>
      <c r="L102" s="210">
        <v>405</v>
      </c>
      <c r="M102" s="924">
        <v>90502</v>
      </c>
      <c r="N102" s="211">
        <v>10027</v>
      </c>
      <c r="O102" s="211">
        <v>10030</v>
      </c>
      <c r="P102" s="119"/>
      <c r="Q102" s="119"/>
      <c r="R102" s="119"/>
      <c r="S102" s="202"/>
      <c r="T102" s="202"/>
      <c r="U102" s="222">
        <v>52</v>
      </c>
      <c r="V102" s="222">
        <v>51</v>
      </c>
      <c r="W102" s="222">
        <v>35.200000000000003</v>
      </c>
      <c r="X102" s="222">
        <v>3095.2</v>
      </c>
      <c r="Y102" s="124">
        <f t="shared" si="3"/>
        <v>10.199999999999818</v>
      </c>
    </row>
    <row r="103" spans="1:25">
      <c r="A103" s="119" t="s">
        <v>246</v>
      </c>
      <c r="B103" s="137" t="s">
        <v>233</v>
      </c>
      <c r="C103" s="212" t="s">
        <v>264</v>
      </c>
      <c r="D103" s="211" t="s">
        <v>43</v>
      </c>
      <c r="E103" s="213">
        <v>78</v>
      </c>
      <c r="F103" s="211">
        <v>47</v>
      </c>
      <c r="G103" s="209">
        <f t="shared" si="2"/>
        <v>4727</v>
      </c>
      <c r="H103" s="209"/>
      <c r="I103" s="211" t="s">
        <v>94</v>
      </c>
      <c r="J103" s="119"/>
      <c r="K103" s="119"/>
      <c r="L103" s="210">
        <v>382</v>
      </c>
      <c r="M103" s="924">
        <v>90502</v>
      </c>
      <c r="N103" s="211">
        <v>10027</v>
      </c>
      <c r="O103" s="211">
        <v>10040</v>
      </c>
      <c r="P103" s="119"/>
      <c r="Q103" s="119"/>
      <c r="R103" s="119"/>
      <c r="S103" s="202"/>
      <c r="T103" s="202"/>
      <c r="U103" s="222">
        <v>79</v>
      </c>
      <c r="V103" s="222">
        <v>79</v>
      </c>
      <c r="W103" s="222">
        <v>8.9</v>
      </c>
      <c r="X103" s="222">
        <v>4748.8999999999996</v>
      </c>
      <c r="Y103" s="124">
        <f t="shared" si="3"/>
        <v>21.899999999999636</v>
      </c>
    </row>
    <row r="104" spans="1:25">
      <c r="A104" s="119" t="s">
        <v>246</v>
      </c>
      <c r="B104" s="204" t="s">
        <v>262</v>
      </c>
      <c r="C104" s="205" t="s">
        <v>263</v>
      </c>
      <c r="D104" s="206" t="s">
        <v>43</v>
      </c>
      <c r="E104" s="207">
        <v>37</v>
      </c>
      <c r="F104" s="208">
        <v>64</v>
      </c>
      <c r="G104" s="209">
        <f t="shared" si="2"/>
        <v>2284</v>
      </c>
      <c r="H104" s="209"/>
      <c r="I104" s="209" t="s">
        <v>57</v>
      </c>
      <c r="J104" s="119"/>
      <c r="K104" s="119"/>
      <c r="L104" s="210">
        <v>306.43940000000003</v>
      </c>
      <c r="M104" s="924">
        <v>90468</v>
      </c>
      <c r="N104" s="211">
        <v>10057</v>
      </c>
      <c r="O104" s="211">
        <v>10100</v>
      </c>
      <c r="P104" s="119"/>
      <c r="Q104" s="119"/>
      <c r="R104" s="119"/>
      <c r="S104" s="202"/>
      <c r="T104" s="202"/>
      <c r="U104" s="222"/>
      <c r="V104" s="222"/>
      <c r="W104" s="222"/>
      <c r="X104" s="222">
        <v>2284</v>
      </c>
      <c r="Y104" s="124">
        <f t="shared" si="3"/>
        <v>0</v>
      </c>
    </row>
    <row r="105" spans="1:25">
      <c r="A105" s="119" t="s">
        <v>246</v>
      </c>
      <c r="B105" s="204" t="s">
        <v>262</v>
      </c>
      <c r="C105" s="205" t="s">
        <v>263</v>
      </c>
      <c r="D105" s="206" t="s">
        <v>42</v>
      </c>
      <c r="E105" s="207">
        <v>42</v>
      </c>
      <c r="F105" s="208">
        <v>59</v>
      </c>
      <c r="G105" s="209">
        <f t="shared" si="2"/>
        <v>2579</v>
      </c>
      <c r="H105" s="209"/>
      <c r="I105" s="209" t="s">
        <v>57</v>
      </c>
      <c r="J105" s="119"/>
      <c r="K105" s="119"/>
      <c r="L105" s="210">
        <v>317.4624</v>
      </c>
      <c r="M105" s="924">
        <v>90468</v>
      </c>
      <c r="N105" s="211">
        <v>10057</v>
      </c>
      <c r="O105" s="211">
        <v>10090</v>
      </c>
      <c r="P105" s="119"/>
      <c r="Q105" s="119"/>
      <c r="R105" s="119"/>
      <c r="S105" s="202"/>
      <c r="T105" s="202"/>
      <c r="U105" s="222">
        <v>43</v>
      </c>
      <c r="V105" s="222">
        <v>43</v>
      </c>
      <c r="W105" s="222">
        <v>14.3</v>
      </c>
      <c r="X105" s="222">
        <v>2594.3000000000002</v>
      </c>
      <c r="Y105" s="124">
        <f t="shared" si="3"/>
        <v>15.300000000000182</v>
      </c>
    </row>
    <row r="106" spans="1:25">
      <c r="A106" s="119" t="s">
        <v>246</v>
      </c>
      <c r="B106" s="137" t="s">
        <v>239</v>
      </c>
      <c r="C106" s="212" t="s">
        <v>261</v>
      </c>
      <c r="D106" s="211" t="s">
        <v>42</v>
      </c>
      <c r="E106" s="213">
        <v>86</v>
      </c>
      <c r="F106" s="211">
        <v>47</v>
      </c>
      <c r="G106" s="209">
        <f t="shared" si="2"/>
        <v>5207</v>
      </c>
      <c r="H106" s="209"/>
      <c r="I106" s="211" t="s">
        <v>342</v>
      </c>
      <c r="J106" s="119"/>
      <c r="K106" s="119"/>
      <c r="L106" s="219">
        <v>333.99690000000004</v>
      </c>
      <c r="M106" s="924">
        <v>90468</v>
      </c>
      <c r="N106" s="211">
        <v>10057</v>
      </c>
      <c r="O106" s="211">
        <v>10030</v>
      </c>
      <c r="P106" s="119"/>
      <c r="Q106" s="119"/>
      <c r="R106" s="119"/>
      <c r="S106" s="202"/>
      <c r="T106" s="202"/>
      <c r="U106" s="222">
        <v>87</v>
      </c>
      <c r="V106" s="222">
        <v>87</v>
      </c>
      <c r="W106" s="222">
        <v>12.7</v>
      </c>
      <c r="X106" s="222">
        <v>5232.7</v>
      </c>
      <c r="Y106" s="124">
        <f t="shared" si="3"/>
        <v>25.699999999999818</v>
      </c>
    </row>
    <row r="107" spans="1:25">
      <c r="A107" s="119" t="s">
        <v>246</v>
      </c>
      <c r="B107" s="137" t="s">
        <v>239</v>
      </c>
      <c r="C107" s="212" t="s">
        <v>261</v>
      </c>
      <c r="D107" s="211" t="s">
        <v>43</v>
      </c>
      <c r="E107" s="213">
        <v>138</v>
      </c>
      <c r="F107" s="211">
        <v>0</v>
      </c>
      <c r="G107" s="209">
        <f t="shared" si="2"/>
        <v>8280</v>
      </c>
      <c r="H107" s="209"/>
      <c r="I107" s="211" t="s">
        <v>45</v>
      </c>
      <c r="J107" s="119"/>
      <c r="K107" s="119"/>
      <c r="L107" s="219">
        <v>322.97390000000001</v>
      </c>
      <c r="M107" s="924">
        <v>90468</v>
      </c>
      <c r="N107" s="211">
        <v>10057</v>
      </c>
      <c r="O107" s="211">
        <v>10040</v>
      </c>
      <c r="P107" s="119"/>
      <c r="Q107" s="119"/>
      <c r="R107" s="119"/>
      <c r="S107" s="202"/>
      <c r="T107" s="202"/>
      <c r="U107" s="222">
        <v>138</v>
      </c>
      <c r="V107" s="222">
        <v>137</v>
      </c>
      <c r="W107" s="222">
        <v>57.8</v>
      </c>
      <c r="X107" s="222">
        <v>8277.7999999999993</v>
      </c>
      <c r="Y107" s="124">
        <f t="shared" si="3"/>
        <v>-2.2000000000007276</v>
      </c>
    </row>
    <row r="108" spans="1:25">
      <c r="E108" s="125"/>
      <c r="G108" s="124"/>
      <c r="H108" s="124"/>
      <c r="M108" s="116"/>
      <c r="S108" s="203"/>
      <c r="T108" s="203"/>
      <c r="U108" s="116">
        <f>X108/60</f>
        <v>6127.3616666666676</v>
      </c>
      <c r="X108" s="116">
        <f>SUM(X2:X107)</f>
        <v>367641.70000000007</v>
      </c>
    </row>
    <row r="109" spans="1:25">
      <c r="M109" s="116"/>
      <c r="T109" s="202"/>
      <c r="Y109" s="124" t="e">
        <f>SUM(Y2:Y108)</f>
        <v>#VALUE!</v>
      </c>
    </row>
    <row r="110" spans="1:25">
      <c r="E110" s="125"/>
      <c r="G110" s="124"/>
      <c r="H110" s="124"/>
      <c r="T110" s="202"/>
    </row>
    <row r="111" spans="1:25">
      <c r="T111" s="202"/>
    </row>
    <row r="112" spans="1:25">
      <c r="T112" s="202"/>
    </row>
  </sheetData>
  <autoFilter ref="A1:X109" xr:uid="{4460292F-AE30-48E4-9E32-D9942EA4887E}"/>
  <sortState xmlns:xlrd2="http://schemas.microsoft.com/office/spreadsheetml/2017/richdata2" ref="A2:T107">
    <sortCondition ref="C1:C10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CFDA-E26B-4B59-867A-BE55350420B3}">
  <dimension ref="A1:V63"/>
  <sheetViews>
    <sheetView topLeftCell="A19" workbookViewId="0">
      <selection activeCell="G35" sqref="G35"/>
    </sheetView>
  </sheetViews>
  <sheetFormatPr defaultRowHeight="14.5"/>
  <cols>
    <col min="1" max="1" width="13.54296875" customWidth="1"/>
    <col min="4" max="4" width="11.81640625" customWidth="1"/>
    <col min="5" max="5" width="16.81640625" customWidth="1"/>
    <col min="6" max="6" width="11.54296875" customWidth="1"/>
    <col min="7" max="7" width="14.453125" bestFit="1" customWidth="1"/>
    <col min="8" max="8" width="14.453125" customWidth="1"/>
    <col min="9" max="9" width="27.6328125" bestFit="1" customWidth="1"/>
    <col min="10" max="10" width="14.36328125" bestFit="1" customWidth="1"/>
    <col min="11" max="11" width="14.54296875" bestFit="1" customWidth="1"/>
    <col min="17" max="17" width="11.81640625" customWidth="1"/>
  </cols>
  <sheetData>
    <row r="1" spans="1:21">
      <c r="A1" s="49" t="s">
        <v>80</v>
      </c>
      <c r="B1" s="50" t="s">
        <v>138</v>
      </c>
      <c r="C1" s="50" t="s">
        <v>24</v>
      </c>
      <c r="D1" s="50" t="s">
        <v>111</v>
      </c>
      <c r="E1" s="50" t="s">
        <v>382</v>
      </c>
      <c r="F1" s="126" t="s">
        <v>26</v>
      </c>
      <c r="G1" s="126" t="s">
        <v>414</v>
      </c>
      <c r="H1" s="126"/>
      <c r="I1" s="126" t="s">
        <v>679</v>
      </c>
      <c r="J1" s="126" t="s">
        <v>399</v>
      </c>
      <c r="K1" s="126" t="s">
        <v>395</v>
      </c>
      <c r="L1" s="126" t="s">
        <v>396</v>
      </c>
      <c r="M1" s="340" t="s">
        <v>824</v>
      </c>
      <c r="N1" s="340" t="s">
        <v>33</v>
      </c>
      <c r="O1" s="340" t="s">
        <v>82</v>
      </c>
      <c r="P1" s="340" t="s">
        <v>825</v>
      </c>
      <c r="Q1" s="959" t="s">
        <v>1</v>
      </c>
      <c r="R1" t="s">
        <v>394</v>
      </c>
      <c r="S1">
        <v>281</v>
      </c>
    </row>
    <row r="2" spans="1:21">
      <c r="A2" s="133" t="s">
        <v>383</v>
      </c>
      <c r="B2" s="134" t="s">
        <v>47</v>
      </c>
      <c r="C2" s="134">
        <v>114</v>
      </c>
      <c r="D2" s="134">
        <v>290</v>
      </c>
      <c r="E2" s="134">
        <v>7130</v>
      </c>
      <c r="F2" s="14" t="s">
        <v>60</v>
      </c>
      <c r="G2" s="14" t="s">
        <v>418</v>
      </c>
      <c r="H2" s="14"/>
      <c r="I2" s="14">
        <v>10130</v>
      </c>
      <c r="J2" s="14"/>
      <c r="K2" s="14">
        <v>250</v>
      </c>
      <c r="L2" s="27">
        <f>K2/1.1023-$S$1</f>
        <v>-54.201487798240066</v>
      </c>
      <c r="M2" s="230">
        <v>129</v>
      </c>
      <c r="N2" s="231">
        <v>120</v>
      </c>
      <c r="O2" s="230">
        <v>221.9</v>
      </c>
      <c r="P2" s="960">
        <v>7422</v>
      </c>
      <c r="Q2" s="963">
        <v>90511</v>
      </c>
    </row>
    <row r="3" spans="1:21">
      <c r="A3" s="133" t="s">
        <v>384</v>
      </c>
      <c r="B3" s="134" t="s">
        <v>46</v>
      </c>
      <c r="C3" s="134">
        <v>28</v>
      </c>
      <c r="D3" s="134">
        <v>40</v>
      </c>
      <c r="E3" s="134">
        <v>1720</v>
      </c>
      <c r="F3" s="14" t="s">
        <v>397</v>
      </c>
      <c r="G3" s="14" t="s">
        <v>418</v>
      </c>
      <c r="H3" s="14"/>
      <c r="I3" s="14">
        <v>10120</v>
      </c>
      <c r="J3" s="14"/>
      <c r="K3" s="14">
        <v>250</v>
      </c>
      <c r="L3" s="27">
        <f t="shared" ref="L3:L17" si="0">K3/1.1023-$S$1</f>
        <v>-54.201487798240066</v>
      </c>
      <c r="M3" s="230">
        <v>29</v>
      </c>
      <c r="N3" s="231">
        <v>28</v>
      </c>
      <c r="O3" s="230">
        <v>24.9</v>
      </c>
      <c r="P3" s="960">
        <v>1704.9</v>
      </c>
      <c r="Q3" s="963">
        <v>90511</v>
      </c>
    </row>
    <row r="4" spans="1:21">
      <c r="A4" s="133" t="s">
        <v>385</v>
      </c>
      <c r="B4" s="134" t="s">
        <v>48</v>
      </c>
      <c r="C4" s="134">
        <v>43</v>
      </c>
      <c r="D4" s="134">
        <v>20</v>
      </c>
      <c r="E4" s="134">
        <v>2600</v>
      </c>
      <c r="F4" s="14" t="s">
        <v>398</v>
      </c>
      <c r="G4" s="14" t="s">
        <v>418</v>
      </c>
      <c r="H4" s="14"/>
      <c r="I4" s="14">
        <v>10130</v>
      </c>
      <c r="J4" s="14"/>
      <c r="K4" s="14">
        <v>250</v>
      </c>
      <c r="L4" s="27">
        <f t="shared" si="0"/>
        <v>-54.201487798240066</v>
      </c>
      <c r="M4" s="230">
        <v>44</v>
      </c>
      <c r="N4" s="231">
        <v>43</v>
      </c>
      <c r="O4" s="230">
        <v>30.4</v>
      </c>
      <c r="P4" s="960">
        <v>2610.4</v>
      </c>
      <c r="Q4" s="963">
        <v>90511</v>
      </c>
    </row>
    <row r="5" spans="1:21">
      <c r="A5" s="128" t="s">
        <v>386</v>
      </c>
      <c r="B5" s="78" t="s">
        <v>42</v>
      </c>
      <c r="C5" s="78">
        <v>9</v>
      </c>
      <c r="D5" s="78">
        <v>30</v>
      </c>
      <c r="E5" s="78">
        <v>570</v>
      </c>
      <c r="F5" s="127" t="s">
        <v>57</v>
      </c>
      <c r="G5" s="14" t="s">
        <v>418</v>
      </c>
      <c r="H5" s="14"/>
      <c r="I5" s="14">
        <v>10100</v>
      </c>
      <c r="J5" s="127"/>
      <c r="K5" s="14">
        <v>250</v>
      </c>
      <c r="L5" s="27">
        <f t="shared" si="0"/>
        <v>-54.201487798240066</v>
      </c>
      <c r="M5" s="230">
        <v>10</v>
      </c>
      <c r="N5" s="231">
        <v>9</v>
      </c>
      <c r="O5" s="230">
        <v>35</v>
      </c>
      <c r="P5" s="960">
        <v>575</v>
      </c>
      <c r="Q5" s="963">
        <v>90511</v>
      </c>
    </row>
    <row r="6" spans="1:21">
      <c r="A6" s="129" t="s">
        <v>386</v>
      </c>
      <c r="B6" s="49" t="s">
        <v>43</v>
      </c>
      <c r="C6" s="49">
        <v>29</v>
      </c>
      <c r="D6" s="49">
        <v>57</v>
      </c>
      <c r="E6" s="49">
        <v>1797</v>
      </c>
      <c r="F6" s="127" t="s">
        <v>356</v>
      </c>
      <c r="G6" s="14" t="s">
        <v>418</v>
      </c>
      <c r="H6" s="14"/>
      <c r="I6" s="14">
        <v>10110</v>
      </c>
      <c r="J6" s="127"/>
      <c r="K6" s="14">
        <v>250</v>
      </c>
      <c r="L6" s="27">
        <f t="shared" si="0"/>
        <v>-54.201487798240066</v>
      </c>
      <c r="M6" s="230">
        <v>30</v>
      </c>
      <c r="N6" s="231">
        <v>30</v>
      </c>
      <c r="O6" s="230">
        <v>17</v>
      </c>
      <c r="P6" s="960">
        <v>1817</v>
      </c>
      <c r="Q6" s="963">
        <v>90511</v>
      </c>
    </row>
    <row r="7" spans="1:21">
      <c r="A7" s="130" t="s">
        <v>386</v>
      </c>
      <c r="B7" s="49" t="s">
        <v>44</v>
      </c>
      <c r="C7" s="49">
        <v>6</v>
      </c>
      <c r="D7" s="49">
        <v>57</v>
      </c>
      <c r="E7" s="49">
        <v>417</v>
      </c>
      <c r="F7" s="127" t="s">
        <v>57</v>
      </c>
      <c r="G7" s="14" t="s">
        <v>418</v>
      </c>
      <c r="H7" s="14"/>
      <c r="I7" s="14">
        <v>10100</v>
      </c>
      <c r="J7" s="127"/>
      <c r="K7" s="14">
        <v>250</v>
      </c>
      <c r="L7" s="27">
        <f t="shared" si="0"/>
        <v>-54.201487798240066</v>
      </c>
      <c r="M7" s="230">
        <v>7</v>
      </c>
      <c r="N7" s="231">
        <v>7</v>
      </c>
      <c r="O7" s="230">
        <v>2.7</v>
      </c>
      <c r="P7" s="960">
        <v>422.7</v>
      </c>
      <c r="Q7" s="963">
        <v>90511</v>
      </c>
    </row>
    <row r="8" spans="1:21">
      <c r="A8" s="131" t="s">
        <v>386</v>
      </c>
      <c r="B8" s="49" t="s">
        <v>45</v>
      </c>
      <c r="C8" s="49">
        <v>17</v>
      </c>
      <c r="D8" s="49">
        <v>17</v>
      </c>
      <c r="E8" s="49">
        <v>737</v>
      </c>
      <c r="F8" s="127" t="s">
        <v>356</v>
      </c>
      <c r="G8" s="14" t="s">
        <v>418</v>
      </c>
      <c r="H8" s="14"/>
      <c r="I8" s="14">
        <v>10110</v>
      </c>
      <c r="J8" s="127"/>
      <c r="K8" s="14">
        <v>250</v>
      </c>
      <c r="L8" s="27">
        <f t="shared" si="0"/>
        <v>-54.201487798240066</v>
      </c>
      <c r="M8" s="230">
        <v>18</v>
      </c>
      <c r="N8" s="231">
        <v>18</v>
      </c>
      <c r="O8" s="230">
        <v>12.8</v>
      </c>
      <c r="P8" s="960">
        <v>1092.8</v>
      </c>
      <c r="Q8" s="963">
        <v>90511</v>
      </c>
    </row>
    <row r="9" spans="1:21">
      <c r="A9" s="131" t="s">
        <v>387</v>
      </c>
      <c r="B9" s="49" t="s">
        <v>42</v>
      </c>
      <c r="C9" s="49">
        <v>5</v>
      </c>
      <c r="D9" s="49">
        <v>18</v>
      </c>
      <c r="E9" s="49">
        <v>318</v>
      </c>
      <c r="F9" s="127" t="s">
        <v>356</v>
      </c>
      <c r="G9" s="14" t="s">
        <v>418</v>
      </c>
      <c r="H9" s="14"/>
      <c r="I9" s="14">
        <v>10110</v>
      </c>
      <c r="J9" s="127" t="s">
        <v>400</v>
      </c>
      <c r="K9" s="14">
        <v>250</v>
      </c>
      <c r="L9" s="27">
        <f t="shared" si="0"/>
        <v>-54.201487798240066</v>
      </c>
      <c r="M9" s="230">
        <v>6</v>
      </c>
      <c r="N9" s="231">
        <v>5</v>
      </c>
      <c r="O9" s="230">
        <v>21.6</v>
      </c>
      <c r="P9" s="960">
        <v>321.60000000000002</v>
      </c>
      <c r="Q9" s="963">
        <v>90511</v>
      </c>
    </row>
    <row r="10" spans="1:21">
      <c r="A10" s="131" t="s">
        <v>387</v>
      </c>
      <c r="B10" s="49" t="s">
        <v>43</v>
      </c>
      <c r="C10" s="49">
        <v>17</v>
      </c>
      <c r="D10" s="49">
        <v>19</v>
      </c>
      <c r="E10" s="49">
        <v>1039</v>
      </c>
      <c r="F10" s="127" t="s">
        <v>356</v>
      </c>
      <c r="G10" s="14" t="s">
        <v>418</v>
      </c>
      <c r="H10" s="14"/>
      <c r="I10" s="14">
        <v>10110</v>
      </c>
      <c r="J10" s="127" t="s">
        <v>400</v>
      </c>
      <c r="K10" s="14">
        <v>250</v>
      </c>
      <c r="L10" s="27">
        <f t="shared" si="0"/>
        <v>-54.201487798240066</v>
      </c>
      <c r="M10" s="230">
        <v>18</v>
      </c>
      <c r="N10" s="231">
        <v>17</v>
      </c>
      <c r="O10" s="230">
        <v>27.8</v>
      </c>
      <c r="P10" s="960">
        <v>1047.8</v>
      </c>
      <c r="Q10" s="963">
        <v>90511</v>
      </c>
    </row>
    <row r="11" spans="1:21">
      <c r="A11" s="131" t="s">
        <v>387</v>
      </c>
      <c r="B11" s="49" t="s">
        <v>44</v>
      </c>
      <c r="C11" s="49">
        <v>3</v>
      </c>
      <c r="D11" s="49">
        <v>63</v>
      </c>
      <c r="E11" s="49">
        <v>243</v>
      </c>
      <c r="F11" s="127" t="s">
        <v>356</v>
      </c>
      <c r="G11" s="14" t="s">
        <v>418</v>
      </c>
      <c r="H11" s="14"/>
      <c r="I11" s="14">
        <v>10110</v>
      </c>
      <c r="J11" s="127" t="s">
        <v>400</v>
      </c>
      <c r="K11" s="14">
        <v>250</v>
      </c>
      <c r="L11" s="27">
        <f t="shared" si="0"/>
        <v>-54.201487798240066</v>
      </c>
      <c r="M11" s="230">
        <v>4</v>
      </c>
      <c r="N11" s="231">
        <v>4</v>
      </c>
      <c r="O11" s="230">
        <v>4.4000000000000004</v>
      </c>
      <c r="P11" s="960">
        <v>244.4</v>
      </c>
      <c r="Q11" s="963">
        <v>90511</v>
      </c>
    </row>
    <row r="12" spans="1:21">
      <c r="A12" s="131" t="s">
        <v>387</v>
      </c>
      <c r="B12" s="49" t="s">
        <v>45</v>
      </c>
      <c r="C12" s="49">
        <v>13</v>
      </c>
      <c r="D12" s="49">
        <v>9</v>
      </c>
      <c r="E12" s="49">
        <v>789</v>
      </c>
      <c r="F12" s="127" t="s">
        <v>63</v>
      </c>
      <c r="G12" s="14" t="s">
        <v>418</v>
      </c>
      <c r="H12" s="14"/>
      <c r="I12" s="14">
        <v>10130</v>
      </c>
      <c r="J12" s="127" t="s">
        <v>401</v>
      </c>
      <c r="K12" s="14">
        <v>250</v>
      </c>
      <c r="L12" s="27">
        <f t="shared" si="0"/>
        <v>-54.201487798240066</v>
      </c>
      <c r="M12" s="230">
        <v>14</v>
      </c>
      <c r="N12" s="231">
        <v>13</v>
      </c>
      <c r="O12" s="230">
        <v>16.399999999999999</v>
      </c>
      <c r="P12" s="960">
        <v>796.4</v>
      </c>
      <c r="Q12" s="963">
        <v>90511</v>
      </c>
    </row>
    <row r="13" spans="1:21">
      <c r="A13" s="131" t="s">
        <v>388</v>
      </c>
      <c r="B13" s="49" t="s">
        <v>389</v>
      </c>
      <c r="C13" s="49">
        <v>43</v>
      </c>
      <c r="D13" s="49">
        <v>0</v>
      </c>
      <c r="E13" s="49">
        <v>2580</v>
      </c>
      <c r="F13" s="14" t="s">
        <v>57</v>
      </c>
      <c r="G13" s="14" t="s">
        <v>418</v>
      </c>
      <c r="H13" s="14"/>
      <c r="I13" s="14">
        <v>10140</v>
      </c>
      <c r="J13" s="14" t="s">
        <v>402</v>
      </c>
      <c r="K13" s="14">
        <v>250</v>
      </c>
      <c r="L13" s="27">
        <f t="shared" si="0"/>
        <v>-54.201487798240066</v>
      </c>
      <c r="M13" s="230">
        <v>44</v>
      </c>
      <c r="N13" s="231">
        <v>44</v>
      </c>
      <c r="O13" s="230">
        <v>12.4</v>
      </c>
      <c r="P13" s="960">
        <v>2652.4</v>
      </c>
      <c r="Q13" s="963">
        <v>90511</v>
      </c>
      <c r="U13">
        <f>SUM(U3:U12)</f>
        <v>0</v>
      </c>
    </row>
    <row r="14" spans="1:21">
      <c r="A14" s="602" t="s">
        <v>390</v>
      </c>
      <c r="B14" s="603" t="s">
        <v>391</v>
      </c>
      <c r="C14" s="603">
        <v>58</v>
      </c>
      <c r="D14" s="603">
        <v>36.9</v>
      </c>
      <c r="E14" s="603">
        <v>3516.9</v>
      </c>
      <c r="F14" s="593"/>
      <c r="G14" s="593" t="s">
        <v>418</v>
      </c>
      <c r="H14" s="593"/>
      <c r="I14" s="593">
        <v>10140</v>
      </c>
      <c r="J14" s="593"/>
      <c r="K14" s="593">
        <v>250</v>
      </c>
      <c r="L14" s="604">
        <f t="shared" si="0"/>
        <v>-54.201487798240066</v>
      </c>
      <c r="M14" s="605">
        <v>59</v>
      </c>
      <c r="N14" s="606">
        <v>58</v>
      </c>
      <c r="O14" s="605">
        <v>36.9</v>
      </c>
      <c r="P14" s="961">
        <v>3516.9</v>
      </c>
      <c r="Q14" s="963">
        <v>90511</v>
      </c>
    </row>
    <row r="15" spans="1:21">
      <c r="A15" s="602" t="s">
        <v>390</v>
      </c>
      <c r="B15" s="603" t="s">
        <v>392</v>
      </c>
      <c r="C15" s="603">
        <v>23</v>
      </c>
      <c r="D15" s="603">
        <v>0</v>
      </c>
      <c r="E15" s="603">
        <v>1432</v>
      </c>
      <c r="F15" s="593"/>
      <c r="G15" s="593" t="s">
        <v>418</v>
      </c>
      <c r="H15" s="593"/>
      <c r="I15" s="593">
        <v>10150</v>
      </c>
      <c r="J15" s="593"/>
      <c r="K15" s="593">
        <v>250</v>
      </c>
      <c r="L15" s="604">
        <f t="shared" si="0"/>
        <v>-54.201487798240066</v>
      </c>
      <c r="M15" s="605">
        <v>24</v>
      </c>
      <c r="N15" s="606">
        <v>23</v>
      </c>
      <c r="O15" s="605">
        <v>52.4</v>
      </c>
      <c r="P15" s="961">
        <v>1432.4</v>
      </c>
      <c r="Q15" s="963">
        <v>90511</v>
      </c>
    </row>
    <row r="16" spans="1:21">
      <c r="A16" s="132" t="s">
        <v>393</v>
      </c>
      <c r="B16" s="50" t="s">
        <v>391</v>
      </c>
      <c r="C16" s="49">
        <v>39</v>
      </c>
      <c r="D16" s="49">
        <v>30</v>
      </c>
      <c r="E16" s="49">
        <v>2370</v>
      </c>
      <c r="F16" s="14"/>
      <c r="G16" s="14" t="s">
        <v>418</v>
      </c>
      <c r="H16" s="14"/>
      <c r="I16" s="14">
        <v>10140</v>
      </c>
      <c r="J16" s="14"/>
      <c r="K16" s="14">
        <v>250</v>
      </c>
      <c r="L16" s="27">
        <f t="shared" si="0"/>
        <v>-54.201487798240066</v>
      </c>
      <c r="M16" s="230">
        <v>45</v>
      </c>
      <c r="N16" s="231">
        <v>45</v>
      </c>
      <c r="O16" s="230">
        <v>4.5</v>
      </c>
      <c r="P16" s="960">
        <v>2704.5</v>
      </c>
      <c r="Q16" s="963">
        <v>90511</v>
      </c>
      <c r="U16">
        <f>SUM(U14:U15)</f>
        <v>0</v>
      </c>
    </row>
    <row r="17" spans="1:17">
      <c r="A17" s="130" t="s">
        <v>393</v>
      </c>
      <c r="B17" s="50" t="s">
        <v>392</v>
      </c>
      <c r="C17" s="49">
        <v>13</v>
      </c>
      <c r="D17" s="49">
        <v>0</v>
      </c>
      <c r="E17" s="49">
        <v>780</v>
      </c>
      <c r="F17" s="14"/>
      <c r="G17" s="14" t="s">
        <v>418</v>
      </c>
      <c r="H17" s="14"/>
      <c r="I17" s="14">
        <v>10150</v>
      </c>
      <c r="J17" s="14"/>
      <c r="K17" s="14">
        <v>250</v>
      </c>
      <c r="L17" s="27">
        <f t="shared" si="0"/>
        <v>-54.201487798240066</v>
      </c>
      <c r="M17" s="230">
        <v>15</v>
      </c>
      <c r="N17" s="231">
        <v>14</v>
      </c>
      <c r="O17" s="230">
        <v>25.5</v>
      </c>
      <c r="P17" s="960">
        <v>865.5</v>
      </c>
      <c r="Q17" s="963">
        <v>90511</v>
      </c>
    </row>
    <row r="18" spans="1:17">
      <c r="A18" s="50"/>
      <c r="B18" s="49"/>
      <c r="C18" s="49"/>
      <c r="D18" s="49"/>
      <c r="E18" s="49"/>
      <c r="F18" s="14"/>
      <c r="G18" s="14"/>
      <c r="H18" s="14"/>
      <c r="I18" s="14"/>
      <c r="J18" s="14"/>
      <c r="K18" s="14"/>
      <c r="L18" s="14"/>
      <c r="N18" s="971">
        <f>P18/60</f>
        <v>487.11166666666679</v>
      </c>
      <c r="P18" s="342">
        <f>SUM(P2:P17)</f>
        <v>29226.700000000008</v>
      </c>
    </row>
    <row r="19" spans="1:17">
      <c r="A19" s="50"/>
      <c r="B19" s="49"/>
      <c r="C19" s="49">
        <f>SUM(C2:C18)</f>
        <v>460</v>
      </c>
      <c r="D19" s="49"/>
      <c r="E19" s="49">
        <f>SUM(E2:E18)</f>
        <v>28038.9</v>
      </c>
    </row>
    <row r="20" spans="1:17">
      <c r="A20" s="50"/>
      <c r="B20" s="49"/>
      <c r="C20" s="49"/>
      <c r="D20" s="49"/>
      <c r="E20" s="49">
        <f>E19/60</f>
        <v>467.315</v>
      </c>
      <c r="F20" s="962">
        <f>P18/60</f>
        <v>487.11166666666679</v>
      </c>
    </row>
    <row r="23" spans="1:17">
      <c r="H23" t="s">
        <v>1375</v>
      </c>
    </row>
    <row r="24" spans="1:17">
      <c r="H24" s="230">
        <v>350</v>
      </c>
    </row>
    <row r="25" spans="1:17" ht="15" thickBot="1">
      <c r="H25" s="230">
        <v>14</v>
      </c>
    </row>
    <row r="26" spans="1:17" ht="15" thickBot="1">
      <c r="G26" s="1" t="s">
        <v>841</v>
      </c>
      <c r="H26" s="1720"/>
      <c r="I26" s="1720"/>
      <c r="J26" s="1720"/>
      <c r="K26" s="1720"/>
      <c r="L26" s="1720"/>
      <c r="M26" s="1720"/>
      <c r="N26" s="1721"/>
    </row>
    <row r="27" spans="1:17">
      <c r="G27" s="341" t="s">
        <v>838</v>
      </c>
      <c r="H27" s="1129">
        <v>59</v>
      </c>
      <c r="I27" s="341" t="s">
        <v>839</v>
      </c>
      <c r="J27" s="341" t="s">
        <v>840</v>
      </c>
      <c r="K27" s="341" t="s">
        <v>824</v>
      </c>
      <c r="L27" s="341" t="s">
        <v>33</v>
      </c>
      <c r="M27" s="341" t="s">
        <v>82</v>
      </c>
      <c r="N27" s="341" t="s">
        <v>825</v>
      </c>
    </row>
    <row r="28" spans="1:17">
      <c r="G28" s="339" t="s">
        <v>144</v>
      </c>
      <c r="H28" s="337">
        <v>24</v>
      </c>
      <c r="I28" s="339" t="s">
        <v>826</v>
      </c>
      <c r="J28" s="339" t="s">
        <v>47</v>
      </c>
      <c r="K28" s="337">
        <v>11</v>
      </c>
      <c r="L28" s="338">
        <v>10</v>
      </c>
      <c r="M28" s="337">
        <v>33.1</v>
      </c>
      <c r="N28" s="338">
        <v>633.1</v>
      </c>
    </row>
    <row r="29" spans="1:17">
      <c r="G29" s="339" t="s">
        <v>145</v>
      </c>
      <c r="H29" s="337">
        <v>30</v>
      </c>
      <c r="I29" s="339" t="s">
        <v>827</v>
      </c>
      <c r="J29" s="339" t="s">
        <v>47</v>
      </c>
      <c r="K29" s="337">
        <v>12</v>
      </c>
      <c r="L29" s="338">
        <v>11</v>
      </c>
      <c r="M29" s="337">
        <v>46.2</v>
      </c>
      <c r="N29" s="338">
        <v>706.2</v>
      </c>
    </row>
    <row r="30" spans="1:17">
      <c r="G30" s="339" t="s">
        <v>130</v>
      </c>
      <c r="H30" s="339"/>
      <c r="I30" s="339" t="s">
        <v>828</v>
      </c>
      <c r="J30" s="339" t="s">
        <v>47</v>
      </c>
      <c r="K30" s="337">
        <v>16</v>
      </c>
      <c r="L30" s="338">
        <v>15</v>
      </c>
      <c r="M30" s="337">
        <v>25.6</v>
      </c>
      <c r="N30" s="338">
        <v>925.6</v>
      </c>
    </row>
    <row r="31" spans="1:17">
      <c r="G31" s="339" t="s">
        <v>150</v>
      </c>
      <c r="H31" s="339"/>
      <c r="I31" s="339" t="s">
        <v>829</v>
      </c>
      <c r="J31" s="339" t="s">
        <v>47</v>
      </c>
      <c r="K31" s="337">
        <v>25</v>
      </c>
      <c r="L31" s="338">
        <v>24</v>
      </c>
      <c r="M31" s="337">
        <v>29.5</v>
      </c>
      <c r="N31" s="338">
        <v>1469.5</v>
      </c>
    </row>
    <row r="32" spans="1:17">
      <c r="G32" s="339" t="s">
        <v>129</v>
      </c>
      <c r="H32" s="339"/>
      <c r="I32" s="339" t="s">
        <v>830</v>
      </c>
      <c r="J32" s="339" t="s">
        <v>47</v>
      </c>
      <c r="K32" s="337">
        <v>9</v>
      </c>
      <c r="L32" s="338">
        <v>8</v>
      </c>
      <c r="M32" s="337">
        <v>8.9</v>
      </c>
      <c r="N32" s="338">
        <v>488.9</v>
      </c>
    </row>
    <row r="33" spans="7:14">
      <c r="G33" s="339" t="s">
        <v>831</v>
      </c>
      <c r="H33" s="339"/>
      <c r="I33" s="339" t="s">
        <v>832</v>
      </c>
      <c r="J33" s="339" t="s">
        <v>47</v>
      </c>
      <c r="K33" s="337">
        <v>11</v>
      </c>
      <c r="L33" s="338">
        <v>10</v>
      </c>
      <c r="M33" s="337">
        <v>13.1</v>
      </c>
      <c r="N33" s="338">
        <v>613.1</v>
      </c>
    </row>
    <row r="34" spans="7:14">
      <c r="G34" s="339" t="s">
        <v>115</v>
      </c>
      <c r="H34" s="339"/>
      <c r="I34" s="339" t="s">
        <v>833</v>
      </c>
      <c r="J34" s="339" t="s">
        <v>47</v>
      </c>
      <c r="K34" s="337">
        <v>12</v>
      </c>
      <c r="L34" s="338">
        <v>11</v>
      </c>
      <c r="M34" s="337">
        <v>17.2</v>
      </c>
      <c r="N34" s="338">
        <v>677.2</v>
      </c>
    </row>
    <row r="35" spans="7:14">
      <c r="G35" s="339" t="s">
        <v>834</v>
      </c>
      <c r="H35" s="339"/>
      <c r="I35" s="339" t="s">
        <v>835</v>
      </c>
      <c r="J35" s="339" t="s">
        <v>47</v>
      </c>
      <c r="K35" s="337">
        <v>4</v>
      </c>
      <c r="L35" s="338">
        <v>4</v>
      </c>
      <c r="M35" s="337">
        <v>7.4</v>
      </c>
      <c r="N35" s="338">
        <v>247.4</v>
      </c>
    </row>
    <row r="36" spans="7:14">
      <c r="G36" s="339" t="s">
        <v>121</v>
      </c>
      <c r="H36" s="339"/>
      <c r="I36" s="339" t="s">
        <v>836</v>
      </c>
      <c r="J36" s="339" t="s">
        <v>47</v>
      </c>
      <c r="K36" s="337">
        <v>11</v>
      </c>
      <c r="L36" s="338">
        <v>10</v>
      </c>
      <c r="M36" s="337">
        <v>13.1</v>
      </c>
      <c r="N36" s="338">
        <v>613.1</v>
      </c>
    </row>
    <row r="37" spans="7:14">
      <c r="G37" s="339" t="s">
        <v>151</v>
      </c>
      <c r="H37" s="339"/>
      <c r="I37" s="339" t="s">
        <v>837</v>
      </c>
      <c r="J37" s="339" t="s">
        <v>47</v>
      </c>
      <c r="K37" s="337">
        <v>18</v>
      </c>
      <c r="L37" s="338">
        <v>17</v>
      </c>
      <c r="M37" s="337">
        <v>27.8</v>
      </c>
      <c r="N37" s="338">
        <v>1047.8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autoFilter ref="A1:L17" xr:uid="{DC1ECFDA-E26B-4B59-867A-BE55350420B3}"/>
  <mergeCells count="1">
    <mergeCell ref="G26:N2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AAB8-4494-47E8-81B6-30DA83F0A534}">
  <dimension ref="A1:V63"/>
  <sheetViews>
    <sheetView topLeftCell="I1" workbookViewId="0">
      <selection activeCell="H30" sqref="H30"/>
    </sheetView>
  </sheetViews>
  <sheetFormatPr defaultRowHeight="14.5"/>
  <cols>
    <col min="1" max="1" width="14.81640625" customWidth="1"/>
    <col min="2" max="3" width="14.453125" customWidth="1"/>
    <col min="7" max="8" width="13.54296875" customWidth="1"/>
    <col min="9" max="9" width="19.453125" bestFit="1" customWidth="1"/>
    <col min="10" max="10" width="26" bestFit="1" customWidth="1"/>
    <col min="11" max="11" width="14.54296875" bestFit="1" customWidth="1"/>
    <col min="12" max="12" width="13.54296875" customWidth="1"/>
    <col min="14" max="14" width="17.54296875" customWidth="1"/>
    <col min="15" max="15" width="12.453125" customWidth="1"/>
    <col min="16" max="16" width="14.81640625" customWidth="1"/>
    <col min="17" max="17" width="12.1796875" customWidth="1"/>
    <col min="18" max="18" width="13.453125" bestFit="1" customWidth="1"/>
    <col min="19" max="19" width="13.1796875" bestFit="1" customWidth="1"/>
    <col min="20" max="20" width="12.453125" bestFit="1" customWidth="1"/>
    <col min="21" max="21" width="11.81640625" bestFit="1" customWidth="1"/>
    <col min="22" max="22" width="11.453125" customWidth="1"/>
  </cols>
  <sheetData>
    <row r="1" spans="1:22">
      <c r="A1" t="s">
        <v>1120</v>
      </c>
      <c r="B1" t="s">
        <v>1149</v>
      </c>
    </row>
    <row r="2" spans="1:22">
      <c r="A2" s="146" t="s">
        <v>343</v>
      </c>
      <c r="B2" s="146" t="s">
        <v>22</v>
      </c>
      <c r="C2" s="146" t="s">
        <v>160</v>
      </c>
      <c r="D2" s="146" t="s">
        <v>23</v>
      </c>
      <c r="E2" s="146" t="s">
        <v>24</v>
      </c>
      <c r="F2" s="146" t="s">
        <v>111</v>
      </c>
      <c r="G2" s="146" t="s">
        <v>486</v>
      </c>
      <c r="H2" s="146"/>
      <c r="I2" s="146" t="s">
        <v>26</v>
      </c>
      <c r="J2" s="146" t="s">
        <v>348</v>
      </c>
      <c r="K2" s="146" t="s">
        <v>814</v>
      </c>
      <c r="L2" s="146" t="s">
        <v>1124</v>
      </c>
      <c r="M2" s="146" t="s">
        <v>142</v>
      </c>
      <c r="N2" s="14" t="s">
        <v>1122</v>
      </c>
      <c r="O2" s="942" t="s">
        <v>1205</v>
      </c>
      <c r="P2" s="526" t="s">
        <v>1128</v>
      </c>
      <c r="Q2" s="528" t="s">
        <v>1145</v>
      </c>
      <c r="R2" s="221" t="s">
        <v>705</v>
      </c>
      <c r="S2" s="221" t="s">
        <v>706</v>
      </c>
      <c r="T2" s="221" t="s">
        <v>704</v>
      </c>
      <c r="U2" s="221" t="s">
        <v>707</v>
      </c>
      <c r="V2" s="852" t="s">
        <v>1214</v>
      </c>
    </row>
    <row r="3" spans="1:22">
      <c r="A3" s="147" t="s">
        <v>350</v>
      </c>
      <c r="B3" s="147" t="s">
        <v>467</v>
      </c>
      <c r="C3" s="147" t="s">
        <v>95</v>
      </c>
      <c r="D3" s="147" t="s">
        <v>391</v>
      </c>
      <c r="E3" s="148">
        <v>72</v>
      </c>
      <c r="F3" s="148">
        <v>56</v>
      </c>
      <c r="G3" s="148">
        <f>E3*60+F3</f>
        <v>4376</v>
      </c>
      <c r="H3" s="148"/>
      <c r="I3" s="148" t="s">
        <v>440</v>
      </c>
      <c r="J3" s="524" t="s">
        <v>1125</v>
      </c>
      <c r="K3" s="148" t="s">
        <v>418</v>
      </c>
      <c r="L3" s="148" t="s">
        <v>1057</v>
      </c>
      <c r="M3" s="148">
        <v>235</v>
      </c>
      <c r="N3" s="14">
        <v>4376</v>
      </c>
      <c r="O3" s="926">
        <v>90512</v>
      </c>
      <c r="P3" s="14">
        <f>N3/60*M3*1.2</f>
        <v>20567.2</v>
      </c>
      <c r="Q3" s="652">
        <v>46150</v>
      </c>
      <c r="R3" s="653">
        <v>73</v>
      </c>
      <c r="S3" s="654">
        <v>73</v>
      </c>
      <c r="T3" s="653">
        <v>11.3</v>
      </c>
      <c r="U3" s="654">
        <v>4391.3</v>
      </c>
      <c r="V3" s="900">
        <f>U3-N3</f>
        <v>15.300000000000182</v>
      </c>
    </row>
    <row r="4" spans="1:22">
      <c r="A4" s="147" t="s">
        <v>468</v>
      </c>
      <c r="B4" s="147" t="s">
        <v>469</v>
      </c>
      <c r="C4" s="147" t="s">
        <v>1123</v>
      </c>
      <c r="D4" s="147" t="s">
        <v>391</v>
      </c>
      <c r="E4" s="148">
        <v>75</v>
      </c>
      <c r="F4" s="148">
        <v>34</v>
      </c>
      <c r="G4" s="148">
        <f t="shared" ref="G4:G12" si="0">E4*60+F4</f>
        <v>4534</v>
      </c>
      <c r="H4" s="148"/>
      <c r="I4" s="148" t="s">
        <v>440</v>
      </c>
      <c r="J4" s="525" t="s">
        <v>443</v>
      </c>
      <c r="K4" s="148" t="s">
        <v>418</v>
      </c>
      <c r="L4" s="148" t="s">
        <v>1057</v>
      </c>
      <c r="M4" s="148">
        <v>235</v>
      </c>
      <c r="N4" s="14">
        <v>4534</v>
      </c>
      <c r="O4" s="926">
        <v>90512</v>
      </c>
      <c r="P4" s="14">
        <f t="shared" ref="P4:P12" si="1">N4/60*M4*1.2</f>
        <v>21309.799999999996</v>
      </c>
      <c r="Q4" s="652">
        <v>46141</v>
      </c>
      <c r="R4" s="653">
        <v>76</v>
      </c>
      <c r="S4" s="654">
        <v>75</v>
      </c>
      <c r="T4" s="653">
        <v>25.6</v>
      </c>
      <c r="U4" s="654">
        <v>4525.6000000000004</v>
      </c>
      <c r="V4" s="900">
        <f t="shared" ref="V4:V12" si="2">U4-N4</f>
        <v>-8.3999999999996362</v>
      </c>
    </row>
    <row r="5" spans="1:22">
      <c r="A5" s="147" t="s">
        <v>470</v>
      </c>
      <c r="B5" s="147" t="s">
        <v>471</v>
      </c>
      <c r="C5" s="147" t="s">
        <v>102</v>
      </c>
      <c r="D5" s="147" t="s">
        <v>391</v>
      </c>
      <c r="E5" s="148">
        <v>27</v>
      </c>
      <c r="F5" s="148">
        <v>24</v>
      </c>
      <c r="G5" s="148">
        <f t="shared" si="0"/>
        <v>1644</v>
      </c>
      <c r="H5" s="148"/>
      <c r="I5" s="148" t="s">
        <v>440</v>
      </c>
      <c r="J5" s="525" t="s">
        <v>1126</v>
      </c>
      <c r="K5" s="148" t="s">
        <v>418</v>
      </c>
      <c r="L5" s="148" t="s">
        <v>1057</v>
      </c>
      <c r="M5" s="148">
        <v>235</v>
      </c>
      <c r="N5" s="14">
        <v>1644</v>
      </c>
      <c r="O5" s="926">
        <v>90512</v>
      </c>
      <c r="P5" s="14">
        <f t="shared" si="1"/>
        <v>7726.7999999999993</v>
      </c>
      <c r="Q5" s="651">
        <v>46141</v>
      </c>
      <c r="R5" s="230">
        <v>28</v>
      </c>
      <c r="S5" s="231">
        <v>27</v>
      </c>
      <c r="T5" s="230">
        <v>30.8</v>
      </c>
      <c r="U5" s="231">
        <v>1650.8</v>
      </c>
      <c r="V5" s="900">
        <f t="shared" si="2"/>
        <v>6.7999999999999545</v>
      </c>
    </row>
    <row r="6" spans="1:22">
      <c r="A6" s="147" t="s">
        <v>472</v>
      </c>
      <c r="B6" s="147" t="s">
        <v>473</v>
      </c>
      <c r="C6" s="147" t="s">
        <v>87</v>
      </c>
      <c r="D6" s="147" t="s">
        <v>391</v>
      </c>
      <c r="E6" s="148">
        <v>59</v>
      </c>
      <c r="F6" s="148">
        <v>42</v>
      </c>
      <c r="G6" s="148">
        <f t="shared" si="0"/>
        <v>3582</v>
      </c>
      <c r="H6" s="148"/>
      <c r="I6" s="148" t="s">
        <v>440</v>
      </c>
      <c r="J6" s="525" t="s">
        <v>1127</v>
      </c>
      <c r="K6" s="148" t="s">
        <v>418</v>
      </c>
      <c r="L6" s="148" t="s">
        <v>1057</v>
      </c>
      <c r="M6" s="148">
        <v>235</v>
      </c>
      <c r="N6" s="14">
        <v>3582</v>
      </c>
      <c r="O6" s="926">
        <v>90512</v>
      </c>
      <c r="P6" s="14">
        <f t="shared" si="1"/>
        <v>16835.399999999998</v>
      </c>
      <c r="Q6" s="651">
        <v>46141</v>
      </c>
      <c r="R6" s="230">
        <v>60</v>
      </c>
      <c r="S6" s="231">
        <v>59</v>
      </c>
      <c r="T6" s="230">
        <v>53</v>
      </c>
      <c r="U6" s="231">
        <v>3593</v>
      </c>
      <c r="V6" s="900">
        <f t="shared" si="2"/>
        <v>11</v>
      </c>
    </row>
    <row r="7" spans="1:22">
      <c r="A7" s="147" t="s">
        <v>474</v>
      </c>
      <c r="B7" s="147" t="s">
        <v>475</v>
      </c>
      <c r="C7" s="147" t="s">
        <v>102</v>
      </c>
      <c r="D7" s="147" t="s">
        <v>391</v>
      </c>
      <c r="E7" s="148">
        <v>49</v>
      </c>
      <c r="F7" s="148">
        <v>53</v>
      </c>
      <c r="G7" s="148">
        <f t="shared" si="0"/>
        <v>2993</v>
      </c>
      <c r="H7" s="148"/>
      <c r="I7" s="148" t="s">
        <v>440</v>
      </c>
      <c r="J7" s="525" t="s">
        <v>1125</v>
      </c>
      <c r="K7" s="148" t="s">
        <v>418</v>
      </c>
      <c r="L7" s="148" t="s">
        <v>1057</v>
      </c>
      <c r="M7" s="148">
        <v>235</v>
      </c>
      <c r="N7" s="14">
        <v>2993</v>
      </c>
      <c r="O7" s="926">
        <v>90512</v>
      </c>
      <c r="P7" s="14">
        <f t="shared" si="1"/>
        <v>14067.1</v>
      </c>
      <c r="Q7" s="651">
        <v>46142</v>
      </c>
      <c r="R7" s="230">
        <v>50</v>
      </c>
      <c r="S7" s="231">
        <v>49</v>
      </c>
      <c r="T7" s="230">
        <v>50</v>
      </c>
      <c r="U7" s="231">
        <v>2990</v>
      </c>
      <c r="V7" s="900">
        <f t="shared" si="2"/>
        <v>-3</v>
      </c>
    </row>
    <row r="8" spans="1:22">
      <c r="A8" s="147" t="s">
        <v>476</v>
      </c>
      <c r="B8" s="147" t="s">
        <v>477</v>
      </c>
      <c r="C8" s="147" t="s">
        <v>95</v>
      </c>
      <c r="D8" s="147" t="s">
        <v>391</v>
      </c>
      <c r="E8" s="148">
        <v>70</v>
      </c>
      <c r="F8" s="148">
        <v>65</v>
      </c>
      <c r="G8" s="148">
        <f t="shared" si="0"/>
        <v>4265</v>
      </c>
      <c r="H8" s="148"/>
      <c r="I8" s="148" t="s">
        <v>440</v>
      </c>
      <c r="J8" s="525" t="s">
        <v>443</v>
      </c>
      <c r="K8" s="148" t="s">
        <v>418</v>
      </c>
      <c r="L8" s="148" t="s">
        <v>1057</v>
      </c>
      <c r="M8" s="148">
        <v>235</v>
      </c>
      <c r="N8" s="14">
        <v>4265</v>
      </c>
      <c r="O8" s="926">
        <v>90512</v>
      </c>
      <c r="P8" s="14">
        <f t="shared" si="1"/>
        <v>20045.499999999996</v>
      </c>
      <c r="Q8" s="651">
        <v>46142</v>
      </c>
      <c r="R8" s="230">
        <v>71</v>
      </c>
      <c r="S8" s="231">
        <v>71</v>
      </c>
      <c r="T8" s="230">
        <v>17.100000000000001</v>
      </c>
      <c r="U8" s="231">
        <v>4277.1000000000004</v>
      </c>
      <c r="V8" s="900">
        <f t="shared" si="2"/>
        <v>12.100000000000364</v>
      </c>
    </row>
    <row r="9" spans="1:22">
      <c r="A9" s="147" t="s">
        <v>478</v>
      </c>
      <c r="B9" s="147" t="s">
        <v>479</v>
      </c>
      <c r="C9" s="147" t="s">
        <v>97</v>
      </c>
      <c r="D9" s="147" t="s">
        <v>391</v>
      </c>
      <c r="E9" s="148">
        <v>53</v>
      </c>
      <c r="F9" s="148">
        <v>25</v>
      </c>
      <c r="G9" s="148">
        <f t="shared" si="0"/>
        <v>3205</v>
      </c>
      <c r="H9" s="148"/>
      <c r="I9" s="148" t="s">
        <v>440</v>
      </c>
      <c r="J9" s="525" t="s">
        <v>443</v>
      </c>
      <c r="K9" s="148" t="s">
        <v>418</v>
      </c>
      <c r="L9" s="148" t="s">
        <v>1057</v>
      </c>
      <c r="M9" s="148">
        <v>235</v>
      </c>
      <c r="N9" s="14">
        <v>3205</v>
      </c>
      <c r="O9" s="926">
        <v>90512</v>
      </c>
      <c r="P9" s="14">
        <f t="shared" si="1"/>
        <v>15063.499999999998</v>
      </c>
      <c r="Q9" s="651">
        <v>46141</v>
      </c>
      <c r="R9" s="230">
        <v>54</v>
      </c>
      <c r="S9" s="231">
        <v>53</v>
      </c>
      <c r="T9" s="230">
        <v>27.4</v>
      </c>
      <c r="U9" s="231">
        <v>3207.4</v>
      </c>
      <c r="V9" s="900">
        <f t="shared" si="2"/>
        <v>2.4000000000000909</v>
      </c>
    </row>
    <row r="10" spans="1:22">
      <c r="A10" s="147" t="s">
        <v>480</v>
      </c>
      <c r="B10" s="147" t="s">
        <v>481</v>
      </c>
      <c r="C10" s="147" t="s">
        <v>87</v>
      </c>
      <c r="D10" s="147" t="s">
        <v>391</v>
      </c>
      <c r="E10" s="148">
        <v>60</v>
      </c>
      <c r="F10" s="148">
        <v>40</v>
      </c>
      <c r="G10" s="148">
        <f t="shared" si="0"/>
        <v>3640</v>
      </c>
      <c r="H10" s="148"/>
      <c r="I10" s="148" t="s">
        <v>440</v>
      </c>
      <c r="J10" s="525" t="s">
        <v>1125</v>
      </c>
      <c r="K10" s="148" t="s">
        <v>418</v>
      </c>
      <c r="L10" s="148" t="s">
        <v>1057</v>
      </c>
      <c r="M10" s="148">
        <v>235</v>
      </c>
      <c r="N10" s="14">
        <v>3640</v>
      </c>
      <c r="O10" s="926">
        <v>90512</v>
      </c>
      <c r="P10" s="14">
        <f t="shared" si="1"/>
        <v>17108</v>
      </c>
      <c r="Q10" s="651">
        <v>46142</v>
      </c>
      <c r="R10" s="230">
        <v>61</v>
      </c>
      <c r="S10" s="231">
        <v>60</v>
      </c>
      <c r="T10" s="230">
        <v>46.1</v>
      </c>
      <c r="U10" s="231">
        <v>3646.1</v>
      </c>
      <c r="V10" s="900">
        <f t="shared" si="2"/>
        <v>6.0999999999999091</v>
      </c>
    </row>
    <row r="11" spans="1:22">
      <c r="A11" s="147" t="s">
        <v>482</v>
      </c>
      <c r="B11" s="147" t="s">
        <v>483</v>
      </c>
      <c r="C11" s="147" t="s">
        <v>95</v>
      </c>
      <c r="D11" s="147" t="s">
        <v>391</v>
      </c>
      <c r="E11" s="148">
        <v>61</v>
      </c>
      <c r="F11" s="148">
        <v>38</v>
      </c>
      <c r="G11" s="148">
        <f t="shared" si="0"/>
        <v>3698</v>
      </c>
      <c r="H11" s="148"/>
      <c r="I11" s="148" t="s">
        <v>440</v>
      </c>
      <c r="J11" s="525" t="s">
        <v>1125</v>
      </c>
      <c r="K11" s="148" t="s">
        <v>418</v>
      </c>
      <c r="L11" s="148" t="s">
        <v>1057</v>
      </c>
      <c r="M11" s="148">
        <v>235</v>
      </c>
      <c r="N11" s="14">
        <v>3698</v>
      </c>
      <c r="O11" s="926">
        <v>90512</v>
      </c>
      <c r="P11" s="14">
        <f t="shared" si="1"/>
        <v>17380.599999999999</v>
      </c>
      <c r="Q11" s="651">
        <v>46142</v>
      </c>
      <c r="R11" s="230">
        <v>62</v>
      </c>
      <c r="S11" s="231">
        <v>61</v>
      </c>
      <c r="T11" s="230">
        <v>43.2</v>
      </c>
      <c r="U11" s="231">
        <v>3703.2</v>
      </c>
      <c r="V11" s="900">
        <f t="shared" si="2"/>
        <v>5.1999999999998181</v>
      </c>
    </row>
    <row r="12" spans="1:22">
      <c r="A12" s="147" t="s">
        <v>484</v>
      </c>
      <c r="B12" s="147" t="s">
        <v>485</v>
      </c>
      <c r="C12" s="147" t="s">
        <v>845</v>
      </c>
      <c r="D12" s="147" t="s">
        <v>391</v>
      </c>
      <c r="E12" s="148">
        <v>25</v>
      </c>
      <c r="F12" s="148">
        <v>13</v>
      </c>
      <c r="G12" s="148">
        <f t="shared" si="0"/>
        <v>1513</v>
      </c>
      <c r="H12" s="148"/>
      <c r="I12" s="148" t="s">
        <v>440</v>
      </c>
      <c r="J12" s="525" t="s">
        <v>1125</v>
      </c>
      <c r="K12" s="148" t="s">
        <v>418</v>
      </c>
      <c r="L12" s="148" t="s">
        <v>1057</v>
      </c>
      <c r="M12" s="148">
        <v>235</v>
      </c>
      <c r="N12" s="14">
        <v>1513</v>
      </c>
      <c r="O12" s="926">
        <v>90512</v>
      </c>
      <c r="P12" s="14">
        <f t="shared" si="1"/>
        <v>7111.0999999999995</v>
      </c>
      <c r="Q12" s="651">
        <v>46142</v>
      </c>
      <c r="R12" s="230">
        <v>26</v>
      </c>
      <c r="S12" s="231">
        <v>25</v>
      </c>
      <c r="T12" s="230">
        <v>3.6</v>
      </c>
      <c r="U12" s="231">
        <v>1503.6</v>
      </c>
      <c r="V12" s="900">
        <f t="shared" si="2"/>
        <v>-9.4000000000000909</v>
      </c>
    </row>
    <row r="13" spans="1:22">
      <c r="A13" s="150" t="s">
        <v>487</v>
      </c>
      <c r="E13" s="17">
        <f>G13/60</f>
        <v>557.5</v>
      </c>
      <c r="F13" s="17"/>
      <c r="G13" s="149">
        <f>SUM(G3:G12)</f>
        <v>33450</v>
      </c>
      <c r="H13" s="523"/>
      <c r="I13" s="523"/>
      <c r="J13" s="523"/>
      <c r="K13" s="523"/>
      <c r="L13" s="523"/>
      <c r="M13" s="17"/>
      <c r="N13">
        <f>SUM(N3:N12)</f>
        <v>33450</v>
      </c>
      <c r="P13" s="17">
        <f>SUM(P3:P12)</f>
        <v>157215</v>
      </c>
      <c r="U13" s="900">
        <f>SUM(U3:U12)</f>
        <v>33488.100000000006</v>
      </c>
      <c r="V13" s="900">
        <f>SUM(V3:V12)</f>
        <v>38.100000000000591</v>
      </c>
    </row>
    <row r="16" spans="1:22">
      <c r="U16">
        <f>SUM(U14:U15)</f>
        <v>0</v>
      </c>
    </row>
    <row r="23" spans="8:8">
      <c r="H23" t="s">
        <v>1375</v>
      </c>
    </row>
    <row r="24" spans="8:8">
      <c r="H24" s="148">
        <v>350</v>
      </c>
    </row>
    <row r="25" spans="8:8">
      <c r="H25" s="148">
        <v>235</v>
      </c>
    </row>
    <row r="29" spans="8:8">
      <c r="H29">
        <v>235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autoFilter ref="A2:N2" xr:uid="{51C9AAB8-4494-47E8-81B6-30DA83F0A534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00F5-AB9F-474D-908A-105648EF2C53}">
  <sheetPr filterMode="1"/>
  <dimension ref="A1:V95"/>
  <sheetViews>
    <sheetView workbookViewId="0">
      <selection activeCell="H30" sqref="A1:V95"/>
    </sheetView>
  </sheetViews>
  <sheetFormatPr defaultRowHeight="14.5"/>
  <cols>
    <col min="1" max="1" width="10.1796875" customWidth="1"/>
    <col min="2" max="2" width="23.1796875" customWidth="1"/>
    <col min="3" max="3" width="11" customWidth="1"/>
    <col min="6" max="6" width="8.81640625" customWidth="1"/>
    <col min="9" max="9" width="21" bestFit="1" customWidth="1"/>
    <col min="10" max="10" width="14.36328125" bestFit="1" customWidth="1"/>
    <col min="11" max="11" width="14.54296875" style="928" bestFit="1" customWidth="1"/>
    <col min="12" max="12" width="15.54296875" customWidth="1"/>
    <col min="13" max="13" width="18.81640625" customWidth="1"/>
    <col min="14" max="14" width="18.1796875" customWidth="1"/>
    <col min="15" max="15" width="8.81640625" style="16"/>
    <col min="16" max="16" width="20.54296875" bestFit="1" customWidth="1"/>
  </cols>
  <sheetData>
    <row r="1" spans="1:21" ht="18.5">
      <c r="A1" s="139"/>
      <c r="B1" s="139" t="s">
        <v>412</v>
      </c>
      <c r="C1" s="139" t="s">
        <v>1063</v>
      </c>
      <c r="D1" s="139" t="s">
        <v>81</v>
      </c>
      <c r="E1" s="139" t="s">
        <v>33</v>
      </c>
      <c r="F1" s="139" t="s">
        <v>82</v>
      </c>
      <c r="G1" s="139" t="s">
        <v>413</v>
      </c>
      <c r="H1" s="139"/>
      <c r="I1" s="139" t="s">
        <v>346</v>
      </c>
      <c r="J1" s="139" t="s">
        <v>4</v>
      </c>
      <c r="K1" s="927" t="s">
        <v>1</v>
      </c>
      <c r="L1" s="139" t="s">
        <v>414</v>
      </c>
      <c r="M1" s="139" t="s">
        <v>415</v>
      </c>
      <c r="N1" s="139" t="s">
        <v>28</v>
      </c>
      <c r="O1" s="145" t="s">
        <v>29</v>
      </c>
      <c r="P1" s="476" t="s">
        <v>824</v>
      </c>
      <c r="Q1" s="476" t="s">
        <v>33</v>
      </c>
      <c r="R1" s="476" t="s">
        <v>82</v>
      </c>
      <c r="S1" s="476" t="s">
        <v>825</v>
      </c>
    </row>
    <row r="2" spans="1:21">
      <c r="A2" s="140">
        <v>46087</v>
      </c>
      <c r="B2" s="13" t="s">
        <v>416</v>
      </c>
      <c r="C2" s="13" t="s">
        <v>417</v>
      </c>
      <c r="D2" s="13" t="s">
        <v>51</v>
      </c>
      <c r="E2" s="141">
        <v>30</v>
      </c>
      <c r="F2" s="141">
        <v>66</v>
      </c>
      <c r="G2" s="141">
        <v>1866</v>
      </c>
      <c r="H2" s="141"/>
      <c r="I2" s="142">
        <f t="shared" ref="I2:I18" si="0">+G2/60</f>
        <v>31.1</v>
      </c>
      <c r="J2" s="13" t="s">
        <v>60</v>
      </c>
      <c r="K2" s="929">
        <v>90504</v>
      </c>
      <c r="L2" s="13" t="s">
        <v>418</v>
      </c>
      <c r="M2" s="13" t="s">
        <v>419</v>
      </c>
      <c r="N2" s="13" t="s">
        <v>420</v>
      </c>
      <c r="O2" s="11">
        <v>200</v>
      </c>
      <c r="P2" s="344">
        <v>31</v>
      </c>
      <c r="Q2" s="344">
        <v>31</v>
      </c>
      <c r="R2" s="344">
        <v>6</v>
      </c>
      <c r="S2" s="479">
        <v>1866</v>
      </c>
    </row>
    <row r="3" spans="1:21">
      <c r="A3" s="140">
        <v>46087</v>
      </c>
      <c r="B3" s="13" t="s">
        <v>416</v>
      </c>
      <c r="C3" s="13" t="s">
        <v>417</v>
      </c>
      <c r="D3" s="13" t="s">
        <v>52</v>
      </c>
      <c r="E3" s="141">
        <v>6</v>
      </c>
      <c r="F3" s="141">
        <v>11</v>
      </c>
      <c r="G3" s="141">
        <v>371</v>
      </c>
      <c r="H3" s="141"/>
      <c r="I3" s="142">
        <f t="shared" si="0"/>
        <v>6.1833333333333336</v>
      </c>
      <c r="J3" s="13" t="s">
        <v>421</v>
      </c>
      <c r="K3" s="929">
        <v>90504</v>
      </c>
      <c r="L3" s="13" t="s">
        <v>418</v>
      </c>
      <c r="M3" s="13" t="s">
        <v>422</v>
      </c>
      <c r="N3" s="13" t="s">
        <v>421</v>
      </c>
      <c r="O3" s="11">
        <v>140</v>
      </c>
      <c r="P3" s="344">
        <v>7</v>
      </c>
      <c r="Q3" s="344">
        <v>6</v>
      </c>
      <c r="R3" s="344">
        <v>11</v>
      </c>
      <c r="S3" s="479">
        <v>371</v>
      </c>
    </row>
    <row r="4" spans="1:21">
      <c r="A4" s="140">
        <v>46087</v>
      </c>
      <c r="B4" s="13" t="s">
        <v>416</v>
      </c>
      <c r="C4" s="13" t="s">
        <v>423</v>
      </c>
      <c r="D4" s="13" t="s">
        <v>51</v>
      </c>
      <c r="E4" s="141">
        <v>2</v>
      </c>
      <c r="F4" s="141">
        <v>27</v>
      </c>
      <c r="G4" s="141">
        <v>147</v>
      </c>
      <c r="H4" s="141"/>
      <c r="I4" s="142">
        <f t="shared" si="0"/>
        <v>2.4500000000000002</v>
      </c>
      <c r="J4" s="13" t="s">
        <v>356</v>
      </c>
      <c r="K4" s="929">
        <v>90503</v>
      </c>
      <c r="L4" s="13" t="s">
        <v>354</v>
      </c>
      <c r="M4" s="13" t="s">
        <v>424</v>
      </c>
      <c r="N4" s="13"/>
      <c r="O4" s="11">
        <v>306</v>
      </c>
      <c r="P4" s="477">
        <v>3</v>
      </c>
      <c r="Q4" s="478">
        <v>2</v>
      </c>
      <c r="R4" s="477">
        <v>27.3</v>
      </c>
      <c r="S4" s="480">
        <v>147.30000000000001</v>
      </c>
    </row>
    <row r="5" spans="1:21">
      <c r="A5" s="140">
        <v>46087</v>
      </c>
      <c r="B5" s="13" t="s">
        <v>416</v>
      </c>
      <c r="C5" s="13" t="s">
        <v>423</v>
      </c>
      <c r="D5" s="13" t="s">
        <v>52</v>
      </c>
      <c r="E5" s="141">
        <v>0</v>
      </c>
      <c r="F5" s="141">
        <v>32</v>
      </c>
      <c r="G5" s="141">
        <v>32</v>
      </c>
      <c r="H5" s="141"/>
      <c r="I5" s="142">
        <f t="shared" si="0"/>
        <v>0.53333333333333333</v>
      </c>
      <c r="J5" s="13" t="s">
        <v>355</v>
      </c>
      <c r="K5" s="929">
        <v>90504</v>
      </c>
      <c r="L5" s="13" t="s">
        <v>418</v>
      </c>
      <c r="M5" s="13" t="s">
        <v>422</v>
      </c>
      <c r="N5" s="13"/>
      <c r="O5" s="11">
        <v>140</v>
      </c>
      <c r="P5" s="344">
        <v>1</v>
      </c>
      <c r="Q5" s="344">
        <v>0</v>
      </c>
      <c r="R5" s="344">
        <v>32</v>
      </c>
      <c r="S5" s="479">
        <v>32</v>
      </c>
    </row>
    <row r="6" spans="1:21">
      <c r="A6" s="140">
        <v>46087</v>
      </c>
      <c r="B6" s="13" t="s">
        <v>416</v>
      </c>
      <c r="C6" s="13" t="s">
        <v>425</v>
      </c>
      <c r="D6" s="13" t="s">
        <v>42</v>
      </c>
      <c r="E6" s="141">
        <v>5</v>
      </c>
      <c r="F6" s="141">
        <v>65</v>
      </c>
      <c r="G6" s="141">
        <v>365</v>
      </c>
      <c r="H6" s="141"/>
      <c r="I6" s="142">
        <f t="shared" si="0"/>
        <v>6.083333333333333</v>
      </c>
      <c r="J6" s="13" t="s">
        <v>356</v>
      </c>
      <c r="K6" s="929">
        <v>90503</v>
      </c>
      <c r="L6" s="13" t="s">
        <v>354</v>
      </c>
      <c r="M6" s="13" t="s">
        <v>426</v>
      </c>
      <c r="N6" s="13" t="s">
        <v>400</v>
      </c>
      <c r="O6" s="11">
        <v>323</v>
      </c>
      <c r="P6" s="477">
        <v>6</v>
      </c>
      <c r="Q6" s="478">
        <v>6</v>
      </c>
      <c r="R6" s="477">
        <v>6.6</v>
      </c>
      <c r="S6" s="480">
        <v>366.6</v>
      </c>
    </row>
    <row r="7" spans="1:21">
      <c r="A7" s="140">
        <v>46087</v>
      </c>
      <c r="B7" s="13" t="s">
        <v>416</v>
      </c>
      <c r="C7" s="13" t="s">
        <v>425</v>
      </c>
      <c r="D7" s="13" t="s">
        <v>43</v>
      </c>
      <c r="E7" s="141">
        <v>14</v>
      </c>
      <c r="F7" s="141">
        <v>66</v>
      </c>
      <c r="G7" s="141">
        <v>906</v>
      </c>
      <c r="H7" s="141"/>
      <c r="I7" s="142">
        <f t="shared" si="0"/>
        <v>15.1</v>
      </c>
      <c r="J7" s="13" t="s">
        <v>356</v>
      </c>
      <c r="K7" s="929">
        <v>90503</v>
      </c>
      <c r="L7" s="13" t="s">
        <v>354</v>
      </c>
      <c r="M7" s="13" t="s">
        <v>424</v>
      </c>
      <c r="N7" s="13" t="s">
        <v>400</v>
      </c>
      <c r="O7" s="11">
        <v>307</v>
      </c>
      <c r="P7" s="477">
        <v>15</v>
      </c>
      <c r="Q7" s="478">
        <v>15</v>
      </c>
      <c r="R7" s="477">
        <v>12.5</v>
      </c>
      <c r="S7" s="480">
        <v>912.5</v>
      </c>
    </row>
    <row r="8" spans="1:21">
      <c r="A8" s="140">
        <v>46087</v>
      </c>
      <c r="B8" s="13" t="s">
        <v>416</v>
      </c>
      <c r="C8" s="13" t="s">
        <v>425</v>
      </c>
      <c r="D8" s="13" t="s">
        <v>45</v>
      </c>
      <c r="E8" s="141">
        <v>6</v>
      </c>
      <c r="F8" s="141">
        <v>38</v>
      </c>
      <c r="G8" s="141">
        <v>398</v>
      </c>
      <c r="H8" s="141"/>
      <c r="I8" s="142">
        <f t="shared" si="0"/>
        <v>6.6333333333333337</v>
      </c>
      <c r="J8" s="13" t="s">
        <v>356</v>
      </c>
      <c r="K8" s="929">
        <v>90503</v>
      </c>
      <c r="L8" s="13" t="s">
        <v>354</v>
      </c>
      <c r="M8" s="13" t="s">
        <v>427</v>
      </c>
      <c r="N8" s="13" t="s">
        <v>400</v>
      </c>
      <c r="O8" s="11">
        <v>295</v>
      </c>
      <c r="P8" s="477">
        <v>7</v>
      </c>
      <c r="Q8" s="478">
        <v>6</v>
      </c>
      <c r="R8" s="477">
        <v>38.700000000000003</v>
      </c>
      <c r="S8" s="480">
        <v>398.7</v>
      </c>
    </row>
    <row r="9" spans="1:21">
      <c r="A9" s="140">
        <v>46087</v>
      </c>
      <c r="B9" s="13" t="s">
        <v>416</v>
      </c>
      <c r="C9" s="13" t="s">
        <v>425</v>
      </c>
      <c r="D9" s="13" t="s">
        <v>48</v>
      </c>
      <c r="E9" s="141">
        <v>0</v>
      </c>
      <c r="F9" s="141">
        <v>22</v>
      </c>
      <c r="G9" s="141">
        <v>22</v>
      </c>
      <c r="H9" s="141"/>
      <c r="I9" s="142">
        <f t="shared" si="0"/>
        <v>0.36666666666666664</v>
      </c>
      <c r="J9" s="13" t="s">
        <v>355</v>
      </c>
      <c r="K9" s="929">
        <v>90504</v>
      </c>
      <c r="L9" s="13" t="s">
        <v>418</v>
      </c>
      <c r="M9" s="13" t="s">
        <v>422</v>
      </c>
      <c r="N9" s="13" t="s">
        <v>428</v>
      </c>
      <c r="O9" s="11">
        <v>140</v>
      </c>
      <c r="P9" s="344">
        <v>1</v>
      </c>
      <c r="Q9" s="344">
        <v>0</v>
      </c>
      <c r="R9" s="344">
        <v>22</v>
      </c>
      <c r="S9" s="479">
        <v>22</v>
      </c>
    </row>
    <row r="10" spans="1:21">
      <c r="A10" s="140">
        <v>46087</v>
      </c>
      <c r="B10" s="13" t="s">
        <v>416</v>
      </c>
      <c r="C10" s="13" t="s">
        <v>425</v>
      </c>
      <c r="D10" s="13" t="s">
        <v>44</v>
      </c>
      <c r="E10" s="141">
        <v>2</v>
      </c>
      <c r="F10" s="141">
        <v>22</v>
      </c>
      <c r="G10" s="141">
        <v>142</v>
      </c>
      <c r="H10" s="141"/>
      <c r="I10" s="142">
        <f t="shared" si="0"/>
        <v>2.3666666666666667</v>
      </c>
      <c r="J10" s="13" t="s">
        <v>356</v>
      </c>
      <c r="K10" s="929">
        <v>90503</v>
      </c>
      <c r="L10" s="13" t="s">
        <v>354</v>
      </c>
      <c r="M10" s="13" t="s">
        <v>424</v>
      </c>
      <c r="N10" s="13" t="s">
        <v>400</v>
      </c>
      <c r="O10" s="11">
        <v>307</v>
      </c>
      <c r="P10" s="477">
        <v>3</v>
      </c>
      <c r="Q10" s="478">
        <v>2</v>
      </c>
      <c r="R10" s="477">
        <v>21.3</v>
      </c>
      <c r="S10" s="480">
        <v>141.30000000000001</v>
      </c>
    </row>
    <row r="11" spans="1:21">
      <c r="A11" s="140">
        <v>46087</v>
      </c>
      <c r="B11" s="13" t="s">
        <v>416</v>
      </c>
      <c r="C11" s="13" t="s">
        <v>425</v>
      </c>
      <c r="D11" s="13" t="s">
        <v>47</v>
      </c>
      <c r="E11" s="141">
        <v>3</v>
      </c>
      <c r="F11" s="141">
        <v>32</v>
      </c>
      <c r="G11" s="141">
        <v>212</v>
      </c>
      <c r="H11" s="141"/>
      <c r="I11" s="142">
        <f t="shared" si="0"/>
        <v>3.5333333333333332</v>
      </c>
      <c r="J11" s="13" t="s">
        <v>62</v>
      </c>
      <c r="K11" s="929">
        <v>90504</v>
      </c>
      <c r="L11" s="13" t="s">
        <v>418</v>
      </c>
      <c r="M11" s="13" t="s">
        <v>419</v>
      </c>
      <c r="N11" s="13"/>
      <c r="O11" s="11">
        <v>200</v>
      </c>
      <c r="P11" s="344">
        <v>4</v>
      </c>
      <c r="Q11" s="344">
        <v>3</v>
      </c>
      <c r="R11" s="344">
        <v>32</v>
      </c>
      <c r="S11" s="479">
        <v>212</v>
      </c>
    </row>
    <row r="12" spans="1:21">
      <c r="A12" s="140">
        <v>46087</v>
      </c>
      <c r="B12" s="13" t="s">
        <v>416</v>
      </c>
      <c r="C12" s="13" t="s">
        <v>425</v>
      </c>
      <c r="D12" s="13" t="s">
        <v>46</v>
      </c>
      <c r="E12" s="141">
        <v>2</v>
      </c>
      <c r="F12" s="141">
        <v>15</v>
      </c>
      <c r="G12" s="141">
        <v>135</v>
      </c>
      <c r="H12" s="141"/>
      <c r="I12" s="142">
        <f t="shared" si="0"/>
        <v>2.25</v>
      </c>
      <c r="J12" s="13" t="s">
        <v>60</v>
      </c>
      <c r="K12" s="929">
        <v>90504</v>
      </c>
      <c r="L12" s="13" t="s">
        <v>418</v>
      </c>
      <c r="M12" s="13" t="s">
        <v>418</v>
      </c>
      <c r="N12" s="13"/>
      <c r="O12" s="11">
        <v>260</v>
      </c>
      <c r="P12" s="344">
        <v>3</v>
      </c>
      <c r="Q12" s="344">
        <v>2</v>
      </c>
      <c r="R12" s="344">
        <v>15</v>
      </c>
      <c r="S12" s="479">
        <v>135</v>
      </c>
    </row>
    <row r="13" spans="1:21">
      <c r="A13" s="140">
        <v>46087</v>
      </c>
      <c r="B13" s="13" t="s">
        <v>416</v>
      </c>
      <c r="C13" s="13" t="s">
        <v>429</v>
      </c>
      <c r="D13" s="13" t="s">
        <v>44</v>
      </c>
      <c r="E13" s="141">
        <v>9</v>
      </c>
      <c r="F13" s="141">
        <v>37</v>
      </c>
      <c r="G13" s="141">
        <v>577</v>
      </c>
      <c r="H13" s="141"/>
      <c r="I13" s="142">
        <f t="shared" si="0"/>
        <v>9.6166666666666671</v>
      </c>
      <c r="J13" s="13" t="s">
        <v>54</v>
      </c>
      <c r="K13" s="929">
        <v>90503</v>
      </c>
      <c r="L13" s="13" t="s">
        <v>354</v>
      </c>
      <c r="M13" s="13" t="s">
        <v>430</v>
      </c>
      <c r="N13" s="13"/>
      <c r="O13" s="11">
        <v>330</v>
      </c>
      <c r="P13" s="477">
        <v>10</v>
      </c>
      <c r="Q13" s="478">
        <v>9</v>
      </c>
      <c r="R13" s="477">
        <v>40</v>
      </c>
      <c r="S13" s="480">
        <v>580</v>
      </c>
      <c r="U13">
        <f>SUM(U3:U12)</f>
        <v>0</v>
      </c>
    </row>
    <row r="14" spans="1:21">
      <c r="A14" s="140">
        <v>46087</v>
      </c>
      <c r="B14" s="13" t="s">
        <v>416</v>
      </c>
      <c r="C14" s="13" t="s">
        <v>429</v>
      </c>
      <c r="D14" s="13" t="s">
        <v>47</v>
      </c>
      <c r="E14" s="141">
        <v>5</v>
      </c>
      <c r="F14" s="141">
        <v>24</v>
      </c>
      <c r="G14" s="141">
        <v>324</v>
      </c>
      <c r="H14" s="141"/>
      <c r="I14" s="142">
        <f t="shared" si="0"/>
        <v>5.4</v>
      </c>
      <c r="J14" s="13" t="s">
        <v>60</v>
      </c>
      <c r="K14" s="929">
        <v>90504</v>
      </c>
      <c r="L14" s="13" t="s">
        <v>418</v>
      </c>
      <c r="M14" s="13" t="s">
        <v>418</v>
      </c>
      <c r="N14" s="13"/>
      <c r="O14" s="11">
        <v>260</v>
      </c>
      <c r="P14" s="344">
        <v>6</v>
      </c>
      <c r="Q14" s="344">
        <v>5</v>
      </c>
      <c r="R14" s="344">
        <v>24</v>
      </c>
      <c r="S14" s="479">
        <v>324</v>
      </c>
    </row>
    <row r="15" spans="1:21">
      <c r="A15" s="140">
        <v>46087</v>
      </c>
      <c r="B15" s="13" t="s">
        <v>416</v>
      </c>
      <c r="C15" s="13" t="s">
        <v>429</v>
      </c>
      <c r="D15" s="13" t="s">
        <v>46</v>
      </c>
      <c r="E15" s="141">
        <v>4</v>
      </c>
      <c r="F15" s="141">
        <v>39</v>
      </c>
      <c r="G15" s="141">
        <v>279</v>
      </c>
      <c r="H15" s="141"/>
      <c r="I15" s="142">
        <f t="shared" si="0"/>
        <v>4.6500000000000004</v>
      </c>
      <c r="J15" s="13" t="s">
        <v>356</v>
      </c>
      <c r="K15" s="929">
        <v>90503</v>
      </c>
      <c r="L15" s="13" t="s">
        <v>354</v>
      </c>
      <c r="M15" s="13" t="s">
        <v>424</v>
      </c>
      <c r="N15" s="13"/>
      <c r="O15" s="11">
        <v>306</v>
      </c>
      <c r="P15" s="477">
        <v>5</v>
      </c>
      <c r="Q15" s="478">
        <v>4</v>
      </c>
      <c r="R15" s="477">
        <v>40.5</v>
      </c>
      <c r="S15" s="480">
        <v>280.5</v>
      </c>
    </row>
    <row r="16" spans="1:21">
      <c r="A16" s="140">
        <v>46087</v>
      </c>
      <c r="B16" s="13" t="s">
        <v>416</v>
      </c>
      <c r="C16" s="13" t="s">
        <v>431</v>
      </c>
      <c r="D16" s="13" t="s">
        <v>44</v>
      </c>
      <c r="E16" s="141">
        <v>8</v>
      </c>
      <c r="F16" s="141">
        <v>14</v>
      </c>
      <c r="G16" s="141">
        <v>494</v>
      </c>
      <c r="H16" s="141"/>
      <c r="I16" s="142">
        <f t="shared" si="0"/>
        <v>8.2333333333333325</v>
      </c>
      <c r="J16" s="13" t="s">
        <v>56</v>
      </c>
      <c r="K16" s="929">
        <v>90503</v>
      </c>
      <c r="L16" s="13" t="s">
        <v>354</v>
      </c>
      <c r="M16" s="13" t="s">
        <v>430</v>
      </c>
      <c r="N16" s="13" t="s">
        <v>400</v>
      </c>
      <c r="O16" s="11">
        <v>330</v>
      </c>
      <c r="P16" s="477">
        <v>9</v>
      </c>
      <c r="Q16" s="478">
        <v>8</v>
      </c>
      <c r="R16" s="477">
        <v>16.899999999999999</v>
      </c>
      <c r="S16" s="480">
        <v>496.9</v>
      </c>
      <c r="U16">
        <f>SUM(U14:U15)</f>
        <v>0</v>
      </c>
    </row>
    <row r="17" spans="1:19">
      <c r="A17" s="140">
        <v>46087</v>
      </c>
      <c r="B17" s="13" t="s">
        <v>416</v>
      </c>
      <c r="C17" s="13" t="s">
        <v>431</v>
      </c>
      <c r="D17" s="13" t="s">
        <v>47</v>
      </c>
      <c r="E17" s="141">
        <v>4</v>
      </c>
      <c r="F17" s="141">
        <v>30</v>
      </c>
      <c r="G17" s="141">
        <v>270</v>
      </c>
      <c r="H17" s="141"/>
      <c r="I17" s="142">
        <f t="shared" si="0"/>
        <v>4.5</v>
      </c>
      <c r="J17" s="13" t="s">
        <v>356</v>
      </c>
      <c r="K17" s="929">
        <v>90503</v>
      </c>
      <c r="L17" s="13" t="s">
        <v>354</v>
      </c>
      <c r="M17" s="13" t="s">
        <v>424</v>
      </c>
      <c r="N17" s="13"/>
      <c r="O17" s="11">
        <v>306</v>
      </c>
      <c r="P17" s="477">
        <v>5</v>
      </c>
      <c r="Q17" s="478">
        <v>4</v>
      </c>
      <c r="R17" s="477">
        <v>31.5</v>
      </c>
      <c r="S17" s="480">
        <v>271.5</v>
      </c>
    </row>
    <row r="18" spans="1:19">
      <c r="A18" s="140">
        <v>46087</v>
      </c>
      <c r="B18" s="13" t="s">
        <v>416</v>
      </c>
      <c r="C18" s="13" t="s">
        <v>431</v>
      </c>
      <c r="D18" s="13" t="s">
        <v>46</v>
      </c>
      <c r="E18" s="141">
        <v>5</v>
      </c>
      <c r="F18" s="141">
        <v>47</v>
      </c>
      <c r="G18" s="141">
        <v>347</v>
      </c>
      <c r="H18" s="141"/>
      <c r="I18" s="142">
        <f t="shared" si="0"/>
        <v>5.7833333333333332</v>
      </c>
      <c r="J18" s="13" t="s">
        <v>60</v>
      </c>
      <c r="K18" s="929">
        <v>90504</v>
      </c>
      <c r="L18" s="13" t="s">
        <v>418</v>
      </c>
      <c r="M18" s="13" t="s">
        <v>418</v>
      </c>
      <c r="N18" s="13"/>
      <c r="O18" s="11">
        <v>260</v>
      </c>
      <c r="P18" s="344">
        <v>6</v>
      </c>
      <c r="Q18" s="344">
        <v>5</v>
      </c>
      <c r="R18" s="344">
        <v>47</v>
      </c>
      <c r="S18" s="479">
        <v>347</v>
      </c>
    </row>
    <row r="19" spans="1:19">
      <c r="A19" s="140">
        <v>46087</v>
      </c>
      <c r="B19" s="13" t="s">
        <v>432</v>
      </c>
      <c r="C19" s="13" t="s">
        <v>433</v>
      </c>
      <c r="D19" s="13" t="s">
        <v>42</v>
      </c>
      <c r="E19" s="141">
        <v>23</v>
      </c>
      <c r="F19" s="141">
        <v>47</v>
      </c>
      <c r="G19" s="141">
        <v>1427</v>
      </c>
      <c r="H19" s="141"/>
      <c r="I19" s="142"/>
      <c r="J19" s="13" t="s">
        <v>54</v>
      </c>
      <c r="K19" s="929">
        <v>90503</v>
      </c>
      <c r="L19" s="13" t="s">
        <v>354</v>
      </c>
      <c r="M19" s="13" t="s">
        <v>434</v>
      </c>
      <c r="N19" s="13"/>
      <c r="O19" s="11">
        <v>335</v>
      </c>
      <c r="P19" s="477">
        <v>24</v>
      </c>
      <c r="Q19" s="478">
        <v>23</v>
      </c>
      <c r="R19" s="477">
        <v>46.4</v>
      </c>
      <c r="S19" s="480">
        <v>1426.4</v>
      </c>
    </row>
    <row r="20" spans="1:19">
      <c r="A20" s="140">
        <v>46087</v>
      </c>
      <c r="B20" s="13" t="s">
        <v>432</v>
      </c>
      <c r="C20" s="13" t="s">
        <v>433</v>
      </c>
      <c r="D20" s="13" t="s">
        <v>43</v>
      </c>
      <c r="E20" s="141">
        <v>36</v>
      </c>
      <c r="F20" s="141">
        <v>28</v>
      </c>
      <c r="G20" s="141">
        <v>2188</v>
      </c>
      <c r="H20" s="141"/>
      <c r="I20" s="142"/>
      <c r="J20" s="13" t="s">
        <v>54</v>
      </c>
      <c r="K20" s="929">
        <v>90503</v>
      </c>
      <c r="L20" s="13" t="s">
        <v>354</v>
      </c>
      <c r="M20" s="13" t="s">
        <v>430</v>
      </c>
      <c r="N20" s="13"/>
      <c r="O20" s="11">
        <v>330</v>
      </c>
      <c r="P20" s="477">
        <v>38</v>
      </c>
      <c r="Q20" s="478">
        <v>36</v>
      </c>
      <c r="R20" s="477">
        <v>27.6</v>
      </c>
      <c r="S20" s="480">
        <v>2213.8000000000002</v>
      </c>
    </row>
    <row r="21" spans="1:19">
      <c r="A21" s="140">
        <v>46087</v>
      </c>
      <c r="B21" s="13" t="s">
        <v>432</v>
      </c>
      <c r="C21" s="13" t="s">
        <v>433</v>
      </c>
      <c r="D21" s="13" t="s">
        <v>45</v>
      </c>
      <c r="E21" s="141">
        <v>7</v>
      </c>
      <c r="F21" s="141">
        <v>48</v>
      </c>
      <c r="G21" s="141">
        <v>468</v>
      </c>
      <c r="H21" s="141"/>
      <c r="I21" s="142">
        <f t="shared" ref="I21:I37" si="1">+G21/60</f>
        <v>7.8</v>
      </c>
      <c r="J21" s="13" t="s">
        <v>54</v>
      </c>
      <c r="K21" s="929">
        <v>90503</v>
      </c>
      <c r="L21" s="13" t="s">
        <v>354</v>
      </c>
      <c r="M21" s="13" t="s">
        <v>435</v>
      </c>
      <c r="N21" s="13"/>
      <c r="O21" s="11">
        <v>310</v>
      </c>
      <c r="P21" s="477">
        <v>8</v>
      </c>
      <c r="Q21" s="478">
        <v>7</v>
      </c>
      <c r="R21" s="477">
        <v>48.8</v>
      </c>
      <c r="S21" s="480">
        <v>468.8</v>
      </c>
    </row>
    <row r="22" spans="1:19">
      <c r="A22" s="140">
        <v>46087</v>
      </c>
      <c r="B22" s="13" t="s">
        <v>432</v>
      </c>
      <c r="C22" s="13" t="s">
        <v>433</v>
      </c>
      <c r="D22" s="13" t="s">
        <v>48</v>
      </c>
      <c r="E22" s="141">
        <v>2</v>
      </c>
      <c r="F22" s="141">
        <v>68</v>
      </c>
      <c r="G22" s="141">
        <v>188</v>
      </c>
      <c r="H22" s="141"/>
      <c r="I22" s="142">
        <f t="shared" si="1"/>
        <v>3.1333333333333333</v>
      </c>
      <c r="J22" s="13" t="s">
        <v>59</v>
      </c>
      <c r="K22" s="929">
        <v>90504</v>
      </c>
      <c r="L22" s="13" t="s">
        <v>418</v>
      </c>
      <c r="M22" s="13" t="s">
        <v>436</v>
      </c>
      <c r="N22" s="13"/>
      <c r="O22" s="11">
        <v>267</v>
      </c>
      <c r="P22" s="344">
        <v>3</v>
      </c>
      <c r="Q22" s="344">
        <v>3</v>
      </c>
      <c r="R22" s="344">
        <v>8</v>
      </c>
      <c r="S22" s="479">
        <v>188</v>
      </c>
    </row>
    <row r="23" spans="1:19">
      <c r="A23" s="140">
        <v>46087</v>
      </c>
      <c r="B23" s="13" t="s">
        <v>432</v>
      </c>
      <c r="C23" s="13" t="s">
        <v>433</v>
      </c>
      <c r="D23" s="13" t="s">
        <v>44</v>
      </c>
      <c r="E23" s="141">
        <v>3</v>
      </c>
      <c r="F23" s="141">
        <v>59</v>
      </c>
      <c r="G23" s="141">
        <v>239</v>
      </c>
      <c r="H23" s="141" t="s">
        <v>1375</v>
      </c>
      <c r="I23" s="142">
        <f t="shared" si="1"/>
        <v>3.9833333333333334</v>
      </c>
      <c r="J23" s="13" t="s">
        <v>54</v>
      </c>
      <c r="K23" s="929">
        <v>90503</v>
      </c>
      <c r="L23" s="13" t="s">
        <v>354</v>
      </c>
      <c r="M23" s="13" t="s">
        <v>430</v>
      </c>
      <c r="N23" s="13"/>
      <c r="O23" s="11">
        <v>330</v>
      </c>
      <c r="P23" s="477">
        <v>4</v>
      </c>
      <c r="Q23" s="478">
        <v>3</v>
      </c>
      <c r="R23" s="477">
        <v>55.4</v>
      </c>
      <c r="S23" s="480">
        <v>235.4</v>
      </c>
    </row>
    <row r="24" spans="1:19">
      <c r="A24" s="140">
        <v>46087</v>
      </c>
      <c r="B24" s="13" t="s">
        <v>432</v>
      </c>
      <c r="C24" s="13" t="s">
        <v>433</v>
      </c>
      <c r="D24" s="13" t="s">
        <v>47</v>
      </c>
      <c r="E24" s="141">
        <v>4</v>
      </c>
      <c r="F24" s="141">
        <v>58</v>
      </c>
      <c r="G24" s="141">
        <v>298</v>
      </c>
      <c r="H24" s="13">
        <v>350</v>
      </c>
      <c r="I24" s="142">
        <f t="shared" si="1"/>
        <v>4.9666666666666668</v>
      </c>
      <c r="J24" s="13" t="s">
        <v>60</v>
      </c>
      <c r="K24" s="929">
        <v>90504</v>
      </c>
      <c r="L24" s="13" t="s">
        <v>418</v>
      </c>
      <c r="M24" s="13" t="s">
        <v>418</v>
      </c>
      <c r="N24" s="13"/>
      <c r="O24" s="11">
        <v>260</v>
      </c>
      <c r="P24" s="344">
        <v>5</v>
      </c>
      <c r="Q24" s="344">
        <v>4</v>
      </c>
      <c r="R24" s="344">
        <v>58</v>
      </c>
      <c r="S24" s="479">
        <v>298</v>
      </c>
    </row>
    <row r="25" spans="1:19">
      <c r="A25" s="140">
        <v>46087</v>
      </c>
      <c r="B25" s="13" t="s">
        <v>432</v>
      </c>
      <c r="C25" s="13" t="s">
        <v>433</v>
      </c>
      <c r="D25" s="13" t="s">
        <v>46</v>
      </c>
      <c r="E25" s="141">
        <v>2</v>
      </c>
      <c r="F25" s="141">
        <v>20</v>
      </c>
      <c r="G25" s="141">
        <v>140</v>
      </c>
      <c r="H25" s="13" t="s">
        <v>418</v>
      </c>
      <c r="I25" s="142">
        <f t="shared" si="1"/>
        <v>2.3333333333333335</v>
      </c>
      <c r="J25" s="13" t="s">
        <v>59</v>
      </c>
      <c r="K25" s="929">
        <v>90504</v>
      </c>
      <c r="L25" s="13" t="s">
        <v>418</v>
      </c>
      <c r="M25" s="13" t="s">
        <v>436</v>
      </c>
      <c r="N25" s="13"/>
      <c r="O25" s="11">
        <v>267</v>
      </c>
      <c r="P25" s="344">
        <v>3</v>
      </c>
      <c r="Q25" s="344">
        <v>2</v>
      </c>
      <c r="R25" s="344">
        <v>20</v>
      </c>
      <c r="S25" s="479">
        <v>140</v>
      </c>
    </row>
    <row r="26" spans="1:19">
      <c r="A26" s="140">
        <v>46087</v>
      </c>
      <c r="B26" s="13" t="s">
        <v>432</v>
      </c>
      <c r="C26" s="13" t="s">
        <v>437</v>
      </c>
      <c r="D26" s="13" t="s">
        <v>51</v>
      </c>
      <c r="E26" s="141">
        <v>3</v>
      </c>
      <c r="F26" s="141">
        <v>51</v>
      </c>
      <c r="G26" s="141">
        <v>231</v>
      </c>
      <c r="H26" s="141"/>
      <c r="I26" s="142">
        <f t="shared" si="1"/>
        <v>3.85</v>
      </c>
      <c r="J26" s="13" t="s">
        <v>57</v>
      </c>
      <c r="K26" s="929">
        <v>90503</v>
      </c>
      <c r="L26" s="13" t="s">
        <v>354</v>
      </c>
      <c r="M26" s="13" t="s">
        <v>424</v>
      </c>
      <c r="N26" s="13"/>
      <c r="O26" s="11">
        <v>306</v>
      </c>
      <c r="P26" s="477">
        <v>4</v>
      </c>
      <c r="Q26" s="478">
        <v>3</v>
      </c>
      <c r="R26" s="477">
        <v>45.4</v>
      </c>
      <c r="S26" s="480">
        <v>225.4</v>
      </c>
    </row>
    <row r="27" spans="1:19">
      <c r="A27" s="140">
        <v>46087</v>
      </c>
      <c r="B27" s="13" t="s">
        <v>432</v>
      </c>
      <c r="C27" s="13" t="s">
        <v>437</v>
      </c>
      <c r="D27" s="13" t="s">
        <v>52</v>
      </c>
      <c r="E27" s="141">
        <v>2</v>
      </c>
      <c r="F27" s="141">
        <v>33</v>
      </c>
      <c r="G27" s="141">
        <v>153</v>
      </c>
      <c r="H27" s="141" t="s">
        <v>418</v>
      </c>
      <c r="I27" s="142">
        <f t="shared" si="1"/>
        <v>2.5499999999999998</v>
      </c>
      <c r="J27" s="13" t="s">
        <v>59</v>
      </c>
      <c r="K27" s="929">
        <v>90504</v>
      </c>
      <c r="L27" s="13" t="s">
        <v>418</v>
      </c>
      <c r="M27" s="13" t="s">
        <v>436</v>
      </c>
      <c r="N27" s="13"/>
      <c r="O27" s="11">
        <v>267</v>
      </c>
      <c r="P27" s="344">
        <v>3</v>
      </c>
      <c r="Q27" s="344">
        <v>2</v>
      </c>
      <c r="R27" s="344">
        <v>33</v>
      </c>
      <c r="S27" s="479">
        <v>153</v>
      </c>
    </row>
    <row r="28" spans="1:19">
      <c r="A28" s="140">
        <v>46087</v>
      </c>
      <c r="B28" s="13" t="s">
        <v>416</v>
      </c>
      <c r="C28" s="13" t="s">
        <v>438</v>
      </c>
      <c r="D28" s="13" t="s">
        <v>42</v>
      </c>
      <c r="E28" s="141">
        <v>10</v>
      </c>
      <c r="F28" s="141">
        <v>24</v>
      </c>
      <c r="G28" s="141">
        <v>624</v>
      </c>
      <c r="H28" s="141" t="s">
        <v>424</v>
      </c>
      <c r="I28" s="142">
        <f t="shared" si="1"/>
        <v>10.4</v>
      </c>
      <c r="J28" s="13" t="s">
        <v>54</v>
      </c>
      <c r="K28" s="929">
        <v>90503</v>
      </c>
      <c r="L28" s="13" t="s">
        <v>354</v>
      </c>
      <c r="M28" s="13" t="s">
        <v>434</v>
      </c>
      <c r="N28" s="13"/>
      <c r="O28" s="11">
        <v>335</v>
      </c>
      <c r="P28" s="477">
        <v>11</v>
      </c>
      <c r="Q28" s="478">
        <v>10</v>
      </c>
      <c r="R28" s="477">
        <v>29.1</v>
      </c>
      <c r="S28" s="480">
        <v>629.1</v>
      </c>
    </row>
    <row r="29" spans="1:19">
      <c r="A29" s="140">
        <v>46087</v>
      </c>
      <c r="B29" s="13" t="s">
        <v>416</v>
      </c>
      <c r="C29" s="13" t="s">
        <v>438</v>
      </c>
      <c r="D29" s="13" t="s">
        <v>43</v>
      </c>
      <c r="E29" s="141">
        <v>43</v>
      </c>
      <c r="F29" s="141">
        <v>10</v>
      </c>
      <c r="G29" s="141">
        <v>2590</v>
      </c>
      <c r="H29" s="141" t="s">
        <v>426</v>
      </c>
      <c r="I29" s="142">
        <f t="shared" si="1"/>
        <v>43.166666666666664</v>
      </c>
      <c r="J29" s="13" t="s">
        <v>54</v>
      </c>
      <c r="K29" s="929">
        <v>90503</v>
      </c>
      <c r="L29" s="13" t="s">
        <v>354</v>
      </c>
      <c r="M29" s="13" t="s">
        <v>430</v>
      </c>
      <c r="N29" s="13"/>
      <c r="O29" s="11">
        <v>330</v>
      </c>
      <c r="P29" s="477">
        <v>44</v>
      </c>
      <c r="Q29" s="478">
        <v>43</v>
      </c>
      <c r="R29" s="477">
        <v>28.4</v>
      </c>
      <c r="S29" s="480">
        <v>2608.4</v>
      </c>
    </row>
    <row r="30" spans="1:19">
      <c r="A30" s="140">
        <v>46087</v>
      </c>
      <c r="B30" s="13" t="s">
        <v>416</v>
      </c>
      <c r="C30" s="13" t="s">
        <v>438</v>
      </c>
      <c r="D30" s="13" t="s">
        <v>45</v>
      </c>
      <c r="E30" s="141">
        <v>13</v>
      </c>
      <c r="F30" s="141">
        <v>45</v>
      </c>
      <c r="G30" s="141">
        <v>825</v>
      </c>
      <c r="H30" s="141"/>
      <c r="I30" s="142">
        <f t="shared" si="1"/>
        <v>13.75</v>
      </c>
      <c r="J30" s="13" t="s">
        <v>54</v>
      </c>
      <c r="K30" s="929">
        <v>90503</v>
      </c>
      <c r="L30" s="13" t="s">
        <v>354</v>
      </c>
      <c r="M30" s="13" t="s">
        <v>435</v>
      </c>
      <c r="N30" s="13"/>
      <c r="O30" s="11">
        <v>310</v>
      </c>
      <c r="P30" s="477">
        <v>14</v>
      </c>
      <c r="Q30" s="478">
        <v>13</v>
      </c>
      <c r="R30" s="477">
        <v>51.4</v>
      </c>
      <c r="S30" s="480">
        <v>831.4</v>
      </c>
    </row>
    <row r="31" spans="1:19">
      <c r="A31" s="140">
        <v>46087</v>
      </c>
      <c r="B31" s="13" t="s">
        <v>416</v>
      </c>
      <c r="C31" s="13" t="s">
        <v>438</v>
      </c>
      <c r="D31" s="13" t="s">
        <v>48</v>
      </c>
      <c r="E31" s="141">
        <v>1</v>
      </c>
      <c r="F31" s="141">
        <v>10</v>
      </c>
      <c r="G31" s="141">
        <v>70</v>
      </c>
      <c r="H31" s="141"/>
      <c r="I31" s="142">
        <f t="shared" si="1"/>
        <v>1.1666666666666667</v>
      </c>
      <c r="J31" s="13" t="s">
        <v>60</v>
      </c>
      <c r="K31" s="929">
        <v>90504</v>
      </c>
      <c r="L31" s="13" t="s">
        <v>418</v>
      </c>
      <c r="M31" s="13" t="s">
        <v>418</v>
      </c>
      <c r="N31" s="13"/>
      <c r="O31" s="11">
        <v>260</v>
      </c>
      <c r="P31" s="344">
        <v>2</v>
      </c>
      <c r="Q31" s="344">
        <v>1</v>
      </c>
      <c r="R31" s="344">
        <v>10</v>
      </c>
      <c r="S31" s="479">
        <v>70</v>
      </c>
    </row>
    <row r="32" spans="1:19">
      <c r="A32" s="140">
        <v>46087</v>
      </c>
      <c r="B32" s="13" t="s">
        <v>416</v>
      </c>
      <c r="C32" s="13" t="s">
        <v>438</v>
      </c>
      <c r="D32" s="13" t="s">
        <v>44</v>
      </c>
      <c r="E32" s="141">
        <v>4</v>
      </c>
      <c r="F32" s="141">
        <v>17</v>
      </c>
      <c r="G32" s="141">
        <v>257</v>
      </c>
      <c r="H32" s="141"/>
      <c r="I32" s="142">
        <f t="shared" si="1"/>
        <v>4.2833333333333332</v>
      </c>
      <c r="J32" s="13" t="s">
        <v>54</v>
      </c>
      <c r="K32" s="929">
        <v>90503</v>
      </c>
      <c r="L32" s="13" t="s">
        <v>354</v>
      </c>
      <c r="M32" s="13" t="s">
        <v>430</v>
      </c>
      <c r="N32" s="13"/>
      <c r="O32" s="11">
        <v>330</v>
      </c>
      <c r="P32" s="477">
        <v>5</v>
      </c>
      <c r="Q32" s="478">
        <v>4</v>
      </c>
      <c r="R32" s="477">
        <v>17.5</v>
      </c>
      <c r="S32" s="480">
        <v>257.5</v>
      </c>
    </row>
    <row r="33" spans="1:19">
      <c r="A33" s="140">
        <v>46087</v>
      </c>
      <c r="B33" s="13" t="s">
        <v>416</v>
      </c>
      <c r="C33" s="13" t="s">
        <v>438</v>
      </c>
      <c r="D33" s="13" t="s">
        <v>47</v>
      </c>
      <c r="E33" s="141">
        <v>4</v>
      </c>
      <c r="F33" s="141">
        <v>20</v>
      </c>
      <c r="G33" s="141">
        <v>260</v>
      </c>
      <c r="H33" s="141"/>
      <c r="I33" s="142">
        <f t="shared" si="1"/>
        <v>4.333333333333333</v>
      </c>
      <c r="J33" s="13" t="s">
        <v>356</v>
      </c>
      <c r="K33" s="929">
        <v>90503</v>
      </c>
      <c r="L33" s="13" t="s">
        <v>354</v>
      </c>
      <c r="M33" s="13" t="s">
        <v>424</v>
      </c>
      <c r="N33" s="13"/>
      <c r="O33" s="11">
        <v>306</v>
      </c>
      <c r="P33" s="477">
        <v>5</v>
      </c>
      <c r="Q33" s="478">
        <v>4</v>
      </c>
      <c r="R33" s="477">
        <v>22.5</v>
      </c>
      <c r="S33" s="480">
        <v>262.5</v>
      </c>
    </row>
    <row r="34" spans="1:19">
      <c r="A34" s="140">
        <v>46087</v>
      </c>
      <c r="B34" s="13" t="s">
        <v>416</v>
      </c>
      <c r="C34" s="13" t="s">
        <v>438</v>
      </c>
      <c r="D34" s="13" t="s">
        <v>46</v>
      </c>
      <c r="E34" s="141">
        <v>4</v>
      </c>
      <c r="F34" s="141">
        <v>57</v>
      </c>
      <c r="G34" s="141">
        <v>297</v>
      </c>
      <c r="H34" s="141"/>
      <c r="I34" s="142">
        <f t="shared" si="1"/>
        <v>4.95</v>
      </c>
      <c r="J34" s="13" t="s">
        <v>356</v>
      </c>
      <c r="K34" s="929">
        <v>90503</v>
      </c>
      <c r="L34" s="13" t="s">
        <v>354</v>
      </c>
      <c r="M34" s="13" t="s">
        <v>424</v>
      </c>
      <c r="N34" s="13"/>
      <c r="O34" s="11">
        <v>306</v>
      </c>
      <c r="P34" s="477">
        <v>5</v>
      </c>
      <c r="Q34" s="478">
        <v>4</v>
      </c>
      <c r="R34" s="477">
        <v>59.5</v>
      </c>
      <c r="S34" s="480">
        <v>299.5</v>
      </c>
    </row>
    <row r="35" spans="1:19">
      <c r="A35" s="140">
        <v>46087</v>
      </c>
      <c r="B35" s="13" t="s">
        <v>416</v>
      </c>
      <c r="C35" s="13" t="s">
        <v>439</v>
      </c>
      <c r="D35" s="13" t="s">
        <v>391</v>
      </c>
      <c r="E35" s="141">
        <v>23</v>
      </c>
      <c r="F35" s="141">
        <v>34</v>
      </c>
      <c r="G35" s="141">
        <v>1414</v>
      </c>
      <c r="H35" s="141"/>
      <c r="I35" s="142">
        <f t="shared" si="1"/>
        <v>23.566666666666666</v>
      </c>
      <c r="J35" s="13" t="s">
        <v>440</v>
      </c>
      <c r="K35" s="929">
        <v>90504</v>
      </c>
      <c r="L35" s="13" t="s">
        <v>418</v>
      </c>
      <c r="M35" s="13" t="s">
        <v>391</v>
      </c>
      <c r="N35" s="13" t="s">
        <v>441</v>
      </c>
      <c r="O35" s="11">
        <v>240</v>
      </c>
      <c r="P35" s="344">
        <v>24</v>
      </c>
      <c r="Q35" s="344">
        <v>23</v>
      </c>
      <c r="R35" s="344">
        <v>34</v>
      </c>
      <c r="S35" s="479">
        <v>1414</v>
      </c>
    </row>
    <row r="36" spans="1:19">
      <c r="A36" s="140">
        <v>46087</v>
      </c>
      <c r="B36" s="13" t="s">
        <v>416</v>
      </c>
      <c r="C36" s="13" t="s">
        <v>439</v>
      </c>
      <c r="D36" s="13" t="s">
        <v>392</v>
      </c>
      <c r="E36" s="141">
        <v>5</v>
      </c>
      <c r="F36" s="141">
        <v>0</v>
      </c>
      <c r="G36" s="141">
        <v>300</v>
      </c>
      <c r="H36" s="141"/>
      <c r="I36" s="142">
        <f t="shared" si="1"/>
        <v>5</v>
      </c>
      <c r="J36" s="13" t="s">
        <v>442</v>
      </c>
      <c r="K36" s="929">
        <v>90504</v>
      </c>
      <c r="L36" s="13" t="s">
        <v>418</v>
      </c>
      <c r="M36" s="13" t="s">
        <v>392</v>
      </c>
      <c r="N36" s="13" t="s">
        <v>443</v>
      </c>
      <c r="O36" s="11">
        <v>240</v>
      </c>
      <c r="P36" s="344">
        <v>5</v>
      </c>
      <c r="Q36" s="344">
        <v>5</v>
      </c>
      <c r="R36" s="344">
        <v>0</v>
      </c>
      <c r="S36" s="479">
        <v>300</v>
      </c>
    </row>
    <row r="37" spans="1:19">
      <c r="A37" s="140">
        <v>46087</v>
      </c>
      <c r="B37" s="13" t="s">
        <v>416</v>
      </c>
      <c r="C37" s="13" t="s">
        <v>444</v>
      </c>
      <c r="D37" s="13" t="s">
        <v>42</v>
      </c>
      <c r="E37" s="141">
        <v>22</v>
      </c>
      <c r="F37" s="141">
        <v>25</v>
      </c>
      <c r="G37" s="141">
        <v>1345</v>
      </c>
      <c r="H37" s="141"/>
      <c r="I37" s="142">
        <f t="shared" si="1"/>
        <v>22.416666666666668</v>
      </c>
      <c r="J37" s="13" t="s">
        <v>54</v>
      </c>
      <c r="K37" s="929">
        <v>90503</v>
      </c>
      <c r="L37" s="13" t="s">
        <v>354</v>
      </c>
      <c r="M37" s="13" t="s">
        <v>434</v>
      </c>
      <c r="N37" s="13"/>
      <c r="O37" s="11">
        <v>335</v>
      </c>
      <c r="P37" s="477">
        <v>23</v>
      </c>
      <c r="Q37" s="478">
        <v>22</v>
      </c>
      <c r="R37" s="477">
        <v>34.299999999999997</v>
      </c>
      <c r="S37" s="480">
        <v>1354.3</v>
      </c>
    </row>
    <row r="38" spans="1:19">
      <c r="A38" s="140">
        <v>46087</v>
      </c>
      <c r="B38" s="13" t="s">
        <v>416</v>
      </c>
      <c r="C38" s="13" t="s">
        <v>444</v>
      </c>
      <c r="D38" s="13" t="s">
        <v>43</v>
      </c>
      <c r="E38" s="141">
        <v>67</v>
      </c>
      <c r="F38" s="141">
        <v>25</v>
      </c>
      <c r="G38" s="141">
        <v>4045</v>
      </c>
      <c r="H38" s="141"/>
      <c r="I38" s="142"/>
      <c r="J38" s="13" t="s">
        <v>54</v>
      </c>
      <c r="K38" s="929">
        <v>90503</v>
      </c>
      <c r="L38" s="13" t="s">
        <v>354</v>
      </c>
      <c r="M38" s="13" t="s">
        <v>430</v>
      </c>
      <c r="N38" s="13"/>
      <c r="O38" s="11">
        <v>330</v>
      </c>
      <c r="P38" s="477">
        <v>68</v>
      </c>
      <c r="Q38" s="478">
        <v>67</v>
      </c>
      <c r="R38" s="477">
        <v>51.8</v>
      </c>
      <c r="S38" s="480">
        <v>4071.8</v>
      </c>
    </row>
    <row r="39" spans="1:19">
      <c r="A39" s="140">
        <v>46087</v>
      </c>
      <c r="B39" s="13" t="s">
        <v>416</v>
      </c>
      <c r="C39" s="13" t="s">
        <v>444</v>
      </c>
      <c r="D39" s="13" t="s">
        <v>45</v>
      </c>
      <c r="E39" s="141">
        <v>22</v>
      </c>
      <c r="F39" s="141">
        <v>44</v>
      </c>
      <c r="G39" s="141">
        <v>1364</v>
      </c>
      <c r="H39" s="141"/>
      <c r="I39" s="142">
        <f t="shared" ref="I39:I51" si="2">+G39/60</f>
        <v>22.733333333333334</v>
      </c>
      <c r="J39" s="13" t="s">
        <v>54</v>
      </c>
      <c r="K39" s="929">
        <v>90503</v>
      </c>
      <c r="L39" s="13" t="s">
        <v>354</v>
      </c>
      <c r="M39" s="13" t="s">
        <v>435</v>
      </c>
      <c r="N39" s="13"/>
      <c r="O39" s="11">
        <v>310</v>
      </c>
      <c r="P39" s="477">
        <v>23</v>
      </c>
      <c r="Q39" s="478">
        <v>22</v>
      </c>
      <c r="R39" s="477">
        <v>58.3</v>
      </c>
      <c r="S39" s="480">
        <v>1378.3</v>
      </c>
    </row>
    <row r="40" spans="1:19" hidden="1">
      <c r="A40" s="140">
        <v>46087</v>
      </c>
      <c r="B40" s="13" t="s">
        <v>416</v>
      </c>
      <c r="C40" s="13" t="s">
        <v>444</v>
      </c>
      <c r="D40" s="13" t="s">
        <v>48</v>
      </c>
      <c r="E40" s="141">
        <v>0</v>
      </c>
      <c r="F40" s="141">
        <v>51</v>
      </c>
      <c r="G40" s="141">
        <v>51</v>
      </c>
      <c r="H40" s="141"/>
      <c r="I40" s="142">
        <f t="shared" si="2"/>
        <v>0.85</v>
      </c>
      <c r="J40" s="13" t="s">
        <v>63</v>
      </c>
      <c r="K40" s="929">
        <v>90504</v>
      </c>
      <c r="L40" s="13" t="s">
        <v>418</v>
      </c>
      <c r="M40" s="13" t="s">
        <v>419</v>
      </c>
      <c r="N40" s="13"/>
      <c r="O40" s="11">
        <v>260</v>
      </c>
      <c r="P40" s="344">
        <v>1</v>
      </c>
      <c r="Q40" s="344">
        <v>0</v>
      </c>
      <c r="R40" s="344">
        <v>51</v>
      </c>
      <c r="S40" s="479">
        <v>51</v>
      </c>
    </row>
    <row r="41" spans="1:19" hidden="1">
      <c r="A41" s="140">
        <v>46087</v>
      </c>
      <c r="B41" s="13" t="s">
        <v>416</v>
      </c>
      <c r="C41" s="13" t="s">
        <v>444</v>
      </c>
      <c r="D41" s="13" t="s">
        <v>44</v>
      </c>
      <c r="E41" s="141">
        <v>7</v>
      </c>
      <c r="F41" s="141">
        <v>28</v>
      </c>
      <c r="G41" s="141">
        <v>448</v>
      </c>
      <c r="H41" s="141"/>
      <c r="I41" s="142">
        <f t="shared" si="2"/>
        <v>7.4666666666666668</v>
      </c>
      <c r="J41" s="13" t="s">
        <v>54</v>
      </c>
      <c r="K41" s="929">
        <v>90503</v>
      </c>
      <c r="L41" s="13" t="s">
        <v>354</v>
      </c>
      <c r="M41" s="13" t="s">
        <v>430</v>
      </c>
      <c r="N41" s="13"/>
      <c r="O41" s="11">
        <v>330</v>
      </c>
      <c r="P41" s="477">
        <v>8</v>
      </c>
      <c r="Q41" s="478">
        <v>7</v>
      </c>
      <c r="R41" s="477">
        <v>32.799999999999997</v>
      </c>
      <c r="S41" s="480">
        <v>452.8</v>
      </c>
    </row>
    <row r="42" spans="1:19" hidden="1">
      <c r="A42" s="140">
        <v>46087</v>
      </c>
      <c r="B42" s="13" t="s">
        <v>416</v>
      </c>
      <c r="C42" s="13" t="s">
        <v>444</v>
      </c>
      <c r="D42" s="13" t="s">
        <v>47</v>
      </c>
      <c r="E42" s="141">
        <v>4</v>
      </c>
      <c r="F42" s="141">
        <v>56</v>
      </c>
      <c r="G42" s="141">
        <v>296</v>
      </c>
      <c r="H42" s="141"/>
      <c r="I42" s="142">
        <f t="shared" si="2"/>
        <v>4.9333333333333336</v>
      </c>
      <c r="J42" s="13" t="s">
        <v>63</v>
      </c>
      <c r="K42" s="929">
        <v>90504</v>
      </c>
      <c r="L42" s="13" t="s">
        <v>418</v>
      </c>
      <c r="M42" s="13" t="s">
        <v>419</v>
      </c>
      <c r="N42" s="13"/>
      <c r="O42" s="11">
        <v>260</v>
      </c>
      <c r="P42" s="344">
        <v>5</v>
      </c>
      <c r="Q42" s="344">
        <v>4</v>
      </c>
      <c r="R42" s="344">
        <v>56</v>
      </c>
      <c r="S42" s="479">
        <v>296</v>
      </c>
    </row>
    <row r="43" spans="1:19" hidden="1">
      <c r="A43" s="140">
        <v>46087</v>
      </c>
      <c r="B43" s="13" t="s">
        <v>416</v>
      </c>
      <c r="C43" s="13" t="s">
        <v>444</v>
      </c>
      <c r="D43" s="13" t="s">
        <v>46</v>
      </c>
      <c r="E43" s="141">
        <v>5</v>
      </c>
      <c r="F43" s="141">
        <v>37</v>
      </c>
      <c r="G43" s="141">
        <v>337</v>
      </c>
      <c r="H43" s="141"/>
      <c r="I43" s="142">
        <f t="shared" si="2"/>
        <v>5.6166666666666663</v>
      </c>
      <c r="J43" s="13" t="s">
        <v>57</v>
      </c>
      <c r="K43" s="929">
        <v>90503</v>
      </c>
      <c r="L43" s="13" t="s">
        <v>354</v>
      </c>
      <c r="M43" s="13" t="s">
        <v>424</v>
      </c>
      <c r="N43" s="13"/>
      <c r="O43" s="11">
        <v>306</v>
      </c>
      <c r="P43" s="477">
        <v>6</v>
      </c>
      <c r="Q43" s="478">
        <v>5</v>
      </c>
      <c r="R43" s="477">
        <v>40.6</v>
      </c>
      <c r="S43" s="480">
        <v>340.6</v>
      </c>
    </row>
    <row r="44" spans="1:19" hidden="1">
      <c r="A44" s="140">
        <v>46087</v>
      </c>
      <c r="B44" s="13" t="s">
        <v>416</v>
      </c>
      <c r="C44" s="13" t="s">
        <v>445</v>
      </c>
      <c r="D44" s="13" t="s">
        <v>42</v>
      </c>
      <c r="E44" s="141">
        <v>18</v>
      </c>
      <c r="F44" s="141">
        <v>60</v>
      </c>
      <c r="G44" s="141">
        <v>1140</v>
      </c>
      <c r="H44" s="141"/>
      <c r="I44" s="142">
        <f t="shared" si="2"/>
        <v>19</v>
      </c>
      <c r="J44" s="13" t="s">
        <v>54</v>
      </c>
      <c r="K44" s="929">
        <v>90503</v>
      </c>
      <c r="L44" s="13" t="s">
        <v>354</v>
      </c>
      <c r="M44" s="13" t="s">
        <v>434</v>
      </c>
      <c r="N44" s="13"/>
      <c r="O44" s="11">
        <v>335</v>
      </c>
      <c r="P44" s="477">
        <v>19</v>
      </c>
      <c r="Q44" s="478">
        <v>19</v>
      </c>
      <c r="R44" s="477">
        <v>11.9</v>
      </c>
      <c r="S44" s="480">
        <v>1151.9000000000001</v>
      </c>
    </row>
    <row r="45" spans="1:19" hidden="1">
      <c r="A45" s="140">
        <v>46087</v>
      </c>
      <c r="B45" s="13" t="s">
        <v>416</v>
      </c>
      <c r="C45" s="13" t="s">
        <v>445</v>
      </c>
      <c r="D45" s="13" t="s">
        <v>48</v>
      </c>
      <c r="E45" s="141">
        <v>1</v>
      </c>
      <c r="F45" s="141">
        <v>33</v>
      </c>
      <c r="G45" s="141">
        <v>93</v>
      </c>
      <c r="H45" s="141"/>
      <c r="I45" s="142">
        <f t="shared" si="2"/>
        <v>1.55</v>
      </c>
      <c r="J45" s="13" t="s">
        <v>62</v>
      </c>
      <c r="K45" s="929">
        <v>90504</v>
      </c>
      <c r="L45" s="13" t="s">
        <v>418</v>
      </c>
      <c r="M45" s="13" t="s">
        <v>419</v>
      </c>
      <c r="N45" s="13"/>
      <c r="O45" s="11">
        <v>200</v>
      </c>
      <c r="P45" s="344">
        <v>2</v>
      </c>
      <c r="Q45" s="344">
        <v>1</v>
      </c>
      <c r="R45" s="344">
        <v>33</v>
      </c>
      <c r="S45" s="479">
        <v>93</v>
      </c>
    </row>
    <row r="46" spans="1:19" hidden="1">
      <c r="A46" s="140">
        <v>46087</v>
      </c>
      <c r="B46" s="13" t="s">
        <v>416</v>
      </c>
      <c r="C46" s="13" t="s">
        <v>445</v>
      </c>
      <c r="D46" s="13" t="s">
        <v>44</v>
      </c>
      <c r="E46" s="141">
        <v>4</v>
      </c>
      <c r="F46" s="141">
        <v>37</v>
      </c>
      <c r="G46" s="141">
        <v>277</v>
      </c>
      <c r="H46" s="141"/>
      <c r="I46" s="142">
        <f t="shared" si="2"/>
        <v>4.6166666666666663</v>
      </c>
      <c r="J46" s="13" t="s">
        <v>54</v>
      </c>
      <c r="K46" s="929">
        <v>90503</v>
      </c>
      <c r="L46" s="13" t="s">
        <v>354</v>
      </c>
      <c r="M46" s="13" t="s">
        <v>430</v>
      </c>
      <c r="N46" s="13"/>
      <c r="O46" s="11">
        <v>330</v>
      </c>
      <c r="P46" s="477">
        <v>5</v>
      </c>
      <c r="Q46" s="478">
        <v>4</v>
      </c>
      <c r="R46" s="477">
        <v>41.5</v>
      </c>
      <c r="S46" s="480">
        <v>281.5</v>
      </c>
    </row>
    <row r="47" spans="1:19" hidden="1">
      <c r="A47" s="607">
        <v>46087</v>
      </c>
      <c r="B47" s="608" t="s">
        <v>416</v>
      </c>
      <c r="C47" s="608" t="s">
        <v>445</v>
      </c>
      <c r="D47" s="608" t="s">
        <v>47</v>
      </c>
      <c r="E47" s="609">
        <v>3</v>
      </c>
      <c r="F47" s="609">
        <v>0</v>
      </c>
      <c r="G47" s="609">
        <v>180</v>
      </c>
      <c r="H47" s="609"/>
      <c r="I47" s="610">
        <f t="shared" si="2"/>
        <v>3</v>
      </c>
      <c r="J47" s="608" t="s">
        <v>356</v>
      </c>
      <c r="K47" s="929">
        <v>90503</v>
      </c>
      <c r="L47" s="608" t="s">
        <v>354</v>
      </c>
      <c r="M47" s="608" t="s">
        <v>424</v>
      </c>
      <c r="N47" s="608"/>
      <c r="O47" s="611">
        <v>306</v>
      </c>
      <c r="P47" s="612"/>
      <c r="Q47" s="612"/>
      <c r="R47" s="612"/>
      <c r="S47" s="613"/>
    </row>
    <row r="48" spans="1:19" hidden="1">
      <c r="A48" s="140">
        <v>46087</v>
      </c>
      <c r="B48" s="13" t="s">
        <v>416</v>
      </c>
      <c r="C48" s="13" t="s">
        <v>445</v>
      </c>
      <c r="D48" s="13" t="s">
        <v>46</v>
      </c>
      <c r="E48" s="141">
        <v>2</v>
      </c>
      <c r="F48" s="141">
        <v>65</v>
      </c>
      <c r="G48" s="141">
        <v>185</v>
      </c>
      <c r="H48" s="141"/>
      <c r="I48" s="142">
        <f t="shared" si="2"/>
        <v>3.0833333333333335</v>
      </c>
      <c r="J48" s="13" t="s">
        <v>356</v>
      </c>
      <c r="K48" s="929">
        <v>90503</v>
      </c>
      <c r="L48" s="13" t="s">
        <v>354</v>
      </c>
      <c r="M48" s="13" t="s">
        <v>424</v>
      </c>
      <c r="N48" s="13"/>
      <c r="O48" s="11">
        <v>306</v>
      </c>
      <c r="P48" s="477">
        <v>3</v>
      </c>
      <c r="Q48" s="478">
        <v>3</v>
      </c>
      <c r="R48" s="477">
        <v>0.3</v>
      </c>
      <c r="S48" s="480">
        <v>180.3</v>
      </c>
    </row>
    <row r="49" spans="1:22" hidden="1">
      <c r="A49" s="140">
        <v>46087</v>
      </c>
      <c r="B49" s="13" t="s">
        <v>416</v>
      </c>
      <c r="C49" s="13" t="s">
        <v>446</v>
      </c>
      <c r="D49" s="13" t="s">
        <v>51</v>
      </c>
      <c r="E49" s="141">
        <v>15</v>
      </c>
      <c r="F49" s="141">
        <v>57</v>
      </c>
      <c r="G49" s="141">
        <v>957</v>
      </c>
      <c r="H49" s="141"/>
      <c r="I49" s="142">
        <f t="shared" si="2"/>
        <v>15.95</v>
      </c>
      <c r="J49" s="13" t="s">
        <v>60</v>
      </c>
      <c r="K49" s="929">
        <v>90504</v>
      </c>
      <c r="L49" s="13" t="s">
        <v>418</v>
      </c>
      <c r="M49" s="13" t="s">
        <v>419</v>
      </c>
      <c r="N49" s="13" t="s">
        <v>420</v>
      </c>
      <c r="O49" s="11">
        <v>200</v>
      </c>
      <c r="P49" s="344">
        <v>16</v>
      </c>
      <c r="Q49" s="344">
        <v>15</v>
      </c>
      <c r="R49" s="344">
        <v>57</v>
      </c>
      <c r="S49" s="479">
        <v>957</v>
      </c>
    </row>
    <row r="50" spans="1:22" hidden="1">
      <c r="A50" s="140">
        <v>46087</v>
      </c>
      <c r="B50" s="13" t="s">
        <v>416</v>
      </c>
      <c r="C50" s="13" t="s">
        <v>446</v>
      </c>
      <c r="D50" s="13" t="s">
        <v>52</v>
      </c>
      <c r="E50" s="141">
        <v>5</v>
      </c>
      <c r="F50" s="141">
        <v>18</v>
      </c>
      <c r="G50" s="141">
        <v>318</v>
      </c>
      <c r="H50" s="141"/>
      <c r="I50" s="142">
        <f t="shared" si="2"/>
        <v>5.3</v>
      </c>
      <c r="J50" s="13" t="s">
        <v>62</v>
      </c>
      <c r="K50" s="929">
        <v>90504</v>
      </c>
      <c r="L50" s="13" t="s">
        <v>418</v>
      </c>
      <c r="M50" s="13" t="s">
        <v>419</v>
      </c>
      <c r="N50" s="13" t="s">
        <v>420</v>
      </c>
      <c r="O50" s="11">
        <v>200</v>
      </c>
      <c r="P50" s="344">
        <v>6</v>
      </c>
      <c r="Q50" s="344">
        <v>5</v>
      </c>
      <c r="R50" s="344">
        <v>18</v>
      </c>
      <c r="S50" s="479">
        <v>318</v>
      </c>
    </row>
    <row r="51" spans="1:22" hidden="1">
      <c r="A51" s="140">
        <v>46087</v>
      </c>
      <c r="B51" s="13" t="s">
        <v>416</v>
      </c>
      <c r="C51" s="13" t="s">
        <v>447</v>
      </c>
      <c r="D51" s="13" t="s">
        <v>42</v>
      </c>
      <c r="E51" s="141">
        <v>4</v>
      </c>
      <c r="F51" s="141">
        <v>17</v>
      </c>
      <c r="G51" s="141">
        <v>257</v>
      </c>
      <c r="H51" s="141"/>
      <c r="I51" s="142">
        <f t="shared" si="2"/>
        <v>4.2833333333333332</v>
      </c>
      <c r="J51" s="13" t="s">
        <v>356</v>
      </c>
      <c r="K51" s="929">
        <v>90503</v>
      </c>
      <c r="L51" s="13" t="s">
        <v>354</v>
      </c>
      <c r="M51" s="13" t="s">
        <v>426</v>
      </c>
      <c r="N51" s="13" t="s">
        <v>400</v>
      </c>
      <c r="O51" s="11">
        <v>330</v>
      </c>
      <c r="P51" s="477">
        <v>5</v>
      </c>
      <c r="Q51" s="478">
        <v>4</v>
      </c>
      <c r="R51" s="477">
        <v>18.5</v>
      </c>
      <c r="S51" s="480">
        <v>258.5</v>
      </c>
    </row>
    <row r="52" spans="1:22" hidden="1">
      <c r="A52" s="140"/>
      <c r="B52" s="13"/>
      <c r="C52" s="13"/>
      <c r="D52" s="13"/>
      <c r="E52" s="141"/>
      <c r="F52" s="141"/>
      <c r="G52" s="141"/>
      <c r="H52" s="141"/>
      <c r="I52" s="1049">
        <f>SUM(I42:I51)</f>
        <v>67.333333333333329</v>
      </c>
      <c r="J52" s="13"/>
      <c r="K52" s="929"/>
      <c r="L52" s="13"/>
      <c r="M52" s="13"/>
      <c r="N52" s="13"/>
      <c r="O52" s="11"/>
      <c r="P52" s="477"/>
      <c r="Q52" s="478"/>
      <c r="R52" s="477"/>
      <c r="S52" s="480"/>
      <c r="V52">
        <f>SUM(V42:V51)</f>
        <v>0</v>
      </c>
    </row>
    <row r="53" spans="1:22" hidden="1">
      <c r="A53" s="140"/>
      <c r="B53" s="13"/>
      <c r="C53" s="13"/>
      <c r="D53" s="13"/>
      <c r="E53" s="141"/>
      <c r="F53" s="141"/>
      <c r="G53" s="141"/>
      <c r="H53" s="141"/>
      <c r="I53" s="1049">
        <f>I52/60</f>
        <v>1.1222222222222222</v>
      </c>
      <c r="J53" s="13"/>
      <c r="K53" s="929"/>
      <c r="L53" s="13"/>
      <c r="M53" s="13"/>
      <c r="N53" s="13"/>
      <c r="O53" s="11"/>
      <c r="P53" s="477"/>
      <c r="Q53" s="478"/>
      <c r="R53" s="477"/>
      <c r="S53" s="480"/>
    </row>
    <row r="54" spans="1:22" hidden="1">
      <c r="A54" s="140">
        <v>46087</v>
      </c>
      <c r="B54" s="13" t="s">
        <v>416</v>
      </c>
      <c r="C54" s="13" t="s">
        <v>445</v>
      </c>
      <c r="D54" s="13" t="s">
        <v>43</v>
      </c>
      <c r="E54" s="141">
        <v>41</v>
      </c>
      <c r="F54" s="141">
        <v>18</v>
      </c>
      <c r="G54" s="141">
        <v>2478</v>
      </c>
      <c r="H54" s="141"/>
      <c r="I54" s="142">
        <f>+G54/60</f>
        <v>41.3</v>
      </c>
      <c r="J54" s="13" t="s">
        <v>54</v>
      </c>
      <c r="K54" s="929">
        <v>90503</v>
      </c>
      <c r="L54" s="13" t="s">
        <v>354</v>
      </c>
      <c r="M54" s="13" t="s">
        <v>430</v>
      </c>
      <c r="N54" s="13"/>
      <c r="O54" s="11">
        <v>330</v>
      </c>
      <c r="P54" s="477">
        <v>42</v>
      </c>
      <c r="Q54" s="478">
        <v>41</v>
      </c>
      <c r="R54" s="477">
        <v>42.2</v>
      </c>
      <c r="S54" s="480">
        <v>2502.1999999999998</v>
      </c>
    </row>
    <row r="55" spans="1:22" hidden="1">
      <c r="A55" s="140">
        <v>46087</v>
      </c>
      <c r="B55" s="13" t="s">
        <v>416</v>
      </c>
      <c r="C55" s="13" t="s">
        <v>445</v>
      </c>
      <c r="D55" s="13" t="s">
        <v>45</v>
      </c>
      <c r="E55" s="141">
        <v>10</v>
      </c>
      <c r="F55" s="141">
        <v>64</v>
      </c>
      <c r="G55" s="141">
        <v>664</v>
      </c>
      <c r="H55" s="141"/>
      <c r="I55" s="142">
        <f>+G55/60</f>
        <v>11.066666666666666</v>
      </c>
      <c r="J55" s="13" t="s">
        <v>54</v>
      </c>
      <c r="K55" s="929">
        <v>90503</v>
      </c>
      <c r="L55" s="13" t="s">
        <v>354</v>
      </c>
      <c r="M55" s="13" t="s">
        <v>435</v>
      </c>
      <c r="N55" s="13"/>
      <c r="O55" s="11">
        <v>310</v>
      </c>
      <c r="P55" s="477">
        <v>11</v>
      </c>
      <c r="Q55" s="478">
        <v>11</v>
      </c>
      <c r="R55" s="477">
        <v>9.1</v>
      </c>
      <c r="S55" s="480">
        <v>669.1</v>
      </c>
    </row>
    <row r="56" spans="1:22" hidden="1">
      <c r="A56" s="140">
        <v>46087</v>
      </c>
      <c r="B56" s="13" t="s">
        <v>416</v>
      </c>
      <c r="C56" s="13" t="s">
        <v>447</v>
      </c>
      <c r="D56" s="13" t="s">
        <v>48</v>
      </c>
      <c r="E56" s="141">
        <v>0</v>
      </c>
      <c r="F56" s="141">
        <v>23</v>
      </c>
      <c r="G56" s="141">
        <v>23</v>
      </c>
      <c r="H56" s="141"/>
      <c r="I56" s="1049">
        <f>SUM(I54:I55)</f>
        <v>52.36666666666666</v>
      </c>
      <c r="J56" s="13" t="s">
        <v>62</v>
      </c>
      <c r="K56" s="929">
        <v>90504</v>
      </c>
      <c r="L56" s="13" t="s">
        <v>418</v>
      </c>
      <c r="M56" s="13" t="s">
        <v>419</v>
      </c>
      <c r="N56" s="13"/>
      <c r="O56" s="11">
        <v>200</v>
      </c>
      <c r="P56" s="344">
        <v>1</v>
      </c>
      <c r="Q56" s="344">
        <v>0</v>
      </c>
      <c r="R56" s="344">
        <v>23</v>
      </c>
      <c r="S56" s="479">
        <v>23</v>
      </c>
      <c r="V56">
        <f>SUM(V54:V55)</f>
        <v>0</v>
      </c>
    </row>
    <row r="57" spans="1:22" hidden="1">
      <c r="A57" s="140">
        <v>46087</v>
      </c>
      <c r="B57" s="13" t="s">
        <v>416</v>
      </c>
      <c r="C57" s="13" t="s">
        <v>447</v>
      </c>
      <c r="D57" s="13" t="s">
        <v>44</v>
      </c>
      <c r="E57" s="141">
        <v>3</v>
      </c>
      <c r="F57" s="141">
        <v>0</v>
      </c>
      <c r="G57" s="141">
        <v>180</v>
      </c>
      <c r="H57" s="141"/>
      <c r="I57" s="1058">
        <f>I56/60</f>
        <v>0.87277777777777765</v>
      </c>
      <c r="J57" s="13" t="s">
        <v>356</v>
      </c>
      <c r="K57" s="929">
        <v>90503</v>
      </c>
      <c r="L57" s="13" t="s">
        <v>354</v>
      </c>
      <c r="M57" s="13" t="s">
        <v>424</v>
      </c>
      <c r="N57" s="13" t="s">
        <v>400</v>
      </c>
      <c r="O57" s="11">
        <v>306</v>
      </c>
      <c r="P57" s="477">
        <v>3</v>
      </c>
      <c r="Q57" s="478">
        <v>3</v>
      </c>
      <c r="R57" s="477">
        <v>0.3</v>
      </c>
      <c r="S57" s="480">
        <v>180.3</v>
      </c>
    </row>
    <row r="58" spans="1:22" hidden="1">
      <c r="A58" s="140">
        <v>46087</v>
      </c>
      <c r="B58" s="13" t="s">
        <v>416</v>
      </c>
      <c r="C58" s="13" t="s">
        <v>447</v>
      </c>
      <c r="D58" s="13" t="s">
        <v>47</v>
      </c>
      <c r="E58" s="141">
        <v>4</v>
      </c>
      <c r="F58" s="141">
        <v>29</v>
      </c>
      <c r="G58" s="141">
        <v>269</v>
      </c>
      <c r="H58" s="141"/>
      <c r="I58" s="142">
        <f>+G58/60</f>
        <v>4.4833333333333334</v>
      </c>
      <c r="J58" s="13" t="s">
        <v>63</v>
      </c>
      <c r="K58" s="929">
        <v>90504</v>
      </c>
      <c r="L58" s="13" t="s">
        <v>418</v>
      </c>
      <c r="M58" s="13" t="s">
        <v>419</v>
      </c>
      <c r="N58" s="13"/>
      <c r="O58" s="11">
        <v>260</v>
      </c>
      <c r="P58" s="344">
        <v>5</v>
      </c>
      <c r="Q58" s="344">
        <v>4</v>
      </c>
      <c r="R58" s="344">
        <v>29</v>
      </c>
      <c r="S58" s="479">
        <v>269</v>
      </c>
    </row>
    <row r="59" spans="1:22" hidden="1">
      <c r="A59" s="140">
        <v>46087</v>
      </c>
      <c r="B59" s="13" t="s">
        <v>416</v>
      </c>
      <c r="C59" s="13" t="s">
        <v>447</v>
      </c>
      <c r="D59" s="13" t="s">
        <v>46</v>
      </c>
      <c r="E59" s="141">
        <v>1</v>
      </c>
      <c r="F59" s="141">
        <v>29</v>
      </c>
      <c r="G59" s="141">
        <v>89</v>
      </c>
      <c r="H59" s="141"/>
      <c r="I59" s="142">
        <f>+G59/60</f>
        <v>1.4833333333333334</v>
      </c>
      <c r="J59" s="13" t="s">
        <v>62</v>
      </c>
      <c r="K59" s="929">
        <v>90504</v>
      </c>
      <c r="L59" s="13" t="s">
        <v>418</v>
      </c>
      <c r="M59" s="13" t="s">
        <v>419</v>
      </c>
      <c r="N59" s="13"/>
      <c r="O59" s="11">
        <v>200</v>
      </c>
      <c r="P59" s="344">
        <v>2</v>
      </c>
      <c r="Q59" s="344">
        <v>1</v>
      </c>
      <c r="R59" s="344">
        <v>29</v>
      </c>
      <c r="S59" s="479">
        <v>89</v>
      </c>
    </row>
    <row r="60" spans="1:22" hidden="1">
      <c r="A60" s="140">
        <v>46087</v>
      </c>
      <c r="B60" s="13" t="s">
        <v>416</v>
      </c>
      <c r="C60" s="13" t="s">
        <v>448</v>
      </c>
      <c r="D60" s="13" t="s">
        <v>123</v>
      </c>
      <c r="E60" s="141">
        <v>18</v>
      </c>
      <c r="F60" s="141">
        <v>16</v>
      </c>
      <c r="G60" s="1081">
        <v>1096</v>
      </c>
      <c r="H60" s="1081"/>
      <c r="I60" s="1082">
        <f>+G60/60</f>
        <v>18.266666666666666</v>
      </c>
      <c r="J60" s="1083" t="s">
        <v>123</v>
      </c>
      <c r="K60" s="1084">
        <v>90504</v>
      </c>
      <c r="L60" s="13" t="s">
        <v>418</v>
      </c>
      <c r="M60" s="13" t="s">
        <v>123</v>
      </c>
      <c r="N60" s="13" t="s">
        <v>449</v>
      </c>
      <c r="O60" s="11">
        <v>270</v>
      </c>
      <c r="P60" s="344">
        <v>19</v>
      </c>
      <c r="Q60" s="344">
        <v>18</v>
      </c>
      <c r="R60" s="344">
        <v>16</v>
      </c>
      <c r="S60" s="479">
        <v>1096</v>
      </c>
    </row>
    <row r="61" spans="1:22" hidden="1">
      <c r="A61" s="140">
        <v>46087</v>
      </c>
      <c r="B61" s="13" t="s">
        <v>416</v>
      </c>
      <c r="C61" s="13" t="s">
        <v>448</v>
      </c>
      <c r="D61" s="13" t="s">
        <v>450</v>
      </c>
      <c r="E61" s="141">
        <v>3</v>
      </c>
      <c r="F61" s="1065">
        <v>57</v>
      </c>
      <c r="G61" s="11">
        <v>237</v>
      </c>
      <c r="H61" s="11"/>
      <c r="I61" s="1109" t="s">
        <v>1372</v>
      </c>
      <c r="J61" s="11" t="s">
        <v>1373</v>
      </c>
      <c r="K61" s="1110" t="s">
        <v>1374</v>
      </c>
      <c r="L61" s="1072" t="s">
        <v>418</v>
      </c>
      <c r="M61" s="13" t="s">
        <v>450</v>
      </c>
      <c r="N61" s="13" t="s">
        <v>451</v>
      </c>
      <c r="O61" s="11">
        <v>240</v>
      </c>
      <c r="P61" s="344">
        <v>4</v>
      </c>
      <c r="Q61" s="344">
        <v>3</v>
      </c>
      <c r="R61" s="344">
        <v>57</v>
      </c>
      <c r="S61" s="479">
        <v>237</v>
      </c>
    </row>
    <row r="62" spans="1:22" hidden="1">
      <c r="A62" s="140">
        <v>46087</v>
      </c>
      <c r="B62" s="13" t="s">
        <v>416</v>
      </c>
      <c r="C62" s="13" t="s">
        <v>452</v>
      </c>
      <c r="D62" s="13" t="s">
        <v>123</v>
      </c>
      <c r="E62" s="141">
        <v>50</v>
      </c>
      <c r="F62" s="1065">
        <v>17</v>
      </c>
      <c r="G62" s="11" t="s">
        <v>354</v>
      </c>
      <c r="H62" s="11"/>
      <c r="I62" s="1109">
        <v>30087</v>
      </c>
      <c r="J62" s="11">
        <v>30223.7</v>
      </c>
      <c r="K62" s="1110">
        <v>30163</v>
      </c>
      <c r="L62" s="1072" t="s">
        <v>418</v>
      </c>
      <c r="M62" s="13" t="s">
        <v>123</v>
      </c>
      <c r="N62" s="13" t="s">
        <v>453</v>
      </c>
      <c r="O62" s="11">
        <v>270</v>
      </c>
      <c r="P62" s="344">
        <v>51</v>
      </c>
      <c r="Q62" s="344">
        <v>50</v>
      </c>
      <c r="R62" s="344">
        <v>17</v>
      </c>
      <c r="S62" s="479">
        <v>3017</v>
      </c>
    </row>
    <row r="63" spans="1:22" hidden="1">
      <c r="A63" s="140">
        <v>46087</v>
      </c>
      <c r="B63" s="13" t="s">
        <v>416</v>
      </c>
      <c r="C63" s="13" t="s">
        <v>452</v>
      </c>
      <c r="D63" s="13" t="s">
        <v>450</v>
      </c>
      <c r="E63" s="141">
        <v>5</v>
      </c>
      <c r="F63" s="1065">
        <v>40</v>
      </c>
      <c r="G63" s="11" t="s">
        <v>856</v>
      </c>
      <c r="H63" s="11"/>
      <c r="I63" s="1109">
        <v>88</v>
      </c>
      <c r="J63" s="11">
        <v>88</v>
      </c>
      <c r="K63" s="1110">
        <v>89</v>
      </c>
      <c r="L63" s="1072" t="s">
        <v>418</v>
      </c>
      <c r="M63" s="13" t="s">
        <v>450</v>
      </c>
      <c r="N63" s="13" t="s">
        <v>451</v>
      </c>
      <c r="O63" s="11">
        <v>240</v>
      </c>
      <c r="P63" s="344">
        <v>6</v>
      </c>
      <c r="Q63" s="344">
        <v>5</v>
      </c>
      <c r="R63" s="344">
        <v>40</v>
      </c>
      <c r="S63" s="479">
        <v>340</v>
      </c>
    </row>
    <row r="64" spans="1:22" hidden="1">
      <c r="A64" s="140">
        <v>46087</v>
      </c>
      <c r="B64" s="13" t="s">
        <v>416</v>
      </c>
      <c r="C64" s="13" t="s">
        <v>454</v>
      </c>
      <c r="D64" s="13" t="s">
        <v>123</v>
      </c>
      <c r="E64" s="141">
        <v>30</v>
      </c>
      <c r="F64" s="141">
        <v>38</v>
      </c>
      <c r="G64" s="1095">
        <v>1838</v>
      </c>
      <c r="H64" s="1095"/>
      <c r="I64" s="1096">
        <f>+G64/60</f>
        <v>30.633333333333333</v>
      </c>
      <c r="J64" s="1097" t="s">
        <v>123</v>
      </c>
      <c r="K64" s="1098">
        <v>90504</v>
      </c>
      <c r="L64" s="13" t="s">
        <v>418</v>
      </c>
      <c r="M64" s="13" t="s">
        <v>123</v>
      </c>
      <c r="N64" s="13" t="s">
        <v>449</v>
      </c>
      <c r="O64" s="11">
        <v>270</v>
      </c>
      <c r="P64" s="344">
        <v>31</v>
      </c>
      <c r="Q64" s="344">
        <v>30</v>
      </c>
      <c r="R64" s="344">
        <v>38</v>
      </c>
      <c r="S64" s="479">
        <v>1838</v>
      </c>
    </row>
    <row r="65" spans="1:19" hidden="1">
      <c r="A65" s="140">
        <v>46087</v>
      </c>
      <c r="B65" s="13" t="s">
        <v>416</v>
      </c>
      <c r="C65" s="13" t="s">
        <v>454</v>
      </c>
      <c r="D65" s="13" t="s">
        <v>450</v>
      </c>
      <c r="E65" s="141">
        <v>3</v>
      </c>
      <c r="F65" s="141">
        <v>44</v>
      </c>
      <c r="G65" s="141">
        <v>224</v>
      </c>
      <c r="H65" s="141"/>
      <c r="I65" s="142">
        <f t="shared" ref="I65:I93" si="3">+G65/60</f>
        <v>3.7333333333333334</v>
      </c>
      <c r="J65" s="13" t="s">
        <v>450</v>
      </c>
      <c r="K65" s="929">
        <v>90504</v>
      </c>
      <c r="L65" s="13" t="s">
        <v>418</v>
      </c>
      <c r="M65" s="13" t="s">
        <v>450</v>
      </c>
      <c r="N65" s="13" t="s">
        <v>451</v>
      </c>
      <c r="O65" s="11">
        <v>240</v>
      </c>
      <c r="P65" s="344">
        <v>4</v>
      </c>
      <c r="Q65" s="344">
        <v>3</v>
      </c>
      <c r="R65" s="344">
        <v>44</v>
      </c>
      <c r="S65" s="479">
        <v>224</v>
      </c>
    </row>
    <row r="66" spans="1:19" hidden="1">
      <c r="A66" s="140">
        <v>46087</v>
      </c>
      <c r="B66" s="13" t="s">
        <v>455</v>
      </c>
      <c r="C66" s="13" t="s">
        <v>1064</v>
      </c>
      <c r="D66" s="13" t="s">
        <v>123</v>
      </c>
      <c r="E66" s="141">
        <v>124</v>
      </c>
      <c r="F66" s="141">
        <v>26</v>
      </c>
      <c r="G66" s="141">
        <v>7466</v>
      </c>
      <c r="H66" s="141"/>
      <c r="I66" s="142">
        <f t="shared" si="3"/>
        <v>124.43333333333334</v>
      </c>
      <c r="J66" s="13" t="s">
        <v>456</v>
      </c>
      <c r="K66" s="13"/>
      <c r="L66" s="13" t="s">
        <v>351</v>
      </c>
      <c r="M66" s="13" t="s">
        <v>464</v>
      </c>
      <c r="N66" s="13" t="s">
        <v>458</v>
      </c>
      <c r="O66" s="11">
        <v>405</v>
      </c>
      <c r="P66" s="344">
        <v>125</v>
      </c>
      <c r="Q66" s="344">
        <v>124</v>
      </c>
      <c r="R66" s="344">
        <v>26</v>
      </c>
      <c r="S66" s="479">
        <v>7466</v>
      </c>
    </row>
    <row r="67" spans="1:19" hidden="1">
      <c r="A67" s="140">
        <v>46087</v>
      </c>
      <c r="B67" s="13" t="s">
        <v>455</v>
      </c>
      <c r="C67" s="13" t="s">
        <v>1064</v>
      </c>
      <c r="D67" s="13" t="s">
        <v>450</v>
      </c>
      <c r="E67" s="141">
        <v>17</v>
      </c>
      <c r="F67" s="141">
        <v>50</v>
      </c>
      <c r="G67" s="141">
        <v>1070</v>
      </c>
      <c r="H67" s="141"/>
      <c r="I67" s="142">
        <f t="shared" si="3"/>
        <v>17.833333333333332</v>
      </c>
      <c r="J67" s="13" t="s">
        <v>459</v>
      </c>
      <c r="K67" s="13"/>
      <c r="L67" s="13" t="s">
        <v>418</v>
      </c>
      <c r="M67" s="13" t="s">
        <v>450</v>
      </c>
      <c r="N67" s="13" t="s">
        <v>460</v>
      </c>
      <c r="O67" s="11">
        <v>140</v>
      </c>
      <c r="P67" s="344">
        <v>18</v>
      </c>
      <c r="Q67" s="344">
        <v>17</v>
      </c>
      <c r="R67" s="344">
        <v>50</v>
      </c>
      <c r="S67" s="479">
        <v>1070</v>
      </c>
    </row>
    <row r="68" spans="1:19" hidden="1">
      <c r="A68" s="140">
        <v>46087</v>
      </c>
      <c r="B68" s="13" t="s">
        <v>455</v>
      </c>
      <c r="C68" s="13" t="s">
        <v>1065</v>
      </c>
      <c r="D68" s="13" t="s">
        <v>461</v>
      </c>
      <c r="E68" s="141">
        <v>6</v>
      </c>
      <c r="F68" s="141">
        <v>16</v>
      </c>
      <c r="G68" s="141">
        <v>376</v>
      </c>
      <c r="H68" s="141"/>
      <c r="I68" s="142">
        <f t="shared" si="3"/>
        <v>6.2666666666666666</v>
      </c>
      <c r="J68" s="13" t="s">
        <v>421</v>
      </c>
      <c r="K68" s="13"/>
      <c r="L68" s="13" t="s">
        <v>418</v>
      </c>
      <c r="M68" s="13" t="s">
        <v>422</v>
      </c>
      <c r="N68" s="13"/>
      <c r="O68" s="11">
        <v>140</v>
      </c>
      <c r="P68" s="344">
        <v>7</v>
      </c>
      <c r="Q68" s="344">
        <v>6</v>
      </c>
      <c r="R68" s="344">
        <v>16</v>
      </c>
      <c r="S68" s="479">
        <v>376</v>
      </c>
    </row>
    <row r="69" spans="1:19" hidden="1">
      <c r="A69" s="140">
        <v>46087</v>
      </c>
      <c r="B69" s="13" t="s">
        <v>455</v>
      </c>
      <c r="C69" s="13" t="s">
        <v>1066</v>
      </c>
      <c r="D69" s="13" t="s">
        <v>123</v>
      </c>
      <c r="E69" s="141">
        <v>38</v>
      </c>
      <c r="F69" s="141">
        <v>51</v>
      </c>
      <c r="G69" s="141">
        <v>2331</v>
      </c>
      <c r="H69" s="141"/>
      <c r="I69" s="142">
        <f t="shared" si="3"/>
        <v>38.85</v>
      </c>
      <c r="J69" s="13" t="s">
        <v>456</v>
      </c>
      <c r="K69" s="13"/>
      <c r="L69" s="13" t="s">
        <v>351</v>
      </c>
      <c r="M69" s="13" t="s">
        <v>457</v>
      </c>
      <c r="N69" s="13" t="s">
        <v>463</v>
      </c>
      <c r="O69" s="11">
        <v>380</v>
      </c>
      <c r="P69" s="344">
        <v>39</v>
      </c>
      <c r="Q69" s="344">
        <v>38</v>
      </c>
      <c r="R69" s="344">
        <v>51</v>
      </c>
      <c r="S69" s="479">
        <v>2331</v>
      </c>
    </row>
    <row r="70" spans="1:19" hidden="1">
      <c r="A70" s="140">
        <v>46087</v>
      </c>
      <c r="B70" s="13" t="s">
        <v>455</v>
      </c>
      <c r="C70" s="13" t="s">
        <v>1066</v>
      </c>
      <c r="D70" s="13" t="s">
        <v>450</v>
      </c>
      <c r="E70" s="141">
        <v>6</v>
      </c>
      <c r="F70" s="141">
        <v>31</v>
      </c>
      <c r="G70" s="141">
        <v>391</v>
      </c>
      <c r="H70" s="141"/>
      <c r="I70" s="142">
        <f t="shared" si="3"/>
        <v>6.5166666666666666</v>
      </c>
      <c r="J70" s="13" t="s">
        <v>355</v>
      </c>
      <c r="K70" s="13"/>
      <c r="L70" s="13" t="s">
        <v>418</v>
      </c>
      <c r="M70" s="13" t="s">
        <v>450</v>
      </c>
      <c r="N70" s="13"/>
      <c r="O70" s="11">
        <v>140</v>
      </c>
      <c r="P70" s="344">
        <v>7</v>
      </c>
      <c r="Q70" s="344">
        <v>6</v>
      </c>
      <c r="R70" s="344">
        <v>31</v>
      </c>
      <c r="S70" s="479">
        <v>391</v>
      </c>
    </row>
    <row r="71" spans="1:19" hidden="1">
      <c r="A71" s="140">
        <v>46087</v>
      </c>
      <c r="B71" s="13" t="s">
        <v>455</v>
      </c>
      <c r="C71" s="13" t="s">
        <v>1067</v>
      </c>
      <c r="D71" s="13" t="s">
        <v>42</v>
      </c>
      <c r="E71" s="141">
        <v>13</v>
      </c>
      <c r="F71" s="141">
        <v>12</v>
      </c>
      <c r="G71" s="141">
        <v>792</v>
      </c>
      <c r="H71" s="141"/>
      <c r="I71" s="142">
        <f t="shared" si="3"/>
        <v>13.2</v>
      </c>
      <c r="J71" s="13" t="s">
        <v>54</v>
      </c>
      <c r="K71" s="13"/>
      <c r="L71" s="13" t="s">
        <v>354</v>
      </c>
      <c r="M71" s="13" t="s">
        <v>434</v>
      </c>
      <c r="N71" s="13"/>
      <c r="O71" s="11">
        <v>335</v>
      </c>
      <c r="P71" s="344">
        <v>14</v>
      </c>
      <c r="Q71" s="344">
        <v>13</v>
      </c>
      <c r="R71" s="344">
        <v>12</v>
      </c>
      <c r="S71" s="479">
        <v>792</v>
      </c>
    </row>
    <row r="72" spans="1:19" hidden="1">
      <c r="A72" s="140">
        <v>46087</v>
      </c>
      <c r="B72" s="13" t="s">
        <v>455</v>
      </c>
      <c r="C72" s="13" t="s">
        <v>1067</v>
      </c>
      <c r="D72" s="13" t="s">
        <v>43</v>
      </c>
      <c r="E72" s="141">
        <v>82</v>
      </c>
      <c r="F72" s="141">
        <v>66</v>
      </c>
      <c r="G72" s="141">
        <v>4986</v>
      </c>
      <c r="H72" s="141"/>
      <c r="I72" s="142">
        <f t="shared" si="3"/>
        <v>83.1</v>
      </c>
      <c r="J72" s="13" t="s">
        <v>54</v>
      </c>
      <c r="K72" s="13"/>
      <c r="L72" s="13" t="s">
        <v>354</v>
      </c>
      <c r="M72" s="13" t="s">
        <v>430</v>
      </c>
      <c r="N72" s="13"/>
      <c r="O72" s="11">
        <v>330</v>
      </c>
      <c r="P72" s="344">
        <v>83</v>
      </c>
      <c r="Q72" s="344">
        <v>83</v>
      </c>
      <c r="R72" s="344">
        <v>6</v>
      </c>
      <c r="S72" s="479">
        <v>4986</v>
      </c>
    </row>
    <row r="73" spans="1:19" hidden="1">
      <c r="A73" s="140">
        <v>46087</v>
      </c>
      <c r="B73" s="13" t="s">
        <v>455</v>
      </c>
      <c r="C73" s="13" t="s">
        <v>1067</v>
      </c>
      <c r="D73" s="13" t="s">
        <v>45</v>
      </c>
      <c r="E73" s="141">
        <v>25</v>
      </c>
      <c r="F73" s="141">
        <v>20</v>
      </c>
      <c r="G73" s="141">
        <v>1520</v>
      </c>
      <c r="H73" s="141"/>
      <c r="I73" s="142">
        <f t="shared" si="3"/>
        <v>25.333333333333332</v>
      </c>
      <c r="J73" s="13" t="s">
        <v>56</v>
      </c>
      <c r="K73" s="13"/>
      <c r="L73" s="13" t="s">
        <v>354</v>
      </c>
      <c r="M73" s="13" t="s">
        <v>435</v>
      </c>
      <c r="N73" s="13"/>
      <c r="O73" s="11">
        <v>310</v>
      </c>
      <c r="P73" s="344">
        <v>26</v>
      </c>
      <c r="Q73" s="344">
        <v>25</v>
      </c>
      <c r="R73" s="344">
        <v>20</v>
      </c>
      <c r="S73" s="479">
        <v>1520</v>
      </c>
    </row>
    <row r="74" spans="1:19" hidden="1">
      <c r="A74" s="140">
        <v>46087</v>
      </c>
      <c r="B74" s="13" t="s">
        <v>455</v>
      </c>
      <c r="C74" s="13" t="s">
        <v>1067</v>
      </c>
      <c r="D74" s="13" t="s">
        <v>60</v>
      </c>
      <c r="E74" s="141">
        <v>0</v>
      </c>
      <c r="F74" s="141">
        <v>21</v>
      </c>
      <c r="G74" s="141">
        <v>21</v>
      </c>
      <c r="H74" s="141"/>
      <c r="I74" s="142">
        <f t="shared" si="3"/>
        <v>0.35</v>
      </c>
      <c r="J74" s="13" t="s">
        <v>356</v>
      </c>
      <c r="K74" s="13"/>
      <c r="L74" s="13" t="s">
        <v>354</v>
      </c>
      <c r="M74" s="13" t="s">
        <v>424</v>
      </c>
      <c r="N74" s="13"/>
      <c r="O74" s="11">
        <v>306</v>
      </c>
      <c r="P74" s="344">
        <v>1</v>
      </c>
      <c r="Q74" s="344">
        <v>0</v>
      </c>
      <c r="R74" s="344">
        <v>21</v>
      </c>
      <c r="S74" s="479">
        <v>21</v>
      </c>
    </row>
    <row r="75" spans="1:19" hidden="1">
      <c r="A75" s="140">
        <v>46087</v>
      </c>
      <c r="B75" s="13" t="s">
        <v>455</v>
      </c>
      <c r="C75" s="13" t="s">
        <v>1067</v>
      </c>
      <c r="D75" s="13" t="s">
        <v>44</v>
      </c>
      <c r="E75" s="141">
        <v>6</v>
      </c>
      <c r="F75" s="141">
        <v>57</v>
      </c>
      <c r="G75" s="141">
        <v>417</v>
      </c>
      <c r="H75" s="141"/>
      <c r="I75" s="142">
        <f t="shared" si="3"/>
        <v>6.95</v>
      </c>
      <c r="J75" s="13" t="s">
        <v>54</v>
      </c>
      <c r="K75" s="13"/>
      <c r="L75" s="13" t="s">
        <v>354</v>
      </c>
      <c r="M75" s="13" t="s">
        <v>430</v>
      </c>
      <c r="N75" s="13"/>
      <c r="O75" s="11">
        <v>330</v>
      </c>
      <c r="P75" s="344">
        <v>7</v>
      </c>
      <c r="Q75" s="344">
        <v>6</v>
      </c>
      <c r="R75" s="344">
        <v>57</v>
      </c>
      <c r="S75" s="479">
        <v>417</v>
      </c>
    </row>
    <row r="76" spans="1:19" hidden="1">
      <c r="A76" s="140">
        <v>46087</v>
      </c>
      <c r="B76" s="13" t="s">
        <v>455</v>
      </c>
      <c r="C76" s="13" t="s">
        <v>1067</v>
      </c>
      <c r="D76" s="13" t="s">
        <v>47</v>
      </c>
      <c r="E76" s="141">
        <v>4</v>
      </c>
      <c r="F76" s="141">
        <v>15</v>
      </c>
      <c r="G76" s="141">
        <v>255</v>
      </c>
      <c r="H76" s="141"/>
      <c r="I76" s="142">
        <f t="shared" si="3"/>
        <v>4.25</v>
      </c>
      <c r="J76" s="13" t="s">
        <v>60</v>
      </c>
      <c r="K76" s="13"/>
      <c r="L76" s="13" t="s">
        <v>418</v>
      </c>
      <c r="M76" s="13" t="s">
        <v>418</v>
      </c>
      <c r="N76" s="13"/>
      <c r="O76" s="11">
        <v>260</v>
      </c>
      <c r="P76" s="344">
        <v>5</v>
      </c>
      <c r="Q76" s="344">
        <v>4</v>
      </c>
      <c r="R76" s="344">
        <v>15</v>
      </c>
      <c r="S76" s="479">
        <v>255</v>
      </c>
    </row>
    <row r="77" spans="1:19" hidden="1">
      <c r="A77" s="140">
        <v>46087</v>
      </c>
      <c r="B77" s="13" t="s">
        <v>455</v>
      </c>
      <c r="C77" s="13" t="s">
        <v>1067</v>
      </c>
      <c r="D77" s="13" t="s">
        <v>46</v>
      </c>
      <c r="E77" s="141">
        <v>0</v>
      </c>
      <c r="F77" s="141">
        <v>18</v>
      </c>
      <c r="G77" s="141">
        <v>18</v>
      </c>
      <c r="H77" s="141"/>
      <c r="I77" s="142">
        <f t="shared" si="3"/>
        <v>0.3</v>
      </c>
      <c r="J77" s="13" t="s">
        <v>60</v>
      </c>
      <c r="K77" s="13"/>
      <c r="L77" s="13" t="s">
        <v>418</v>
      </c>
      <c r="M77" s="13" t="s">
        <v>418</v>
      </c>
      <c r="N77" s="13"/>
      <c r="O77" s="11">
        <v>260</v>
      </c>
      <c r="P77" s="344">
        <v>1</v>
      </c>
      <c r="Q77" s="344">
        <v>0</v>
      </c>
      <c r="R77" s="344">
        <v>18</v>
      </c>
      <c r="S77" s="479">
        <v>18</v>
      </c>
    </row>
    <row r="78" spans="1:19" hidden="1">
      <c r="A78" s="140">
        <v>46087</v>
      </c>
      <c r="B78" s="13" t="s">
        <v>455</v>
      </c>
      <c r="C78" s="13" t="s">
        <v>1068</v>
      </c>
      <c r="D78" s="13" t="s">
        <v>461</v>
      </c>
      <c r="E78" s="141">
        <v>9</v>
      </c>
      <c r="F78" s="141">
        <v>9</v>
      </c>
      <c r="G78" s="141">
        <v>549</v>
      </c>
      <c r="H78" s="141"/>
      <c r="I78" s="142">
        <f t="shared" si="3"/>
        <v>9.15</v>
      </c>
      <c r="J78" s="13" t="s">
        <v>59</v>
      </c>
      <c r="K78" s="13"/>
      <c r="L78" s="13" t="s">
        <v>418</v>
      </c>
      <c r="M78" s="13" t="s">
        <v>436</v>
      </c>
      <c r="N78" s="13"/>
      <c r="O78" s="11">
        <v>267</v>
      </c>
      <c r="P78" s="344">
        <v>10</v>
      </c>
      <c r="Q78" s="344">
        <v>9</v>
      </c>
      <c r="R78" s="344">
        <v>9</v>
      </c>
      <c r="S78" s="479">
        <v>549</v>
      </c>
    </row>
    <row r="79" spans="1:19" hidden="1">
      <c r="A79" s="140">
        <v>46087</v>
      </c>
      <c r="B79" s="13" t="s">
        <v>455</v>
      </c>
      <c r="C79" s="13" t="s">
        <v>1068</v>
      </c>
      <c r="D79" s="13" t="s">
        <v>462</v>
      </c>
      <c r="E79" s="141">
        <v>2</v>
      </c>
      <c r="F79" s="141">
        <v>34</v>
      </c>
      <c r="G79" s="141">
        <v>154</v>
      </c>
      <c r="H79" s="141"/>
      <c r="I79" s="142">
        <f t="shared" si="3"/>
        <v>2.5666666666666669</v>
      </c>
      <c r="J79" s="13" t="s">
        <v>63</v>
      </c>
      <c r="K79" s="13"/>
      <c r="L79" s="13" t="s">
        <v>418</v>
      </c>
      <c r="M79" s="13" t="s">
        <v>419</v>
      </c>
      <c r="N79" s="13"/>
      <c r="O79" s="11">
        <v>260</v>
      </c>
      <c r="P79" s="344">
        <v>3</v>
      </c>
      <c r="Q79" s="344">
        <v>2</v>
      </c>
      <c r="R79" s="344">
        <v>34</v>
      </c>
      <c r="S79" s="479">
        <v>154</v>
      </c>
    </row>
    <row r="80" spans="1:19" hidden="1">
      <c r="A80" s="140">
        <v>46087</v>
      </c>
      <c r="B80" s="13" t="s">
        <v>455</v>
      </c>
      <c r="C80" s="13" t="s">
        <v>1069</v>
      </c>
      <c r="D80" s="13" t="s">
        <v>42</v>
      </c>
      <c r="E80" s="141">
        <v>0</v>
      </c>
      <c r="F80" s="141">
        <v>11</v>
      </c>
      <c r="G80" s="141">
        <v>11</v>
      </c>
      <c r="H80" s="141"/>
      <c r="I80" s="142">
        <f t="shared" si="3"/>
        <v>0.18333333333333332</v>
      </c>
      <c r="J80" s="13" t="s">
        <v>356</v>
      </c>
      <c r="K80" s="13"/>
      <c r="L80" s="13" t="s">
        <v>354</v>
      </c>
      <c r="M80" s="13" t="s">
        <v>426</v>
      </c>
      <c r="N80" s="13" t="s">
        <v>400</v>
      </c>
      <c r="O80" s="11">
        <v>323</v>
      </c>
      <c r="P80" s="344">
        <v>1</v>
      </c>
      <c r="Q80" s="344">
        <v>0</v>
      </c>
      <c r="R80" s="344">
        <v>11</v>
      </c>
      <c r="S80" s="479">
        <v>11</v>
      </c>
    </row>
    <row r="81" spans="1:19" hidden="1">
      <c r="A81" s="140">
        <v>46087</v>
      </c>
      <c r="B81" s="13" t="s">
        <v>455</v>
      </c>
      <c r="C81" s="13" t="s">
        <v>1069</v>
      </c>
      <c r="D81" s="13" t="s">
        <v>43</v>
      </c>
      <c r="E81" s="141">
        <v>0</v>
      </c>
      <c r="F81" s="141">
        <v>67</v>
      </c>
      <c r="G81" s="141">
        <v>67</v>
      </c>
      <c r="H81" s="141"/>
      <c r="I81" s="142">
        <f t="shared" si="3"/>
        <v>1.1166666666666667</v>
      </c>
      <c r="J81" s="13" t="s">
        <v>356</v>
      </c>
      <c r="K81" s="13"/>
      <c r="L81" s="13" t="s">
        <v>354</v>
      </c>
      <c r="M81" s="13" t="s">
        <v>424</v>
      </c>
      <c r="N81" s="13" t="s">
        <v>400</v>
      </c>
      <c r="O81" s="11">
        <v>307</v>
      </c>
      <c r="P81" s="344">
        <v>1</v>
      </c>
      <c r="Q81" s="344">
        <v>1</v>
      </c>
      <c r="R81" s="344">
        <v>7</v>
      </c>
      <c r="S81" s="479">
        <v>67</v>
      </c>
    </row>
    <row r="82" spans="1:19" hidden="1">
      <c r="A82" s="140">
        <v>46087</v>
      </c>
      <c r="B82" s="13" t="s">
        <v>455</v>
      </c>
      <c r="C82" s="13" t="s">
        <v>1069</v>
      </c>
      <c r="D82" s="13" t="s">
        <v>45</v>
      </c>
      <c r="E82" s="141">
        <v>0</v>
      </c>
      <c r="F82" s="141">
        <v>29</v>
      </c>
      <c r="G82" s="141">
        <v>29</v>
      </c>
      <c r="H82" s="141"/>
      <c r="I82" s="142">
        <f t="shared" si="3"/>
        <v>0.48333333333333334</v>
      </c>
      <c r="J82" s="13" t="s">
        <v>356</v>
      </c>
      <c r="K82" s="13"/>
      <c r="L82" s="13" t="s">
        <v>354</v>
      </c>
      <c r="M82" s="13" t="s">
        <v>427</v>
      </c>
      <c r="N82" s="13" t="s">
        <v>400</v>
      </c>
      <c r="O82" s="11">
        <v>295</v>
      </c>
      <c r="P82" s="344">
        <v>1</v>
      </c>
      <c r="Q82" s="344">
        <v>0</v>
      </c>
      <c r="R82" s="344">
        <v>29</v>
      </c>
      <c r="S82" s="479">
        <v>29</v>
      </c>
    </row>
    <row r="83" spans="1:19" hidden="1">
      <c r="A83" s="140">
        <v>46087</v>
      </c>
      <c r="B83" s="13" t="s">
        <v>455</v>
      </c>
      <c r="C83" s="13" t="s">
        <v>1069</v>
      </c>
      <c r="D83" s="13" t="s">
        <v>44</v>
      </c>
      <c r="E83" s="141">
        <v>0</v>
      </c>
      <c r="F83" s="141">
        <v>4</v>
      </c>
      <c r="G83" s="141">
        <v>4</v>
      </c>
      <c r="H83" s="141"/>
      <c r="I83" s="142">
        <f t="shared" si="3"/>
        <v>6.6666666666666666E-2</v>
      </c>
      <c r="J83" s="13" t="s">
        <v>356</v>
      </c>
      <c r="K83" s="13"/>
      <c r="L83" s="13" t="s">
        <v>354</v>
      </c>
      <c r="M83" s="13" t="s">
        <v>424</v>
      </c>
      <c r="N83" s="13" t="s">
        <v>400</v>
      </c>
      <c r="O83" s="11">
        <v>307</v>
      </c>
      <c r="P83" s="344">
        <v>1</v>
      </c>
      <c r="Q83" s="344">
        <v>0</v>
      </c>
      <c r="R83" s="344">
        <v>4</v>
      </c>
      <c r="S83" s="479">
        <v>4</v>
      </c>
    </row>
    <row r="84" spans="1:19" hidden="1">
      <c r="A84" s="140">
        <v>46087</v>
      </c>
      <c r="B84" s="13" t="s">
        <v>455</v>
      </c>
      <c r="C84" s="13" t="s">
        <v>1069</v>
      </c>
      <c r="D84" s="13" t="s">
        <v>47</v>
      </c>
      <c r="E84" s="141">
        <v>0</v>
      </c>
      <c r="F84" s="141">
        <v>8</v>
      </c>
      <c r="G84" s="141">
        <v>8</v>
      </c>
      <c r="H84" s="141"/>
      <c r="I84" s="142">
        <f t="shared" si="3"/>
        <v>0.13333333333333333</v>
      </c>
      <c r="J84" s="13" t="s">
        <v>63</v>
      </c>
      <c r="K84" s="13"/>
      <c r="L84" s="13" t="s">
        <v>418</v>
      </c>
      <c r="M84" s="13" t="s">
        <v>419</v>
      </c>
      <c r="N84" s="13"/>
      <c r="O84" s="11">
        <v>260</v>
      </c>
      <c r="P84" s="344">
        <v>1</v>
      </c>
      <c r="Q84" s="344">
        <v>0</v>
      </c>
      <c r="R84" s="344">
        <v>8</v>
      </c>
      <c r="S84" s="479">
        <v>8</v>
      </c>
    </row>
    <row r="85" spans="1:19" hidden="1">
      <c r="A85" s="140">
        <v>46087</v>
      </c>
      <c r="B85" s="13" t="s">
        <v>455</v>
      </c>
      <c r="C85" s="13" t="s">
        <v>1070</v>
      </c>
      <c r="D85" s="13" t="s">
        <v>42</v>
      </c>
      <c r="E85" s="141">
        <v>0</v>
      </c>
      <c r="F85" s="141">
        <v>40</v>
      </c>
      <c r="G85" s="141">
        <v>40</v>
      </c>
      <c r="H85" s="141"/>
      <c r="I85" s="142">
        <f t="shared" si="3"/>
        <v>0.66666666666666663</v>
      </c>
      <c r="J85" s="13" t="s">
        <v>356</v>
      </c>
      <c r="K85" s="13"/>
      <c r="L85" s="13" t="s">
        <v>354</v>
      </c>
      <c r="M85" s="13" t="s">
        <v>426</v>
      </c>
      <c r="N85" s="13" t="s">
        <v>400</v>
      </c>
      <c r="O85" s="11">
        <v>323</v>
      </c>
      <c r="P85" s="344">
        <v>1</v>
      </c>
      <c r="Q85" s="344">
        <v>0</v>
      </c>
      <c r="R85" s="344">
        <v>40</v>
      </c>
      <c r="S85" s="479">
        <v>40</v>
      </c>
    </row>
    <row r="86" spans="1:19" hidden="1">
      <c r="A86" s="140">
        <v>46087</v>
      </c>
      <c r="B86" s="13" t="s">
        <v>455</v>
      </c>
      <c r="C86" s="13" t="s">
        <v>1070</v>
      </c>
      <c r="D86" s="13" t="s">
        <v>43</v>
      </c>
      <c r="E86" s="141">
        <v>3</v>
      </c>
      <c r="F86" s="141">
        <v>52</v>
      </c>
      <c r="G86" s="141">
        <v>232</v>
      </c>
      <c r="H86" s="141"/>
      <c r="I86" s="142">
        <f t="shared" si="3"/>
        <v>3.8666666666666667</v>
      </c>
      <c r="J86" s="13" t="s">
        <v>356</v>
      </c>
      <c r="K86" s="13"/>
      <c r="L86" s="13" t="s">
        <v>354</v>
      </c>
      <c r="M86" s="13" t="s">
        <v>424</v>
      </c>
      <c r="N86" s="13" t="s">
        <v>400</v>
      </c>
      <c r="O86" s="11">
        <v>307</v>
      </c>
      <c r="P86" s="344">
        <v>4</v>
      </c>
      <c r="Q86" s="344">
        <v>3</v>
      </c>
      <c r="R86" s="344">
        <v>52</v>
      </c>
      <c r="S86" s="479">
        <v>232</v>
      </c>
    </row>
    <row r="87" spans="1:19" hidden="1">
      <c r="A87" s="140">
        <v>46087</v>
      </c>
      <c r="B87" s="13" t="s">
        <v>455</v>
      </c>
      <c r="C87" s="13" t="s">
        <v>1070</v>
      </c>
      <c r="D87" s="13" t="s">
        <v>45</v>
      </c>
      <c r="E87" s="141">
        <v>1</v>
      </c>
      <c r="F87" s="141">
        <v>24</v>
      </c>
      <c r="G87" s="141">
        <v>84</v>
      </c>
      <c r="H87" s="141"/>
      <c r="I87" s="142">
        <f t="shared" si="3"/>
        <v>1.4</v>
      </c>
      <c r="J87" s="13" t="s">
        <v>356</v>
      </c>
      <c r="K87" s="13"/>
      <c r="L87" s="13" t="s">
        <v>354</v>
      </c>
      <c r="M87" s="13" t="s">
        <v>427</v>
      </c>
      <c r="N87" s="13" t="s">
        <v>400</v>
      </c>
      <c r="O87" s="11">
        <v>295</v>
      </c>
      <c r="P87" s="344">
        <v>2</v>
      </c>
      <c r="Q87" s="344">
        <v>1</v>
      </c>
      <c r="R87" s="344">
        <v>24</v>
      </c>
      <c r="S87" s="479">
        <v>84</v>
      </c>
    </row>
    <row r="88" spans="1:19" hidden="1">
      <c r="A88" s="140">
        <v>46087</v>
      </c>
      <c r="B88" s="13" t="s">
        <v>455</v>
      </c>
      <c r="C88" s="13" t="s">
        <v>1070</v>
      </c>
      <c r="D88" s="13" t="s">
        <v>44</v>
      </c>
      <c r="E88" s="141">
        <v>0</v>
      </c>
      <c r="F88" s="141">
        <v>26</v>
      </c>
      <c r="G88" s="141">
        <v>26</v>
      </c>
      <c r="H88" s="141"/>
      <c r="I88" s="142">
        <f t="shared" si="3"/>
        <v>0.43333333333333335</v>
      </c>
      <c r="J88" s="13" t="s">
        <v>356</v>
      </c>
      <c r="K88" s="13"/>
      <c r="L88" s="13" t="s">
        <v>354</v>
      </c>
      <c r="M88" s="13" t="s">
        <v>424</v>
      </c>
      <c r="N88" s="13" t="s">
        <v>400</v>
      </c>
      <c r="O88" s="11">
        <v>307</v>
      </c>
      <c r="P88" s="344">
        <v>1</v>
      </c>
      <c r="Q88" s="344">
        <v>0</v>
      </c>
      <c r="R88" s="344">
        <v>26</v>
      </c>
      <c r="S88" s="479">
        <v>26</v>
      </c>
    </row>
    <row r="89" spans="1:19" hidden="1">
      <c r="A89" s="140">
        <v>46087</v>
      </c>
      <c r="B89" s="13" t="s">
        <v>455</v>
      </c>
      <c r="C89" s="13" t="s">
        <v>1070</v>
      </c>
      <c r="D89" s="13" t="s">
        <v>47</v>
      </c>
      <c r="E89" s="141">
        <v>0</v>
      </c>
      <c r="F89" s="141">
        <v>35</v>
      </c>
      <c r="G89" s="141">
        <v>35</v>
      </c>
      <c r="H89" s="141"/>
      <c r="I89" s="142">
        <f t="shared" si="3"/>
        <v>0.58333333333333337</v>
      </c>
      <c r="J89" s="13" t="s">
        <v>62</v>
      </c>
      <c r="K89" s="13"/>
      <c r="L89" s="13" t="s">
        <v>418</v>
      </c>
      <c r="M89" s="13" t="s">
        <v>419</v>
      </c>
      <c r="N89" s="13"/>
      <c r="O89" s="11">
        <v>200</v>
      </c>
      <c r="P89" s="344">
        <v>1</v>
      </c>
      <c r="Q89" s="344">
        <v>0</v>
      </c>
      <c r="R89" s="344">
        <v>35</v>
      </c>
      <c r="S89" s="479">
        <v>35</v>
      </c>
    </row>
    <row r="90" spans="1:19" hidden="1">
      <c r="A90" s="140">
        <v>46087</v>
      </c>
      <c r="B90" s="13" t="s">
        <v>455</v>
      </c>
      <c r="C90" s="13" t="s">
        <v>1070</v>
      </c>
      <c r="D90" s="13" t="s">
        <v>46</v>
      </c>
      <c r="E90" s="141">
        <v>0</v>
      </c>
      <c r="F90" s="141">
        <v>7</v>
      </c>
      <c r="G90" s="141">
        <v>7</v>
      </c>
      <c r="H90" s="141"/>
      <c r="I90" s="142">
        <f t="shared" si="3"/>
        <v>0.11666666666666667</v>
      </c>
      <c r="J90" s="13" t="s">
        <v>60</v>
      </c>
      <c r="K90" s="13"/>
      <c r="L90" s="13" t="s">
        <v>418</v>
      </c>
      <c r="M90" s="13" t="s">
        <v>418</v>
      </c>
      <c r="N90" s="13"/>
      <c r="O90" s="11">
        <v>260</v>
      </c>
      <c r="P90" s="344">
        <v>1</v>
      </c>
      <c r="Q90" s="344">
        <v>0</v>
      </c>
      <c r="R90" s="344">
        <v>7</v>
      </c>
      <c r="S90" s="479">
        <v>7</v>
      </c>
    </row>
    <row r="91" spans="1:19" hidden="1">
      <c r="A91" s="140">
        <v>46087</v>
      </c>
      <c r="B91" s="13" t="s">
        <v>455</v>
      </c>
      <c r="C91" s="13" t="s">
        <v>1071</v>
      </c>
      <c r="D91" s="13" t="s">
        <v>391</v>
      </c>
      <c r="E91" s="141">
        <v>23</v>
      </c>
      <c r="F91" s="141">
        <v>55</v>
      </c>
      <c r="G91" s="141">
        <v>1435</v>
      </c>
      <c r="H91" s="141"/>
      <c r="I91" s="142">
        <f t="shared" si="3"/>
        <v>23.916666666666668</v>
      </c>
      <c r="J91" s="13" t="s">
        <v>440</v>
      </c>
      <c r="K91" s="13"/>
      <c r="L91" s="13" t="s">
        <v>418</v>
      </c>
      <c r="M91" s="13" t="s">
        <v>391</v>
      </c>
      <c r="N91" s="13" t="s">
        <v>463</v>
      </c>
      <c r="O91" s="11">
        <v>240</v>
      </c>
      <c r="P91" s="344">
        <v>24</v>
      </c>
      <c r="Q91" s="344">
        <v>23</v>
      </c>
      <c r="R91" s="344">
        <v>55</v>
      </c>
      <c r="S91" s="479">
        <v>1435</v>
      </c>
    </row>
    <row r="92" spans="1:19" hidden="1">
      <c r="A92" s="140">
        <v>46087</v>
      </c>
      <c r="B92" s="13" t="s">
        <v>455</v>
      </c>
      <c r="C92" s="13" t="s">
        <v>1071</v>
      </c>
      <c r="D92" s="13" t="s">
        <v>392</v>
      </c>
      <c r="E92" s="141">
        <v>5</v>
      </c>
      <c r="F92" s="141">
        <v>31</v>
      </c>
      <c r="G92" s="141">
        <v>331</v>
      </c>
      <c r="H92" s="141"/>
      <c r="I92" s="142">
        <f t="shared" si="3"/>
        <v>5.5166666666666666</v>
      </c>
      <c r="J92" s="13" t="s">
        <v>355</v>
      </c>
      <c r="K92" s="13"/>
      <c r="L92" s="13" t="s">
        <v>418</v>
      </c>
      <c r="M92" s="13" t="s">
        <v>422</v>
      </c>
      <c r="N92" s="13"/>
      <c r="O92" s="11">
        <v>140</v>
      </c>
      <c r="P92" s="344">
        <v>6</v>
      </c>
      <c r="Q92" s="344">
        <v>5</v>
      </c>
      <c r="R92" s="344">
        <v>31</v>
      </c>
      <c r="S92" s="479">
        <v>331</v>
      </c>
    </row>
    <row r="93" spans="1:19" hidden="1">
      <c r="A93" s="13"/>
      <c r="B93" s="13"/>
      <c r="C93" s="13"/>
      <c r="D93" s="13"/>
      <c r="E93" s="143">
        <f>SUM(E2:E92)</f>
        <v>1005</v>
      </c>
      <c r="F93" s="143">
        <f>SUM(F2:F92)</f>
        <v>2959</v>
      </c>
      <c r="G93" s="143">
        <f>SUM(G2:G92)</f>
        <v>59902</v>
      </c>
      <c r="H93" s="143"/>
      <c r="I93" s="142">
        <f t="shared" si="3"/>
        <v>998.36666666666667</v>
      </c>
      <c r="J93" s="13"/>
      <c r="K93" s="13"/>
      <c r="L93" s="13"/>
      <c r="M93" s="13"/>
      <c r="N93" s="13"/>
      <c r="O93" s="11"/>
      <c r="P93" s="344"/>
      <c r="Q93" s="344"/>
      <c r="R93" s="344"/>
      <c r="S93" s="344">
        <f>SUBTOTAL(9,S4:S88)</f>
        <v>23492.899999999998</v>
      </c>
    </row>
    <row r="94" spans="1:19" hidden="1">
      <c r="A94" s="13"/>
      <c r="B94" s="13"/>
      <c r="C94" s="13"/>
      <c r="D94" s="13"/>
      <c r="E94" s="13"/>
      <c r="F94" s="13"/>
      <c r="G94" s="13"/>
      <c r="H94" s="13"/>
      <c r="I94" s="144">
        <f>+I93/283.5</f>
        <v>3.5215755437977658</v>
      </c>
      <c r="J94" s="13"/>
      <c r="K94" s="13"/>
      <c r="L94" s="13"/>
      <c r="M94" s="13"/>
      <c r="N94" s="13"/>
      <c r="O94" s="11"/>
      <c r="P94" s="344"/>
      <c r="Q94" s="344"/>
      <c r="R94" s="344"/>
      <c r="S94" s="344"/>
    </row>
    <row r="95" spans="1:19" hidden="1">
      <c r="A95" s="13"/>
      <c r="B95" s="13"/>
      <c r="C95" s="13"/>
      <c r="D95" s="13"/>
      <c r="E95" s="13">
        <f>G93/60</f>
        <v>998.36666666666667</v>
      </c>
      <c r="F95" s="13"/>
      <c r="G95" s="13"/>
      <c r="H95" s="13"/>
      <c r="I95" s="13"/>
      <c r="J95" s="13"/>
      <c r="K95" s="13"/>
      <c r="L95" s="13"/>
      <c r="M95" s="13"/>
      <c r="N95" s="13"/>
      <c r="O95" s="11"/>
      <c r="P95" s="344"/>
      <c r="Q95" s="344"/>
      <c r="R95" s="344"/>
      <c r="S95" s="344"/>
    </row>
  </sheetData>
  <autoFilter ref="A1:O95" xr:uid="{501600F5-AB9F-474D-908A-105648EF2C53}">
    <filterColumn colId="1">
      <filters>
        <filter val="Olbonata/CA0006"/>
        <filter val="Timboiywa Farm/CB532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FEC1-D415-44E7-9984-DE79D1C6527C}">
  <sheetPr filterMode="1">
    <tabColor theme="7" tint="0.79998168889431442"/>
  </sheetPr>
  <dimension ref="A1:X65"/>
  <sheetViews>
    <sheetView workbookViewId="0">
      <selection activeCell="H30" sqref="A1:X65"/>
    </sheetView>
  </sheetViews>
  <sheetFormatPr defaultRowHeight="14.5"/>
  <cols>
    <col min="1" max="1" width="15.54296875" customWidth="1"/>
    <col min="2" max="2" width="18.54296875" customWidth="1"/>
    <col min="5" max="6" width="9" bestFit="1" customWidth="1"/>
    <col min="7" max="7" width="9.54296875" bestFit="1" customWidth="1"/>
    <col min="8" max="8" width="9.54296875" customWidth="1"/>
    <col min="9" max="9" width="19.453125" bestFit="1" customWidth="1"/>
    <col min="10" max="10" width="16.6328125" bestFit="1" customWidth="1"/>
    <col min="11" max="11" width="20.6328125" bestFit="1" customWidth="1"/>
    <col min="12" max="12" width="16.453125" customWidth="1"/>
    <col min="13" max="13" width="15.81640625" customWidth="1"/>
    <col min="14" max="15" width="11" customWidth="1"/>
    <col min="16" max="16" width="11.453125" bestFit="1" customWidth="1"/>
    <col min="17" max="17" width="14.81640625" bestFit="1" customWidth="1"/>
    <col min="18" max="18" width="14.1796875" customWidth="1"/>
    <col min="19" max="19" width="22.54296875" bestFit="1" customWidth="1"/>
    <col min="20" max="23" width="14.54296875" customWidth="1"/>
    <col min="24" max="24" width="12.81640625" customWidth="1"/>
  </cols>
  <sheetData>
    <row r="1" spans="1:24" ht="15" thickBot="1"/>
    <row r="2" spans="1:24" ht="16" thickBot="1">
      <c r="A2" s="165" t="s">
        <v>22</v>
      </c>
      <c r="B2" s="168" t="s">
        <v>344</v>
      </c>
      <c r="C2" s="152" t="s">
        <v>497</v>
      </c>
      <c r="D2" s="169" t="s">
        <v>23</v>
      </c>
      <c r="E2" s="170" t="s">
        <v>24</v>
      </c>
      <c r="F2" s="171" t="s">
        <v>111</v>
      </c>
      <c r="G2" s="169" t="s">
        <v>345</v>
      </c>
      <c r="H2" s="169"/>
      <c r="I2" s="165" t="s">
        <v>26</v>
      </c>
      <c r="J2" s="169" t="s">
        <v>814</v>
      </c>
      <c r="K2" s="169" t="s">
        <v>1056</v>
      </c>
      <c r="L2" s="172" t="s">
        <v>348</v>
      </c>
      <c r="M2" s="181" t="s">
        <v>528</v>
      </c>
      <c r="N2" s="14"/>
      <c r="O2" s="2" t="s">
        <v>1</v>
      </c>
      <c r="P2" s="345" t="s">
        <v>405</v>
      </c>
      <c r="Q2" s="345" t="s">
        <v>406</v>
      </c>
      <c r="R2" s="14" t="s">
        <v>407</v>
      </c>
      <c r="S2" s="528" t="s">
        <v>1145</v>
      </c>
      <c r="T2" s="221" t="s">
        <v>705</v>
      </c>
      <c r="U2" s="221" t="s">
        <v>706</v>
      </c>
      <c r="V2" s="221" t="s">
        <v>704</v>
      </c>
      <c r="W2" s="221" t="s">
        <v>707</v>
      </c>
    </row>
    <row r="3" spans="1:24" ht="15.5" hidden="1">
      <c r="A3" s="166" t="s">
        <v>575</v>
      </c>
      <c r="B3" s="153" t="s">
        <v>576</v>
      </c>
      <c r="C3" s="154" t="s">
        <v>501</v>
      </c>
      <c r="D3" s="155" t="s">
        <v>42</v>
      </c>
      <c r="E3" s="173">
        <v>50</v>
      </c>
      <c r="F3" s="174">
        <v>41</v>
      </c>
      <c r="G3" s="159">
        <v>3037</v>
      </c>
      <c r="H3" s="159"/>
      <c r="I3" s="159" t="s">
        <v>54</v>
      </c>
      <c r="J3" s="175" t="s">
        <v>354</v>
      </c>
      <c r="K3" s="175" t="s">
        <v>434</v>
      </c>
      <c r="L3" s="175"/>
      <c r="M3" s="182">
        <v>335</v>
      </c>
      <c r="N3" s="14">
        <f>(G3/60*M3)*1.2</f>
        <v>20347.899999999998</v>
      </c>
      <c r="O3" s="14"/>
      <c r="P3" s="344">
        <v>70344</v>
      </c>
      <c r="Q3" s="344">
        <v>3037.2</v>
      </c>
      <c r="R3" s="332">
        <f>Q3/60*M3*1.2</f>
        <v>20349.240000000002</v>
      </c>
      <c r="S3" s="651">
        <v>46141</v>
      </c>
      <c r="T3" s="230">
        <v>51</v>
      </c>
      <c r="U3" s="231">
        <v>50</v>
      </c>
      <c r="V3" s="230">
        <v>30.1</v>
      </c>
      <c r="W3" s="231">
        <v>3030.1</v>
      </c>
      <c r="X3" s="900">
        <f>W3-Q3</f>
        <v>-7.0999999999999091</v>
      </c>
    </row>
    <row r="4" spans="1:24" ht="15.5" hidden="1">
      <c r="A4" s="166" t="s">
        <v>577</v>
      </c>
      <c r="B4" s="176" t="s">
        <v>576</v>
      </c>
      <c r="C4" s="154" t="s">
        <v>501</v>
      </c>
      <c r="D4" s="155" t="s">
        <v>42</v>
      </c>
      <c r="E4" s="173">
        <v>56</v>
      </c>
      <c r="F4" s="174">
        <v>48</v>
      </c>
      <c r="G4" s="159">
        <v>3410</v>
      </c>
      <c r="H4" s="158"/>
      <c r="I4" s="158" t="s">
        <v>45</v>
      </c>
      <c r="J4" s="158" t="s">
        <v>354</v>
      </c>
      <c r="K4" s="158" t="s">
        <v>434</v>
      </c>
      <c r="L4" s="159"/>
      <c r="M4" s="182">
        <v>335</v>
      </c>
      <c r="N4" s="14">
        <f t="shared" ref="N4:N20" si="0">(G4/60*M4)*1.2</f>
        <v>22847</v>
      </c>
      <c r="O4" s="14"/>
      <c r="P4" s="344">
        <v>70345</v>
      </c>
      <c r="Q4" s="344">
        <v>3410.8</v>
      </c>
      <c r="R4" s="332">
        <f t="shared" ref="R4:R20" si="1">Q4/60*M4*1.2</f>
        <v>22852.36</v>
      </c>
      <c r="S4" s="651">
        <v>46141</v>
      </c>
      <c r="T4" s="230">
        <v>57</v>
      </c>
      <c r="U4" s="231">
        <v>57</v>
      </c>
      <c r="V4" s="230">
        <v>22.7</v>
      </c>
      <c r="W4" s="231">
        <v>3442.7</v>
      </c>
      <c r="X4" s="900">
        <f t="shared" ref="X4:X20" si="2">W4-Q4</f>
        <v>31.899999999999636</v>
      </c>
    </row>
    <row r="5" spans="1:24" ht="15.5" hidden="1">
      <c r="A5" s="166" t="s">
        <v>578</v>
      </c>
      <c r="B5" s="176" t="s">
        <v>576</v>
      </c>
      <c r="C5" s="154" t="s">
        <v>501</v>
      </c>
      <c r="D5" s="155" t="s">
        <v>42</v>
      </c>
      <c r="E5" s="173">
        <v>19</v>
      </c>
      <c r="F5" s="174"/>
      <c r="G5" s="159">
        <v>1165</v>
      </c>
      <c r="H5" s="158"/>
      <c r="I5" s="158" t="s">
        <v>356</v>
      </c>
      <c r="J5" s="158" t="s">
        <v>354</v>
      </c>
      <c r="K5" s="158" t="s">
        <v>426</v>
      </c>
      <c r="L5" s="159"/>
      <c r="M5" s="182">
        <v>323</v>
      </c>
      <c r="N5" s="14">
        <f t="shared" si="0"/>
        <v>7525.9000000000005</v>
      </c>
      <c r="O5" s="14"/>
      <c r="P5" s="344">
        <v>70346</v>
      </c>
      <c r="Q5" s="344">
        <v>1165.3</v>
      </c>
      <c r="R5" s="332">
        <f t="shared" si="1"/>
        <v>7527.8379999999997</v>
      </c>
      <c r="S5" s="651">
        <v>46141</v>
      </c>
      <c r="T5" s="230">
        <v>20</v>
      </c>
      <c r="U5" s="231">
        <v>19</v>
      </c>
      <c r="V5" s="230">
        <v>33</v>
      </c>
      <c r="W5" s="231">
        <v>1173</v>
      </c>
      <c r="X5" s="900">
        <f t="shared" si="2"/>
        <v>7.7000000000000455</v>
      </c>
    </row>
    <row r="6" spans="1:24" ht="15.5" hidden="1">
      <c r="A6" s="166" t="s">
        <v>579</v>
      </c>
      <c r="B6" s="176" t="s">
        <v>576</v>
      </c>
      <c r="C6" s="154" t="s">
        <v>501</v>
      </c>
      <c r="D6" s="155" t="s">
        <v>42</v>
      </c>
      <c r="E6" s="173">
        <f>33+3</f>
        <v>36</v>
      </c>
      <c r="F6" s="174">
        <v>41</v>
      </c>
      <c r="G6" s="159">
        <v>2181</v>
      </c>
      <c r="H6" s="158"/>
      <c r="I6" s="158" t="s">
        <v>525</v>
      </c>
      <c r="J6" s="158" t="s">
        <v>354</v>
      </c>
      <c r="K6" s="158" t="s">
        <v>1130</v>
      </c>
      <c r="L6" s="159" t="s">
        <v>400</v>
      </c>
      <c r="M6" s="182">
        <v>323</v>
      </c>
      <c r="N6" s="14">
        <f t="shared" si="0"/>
        <v>14089.26</v>
      </c>
      <c r="O6" s="14"/>
      <c r="P6" s="344">
        <v>70347</v>
      </c>
      <c r="Q6" s="344">
        <v>2181.9</v>
      </c>
      <c r="R6" s="332">
        <f t="shared" si="1"/>
        <v>14095.074000000001</v>
      </c>
      <c r="S6" s="651">
        <v>46141</v>
      </c>
      <c r="T6" s="230">
        <v>37</v>
      </c>
      <c r="U6" s="231">
        <v>36</v>
      </c>
      <c r="V6" s="230">
        <v>39.700000000000003</v>
      </c>
      <c r="W6" s="231">
        <v>2199.6999999999998</v>
      </c>
      <c r="X6" s="900">
        <f t="shared" si="2"/>
        <v>17.799999999999727</v>
      </c>
    </row>
    <row r="7" spans="1:24" ht="15.5" hidden="1">
      <c r="A7" s="166" t="s">
        <v>580</v>
      </c>
      <c r="B7" s="176" t="s">
        <v>576</v>
      </c>
      <c r="C7" s="154" t="s">
        <v>501</v>
      </c>
      <c r="D7" s="155" t="s">
        <v>42</v>
      </c>
      <c r="E7" s="173">
        <f>10+43</f>
        <v>53</v>
      </c>
      <c r="F7" s="174">
        <v>23</v>
      </c>
      <c r="G7" s="159">
        <v>3205</v>
      </c>
      <c r="H7" s="158"/>
      <c r="I7" s="158" t="s">
        <v>89</v>
      </c>
      <c r="J7" s="158" t="s">
        <v>351</v>
      </c>
      <c r="K7" s="158" t="s">
        <v>633</v>
      </c>
      <c r="L7" s="159"/>
      <c r="M7" s="182">
        <v>350</v>
      </c>
      <c r="N7" s="14">
        <f t="shared" si="0"/>
        <v>22434.999999999996</v>
      </c>
      <c r="O7" s="14"/>
      <c r="P7" s="344">
        <v>70348</v>
      </c>
      <c r="Q7" s="344">
        <v>3206.3</v>
      </c>
      <c r="R7" s="332">
        <f t="shared" si="1"/>
        <v>22444.100000000002</v>
      </c>
      <c r="S7" s="651" t="s">
        <v>1193</v>
      </c>
      <c r="T7" s="230">
        <v>54</v>
      </c>
      <c r="U7" s="231">
        <v>53</v>
      </c>
      <c r="V7" s="230">
        <v>57.4</v>
      </c>
      <c r="W7" s="231">
        <v>3237.4</v>
      </c>
      <c r="X7" s="900">
        <f t="shared" si="2"/>
        <v>31.099999999999909</v>
      </c>
    </row>
    <row r="8" spans="1:24" ht="15.5" hidden="1">
      <c r="A8" s="166" t="s">
        <v>581</v>
      </c>
      <c r="B8" s="153" t="s">
        <v>582</v>
      </c>
      <c r="C8" s="154" t="s">
        <v>501</v>
      </c>
      <c r="D8" s="155" t="s">
        <v>42</v>
      </c>
      <c r="E8" s="173">
        <v>31</v>
      </c>
      <c r="F8" s="174">
        <v>11</v>
      </c>
      <c r="G8" s="159">
        <v>1874</v>
      </c>
      <c r="H8" s="158"/>
      <c r="I8" s="158" t="s">
        <v>356</v>
      </c>
      <c r="J8" s="158" t="s">
        <v>354</v>
      </c>
      <c r="K8" s="158" t="s">
        <v>426</v>
      </c>
      <c r="L8" s="159"/>
      <c r="M8" s="182">
        <v>323</v>
      </c>
      <c r="N8" s="14">
        <f t="shared" si="0"/>
        <v>12106.039999999999</v>
      </c>
      <c r="O8" s="14"/>
      <c r="P8" s="344">
        <v>70362</v>
      </c>
      <c r="Q8" s="344">
        <v>1874.4</v>
      </c>
      <c r="R8" s="332">
        <f t="shared" si="1"/>
        <v>12108.624</v>
      </c>
      <c r="S8" s="651">
        <v>46141</v>
      </c>
      <c r="T8" s="230">
        <v>32</v>
      </c>
      <c r="U8" s="231">
        <v>31</v>
      </c>
      <c r="V8" s="230">
        <v>17.2</v>
      </c>
      <c r="W8" s="231">
        <v>1877.2</v>
      </c>
      <c r="X8" s="900">
        <f t="shared" si="2"/>
        <v>2.7999999999999545</v>
      </c>
    </row>
    <row r="9" spans="1:24" ht="15.5" hidden="1">
      <c r="A9" s="166" t="s">
        <v>578</v>
      </c>
      <c r="B9" s="153" t="s">
        <v>576</v>
      </c>
      <c r="C9" s="154" t="s">
        <v>501</v>
      </c>
      <c r="D9" s="155" t="s">
        <v>43</v>
      </c>
      <c r="E9" s="173">
        <v>25</v>
      </c>
      <c r="F9" s="174">
        <v>68</v>
      </c>
      <c r="G9" s="159">
        <v>1567</v>
      </c>
      <c r="H9" s="158"/>
      <c r="I9" s="158" t="s">
        <v>525</v>
      </c>
      <c r="J9" s="158" t="s">
        <v>354</v>
      </c>
      <c r="K9" s="158" t="s">
        <v>749</v>
      </c>
      <c r="L9" s="159"/>
      <c r="M9" s="182">
        <v>306</v>
      </c>
      <c r="N9" s="14">
        <f t="shared" si="0"/>
        <v>9590.0399999999991</v>
      </c>
      <c r="O9" s="14"/>
      <c r="P9" s="344">
        <v>70349</v>
      </c>
      <c r="Q9" s="344">
        <v>1567.3</v>
      </c>
      <c r="R9" s="332">
        <f t="shared" si="1"/>
        <v>9591.8759999999984</v>
      </c>
      <c r="S9" s="651">
        <v>46141</v>
      </c>
      <c r="T9" s="230">
        <v>26</v>
      </c>
      <c r="U9" s="231">
        <v>26</v>
      </c>
      <c r="V9" s="230">
        <v>15.6</v>
      </c>
      <c r="W9" s="231">
        <v>1575.6</v>
      </c>
      <c r="X9" s="900">
        <f t="shared" si="2"/>
        <v>8.2999999999999545</v>
      </c>
    </row>
    <row r="10" spans="1:24" ht="15.5" hidden="1">
      <c r="A10" s="166" t="s">
        <v>583</v>
      </c>
      <c r="B10" s="153" t="s">
        <v>576</v>
      </c>
      <c r="C10" s="154" t="s">
        <v>501</v>
      </c>
      <c r="D10" s="155" t="s">
        <v>43</v>
      </c>
      <c r="E10" s="173">
        <v>75</v>
      </c>
      <c r="F10" s="174">
        <v>63</v>
      </c>
      <c r="G10" s="159">
        <v>4573</v>
      </c>
      <c r="H10" s="158"/>
      <c r="I10" s="158" t="s">
        <v>54</v>
      </c>
      <c r="J10" s="158" t="s">
        <v>354</v>
      </c>
      <c r="K10" s="158" t="s">
        <v>697</v>
      </c>
      <c r="L10" s="177"/>
      <c r="M10" s="182">
        <v>330</v>
      </c>
      <c r="N10" s="14">
        <f t="shared" si="0"/>
        <v>30181.8</v>
      </c>
      <c r="O10" s="14"/>
      <c r="P10" s="344">
        <v>70350</v>
      </c>
      <c r="Q10" s="344">
        <v>4564.8</v>
      </c>
      <c r="R10" s="332">
        <f t="shared" si="1"/>
        <v>30127.679999999997</v>
      </c>
      <c r="S10" s="651">
        <v>46141</v>
      </c>
      <c r="T10" s="230">
        <v>76</v>
      </c>
      <c r="U10" s="231">
        <v>76</v>
      </c>
      <c r="V10" s="230">
        <v>42.6</v>
      </c>
      <c r="W10" s="231">
        <v>4602.6000000000004</v>
      </c>
      <c r="X10" s="900">
        <f t="shared" si="2"/>
        <v>37.800000000000182</v>
      </c>
    </row>
    <row r="11" spans="1:24" ht="15.5" hidden="1">
      <c r="A11" s="166" t="s">
        <v>579</v>
      </c>
      <c r="B11" s="153" t="s">
        <v>576</v>
      </c>
      <c r="C11" s="154" t="s">
        <v>501</v>
      </c>
      <c r="D11" s="155" t="s">
        <v>43</v>
      </c>
      <c r="E11" s="173">
        <f>43+4</f>
        <v>47</v>
      </c>
      <c r="F11" s="174">
        <v>19</v>
      </c>
      <c r="G11" s="159">
        <v>2844</v>
      </c>
      <c r="H11" s="158"/>
      <c r="I11" s="158" t="s">
        <v>525</v>
      </c>
      <c r="J11" s="158" t="s">
        <v>354</v>
      </c>
      <c r="K11" s="158" t="s">
        <v>749</v>
      </c>
      <c r="L11" s="177" t="s">
        <v>400</v>
      </c>
      <c r="M11" s="182">
        <v>306</v>
      </c>
      <c r="N11" s="14">
        <f t="shared" si="0"/>
        <v>17405.28</v>
      </c>
      <c r="O11" s="14"/>
      <c r="P11" s="344">
        <v>70351</v>
      </c>
      <c r="Q11" s="344">
        <v>2845.1</v>
      </c>
      <c r="R11" s="332">
        <f t="shared" si="1"/>
        <v>17412.011999999999</v>
      </c>
      <c r="S11" s="651">
        <v>46141</v>
      </c>
      <c r="T11" s="230">
        <v>48</v>
      </c>
      <c r="U11" s="231">
        <v>47</v>
      </c>
      <c r="V11" s="230">
        <v>43.8</v>
      </c>
      <c r="W11" s="231">
        <v>2863.8</v>
      </c>
      <c r="X11" s="900">
        <f t="shared" si="2"/>
        <v>18.700000000000273</v>
      </c>
    </row>
    <row r="12" spans="1:24" ht="15.5" hidden="1">
      <c r="A12" s="166" t="s">
        <v>581</v>
      </c>
      <c r="B12" s="153" t="s">
        <v>582</v>
      </c>
      <c r="C12" s="154" t="s">
        <v>501</v>
      </c>
      <c r="D12" s="155" t="s">
        <v>43</v>
      </c>
      <c r="E12" s="173">
        <v>29</v>
      </c>
      <c r="F12" s="174">
        <v>59</v>
      </c>
      <c r="G12" s="159">
        <v>1802</v>
      </c>
      <c r="H12" s="158"/>
      <c r="I12" s="158" t="s">
        <v>356</v>
      </c>
      <c r="J12" s="158" t="s">
        <v>354</v>
      </c>
      <c r="K12" s="158" t="s">
        <v>749</v>
      </c>
      <c r="L12" s="177"/>
      <c r="M12" s="182">
        <v>323</v>
      </c>
      <c r="N12" s="14">
        <f t="shared" si="0"/>
        <v>11640.92</v>
      </c>
      <c r="O12" s="14"/>
      <c r="P12" s="344">
        <v>70352</v>
      </c>
      <c r="Q12" s="344">
        <v>1802.2</v>
      </c>
      <c r="R12" s="332">
        <f t="shared" si="1"/>
        <v>11642.212000000001</v>
      </c>
      <c r="S12" s="651">
        <v>46141</v>
      </c>
      <c r="T12" s="230">
        <v>30</v>
      </c>
      <c r="U12" s="231">
        <v>30</v>
      </c>
      <c r="V12" s="230">
        <v>9</v>
      </c>
      <c r="W12" s="231">
        <v>1809</v>
      </c>
      <c r="X12" s="900">
        <f t="shared" si="2"/>
        <v>6.7999999999999545</v>
      </c>
    </row>
    <row r="13" spans="1:24" ht="15.5" hidden="1">
      <c r="A13" s="166" t="s">
        <v>584</v>
      </c>
      <c r="B13" s="153" t="s">
        <v>582</v>
      </c>
      <c r="C13" s="154" t="s">
        <v>501</v>
      </c>
      <c r="D13" s="155" t="s">
        <v>45</v>
      </c>
      <c r="E13" s="156">
        <v>30</v>
      </c>
      <c r="F13" s="157">
        <v>67</v>
      </c>
      <c r="G13" s="159">
        <v>1867</v>
      </c>
      <c r="H13" s="158"/>
      <c r="I13" s="158" t="s">
        <v>54</v>
      </c>
      <c r="J13" s="158" t="s">
        <v>354</v>
      </c>
      <c r="K13" s="158" t="s">
        <v>435</v>
      </c>
      <c r="L13" s="177"/>
      <c r="M13" s="182">
        <v>310</v>
      </c>
      <c r="N13" s="14">
        <f t="shared" si="0"/>
        <v>11575.4</v>
      </c>
      <c r="O13" s="14"/>
      <c r="P13" s="344">
        <v>70353</v>
      </c>
      <c r="Q13" s="344">
        <v>1867.1</v>
      </c>
      <c r="R13" s="332">
        <f t="shared" si="1"/>
        <v>11576.019999999999</v>
      </c>
      <c r="S13" s="651">
        <v>46141</v>
      </c>
      <c r="T13" s="230">
        <v>31</v>
      </c>
      <c r="U13" s="231">
        <f>SUM(U3:U12)</f>
        <v>425</v>
      </c>
      <c r="V13" s="230">
        <v>27.1</v>
      </c>
      <c r="W13" s="231">
        <v>1887.1</v>
      </c>
      <c r="X13" s="900">
        <f t="shared" si="2"/>
        <v>20</v>
      </c>
    </row>
    <row r="14" spans="1:24" ht="30.5">
      <c r="A14" s="166" t="s">
        <v>585</v>
      </c>
      <c r="B14" s="153" t="s">
        <v>586</v>
      </c>
      <c r="C14" s="154" t="s">
        <v>501</v>
      </c>
      <c r="D14" s="155" t="s">
        <v>391</v>
      </c>
      <c r="E14" s="156">
        <v>143</v>
      </c>
      <c r="F14" s="157">
        <v>43</v>
      </c>
      <c r="G14" s="159">
        <v>8609</v>
      </c>
      <c r="H14" s="158"/>
      <c r="I14" s="158" t="s">
        <v>440</v>
      </c>
      <c r="J14" s="158" t="s">
        <v>418</v>
      </c>
      <c r="K14" s="158" t="s">
        <v>1057</v>
      </c>
      <c r="L14" s="177" t="s">
        <v>587</v>
      </c>
      <c r="M14" s="182">
        <v>240</v>
      </c>
      <c r="N14" s="14">
        <f t="shared" si="0"/>
        <v>41323.199999999997</v>
      </c>
      <c r="O14" s="926">
        <v>90510</v>
      </c>
      <c r="P14" s="344">
        <v>70354</v>
      </c>
      <c r="Q14" s="344">
        <v>8609.5</v>
      </c>
      <c r="R14" s="332">
        <f t="shared" si="1"/>
        <v>41325.599999999999</v>
      </c>
      <c r="S14" s="651">
        <v>46142</v>
      </c>
      <c r="T14" s="230">
        <v>144</v>
      </c>
      <c r="U14" s="231">
        <v>144</v>
      </c>
      <c r="V14" s="230">
        <v>4.4000000000000004</v>
      </c>
      <c r="W14" s="231">
        <v>8644.4</v>
      </c>
      <c r="X14" s="900">
        <f t="shared" si="2"/>
        <v>34.899999999999636</v>
      </c>
    </row>
    <row r="15" spans="1:24" ht="15.5">
      <c r="A15" s="166" t="s">
        <v>585</v>
      </c>
      <c r="B15" s="153" t="s">
        <v>576</v>
      </c>
      <c r="C15" s="154" t="s">
        <v>501</v>
      </c>
      <c r="D15" s="155" t="s">
        <v>392</v>
      </c>
      <c r="E15" s="156">
        <v>30</v>
      </c>
      <c r="F15" s="157"/>
      <c r="G15" s="159">
        <v>1798</v>
      </c>
      <c r="H15" s="158"/>
      <c r="I15" s="158" t="s">
        <v>355</v>
      </c>
      <c r="J15" s="158" t="s">
        <v>418</v>
      </c>
      <c r="K15" s="158" t="s">
        <v>1058</v>
      </c>
      <c r="L15" s="177" t="s">
        <v>588</v>
      </c>
      <c r="M15" s="182">
        <v>140</v>
      </c>
      <c r="N15" s="14">
        <f t="shared" si="0"/>
        <v>5034.3999999999996</v>
      </c>
      <c r="O15" s="926">
        <v>90510</v>
      </c>
      <c r="P15" s="344">
        <v>70355</v>
      </c>
      <c r="Q15" s="344">
        <v>1798.7</v>
      </c>
      <c r="R15" s="332">
        <f t="shared" si="1"/>
        <v>5036.3600000000006</v>
      </c>
      <c r="S15" s="652">
        <v>46141</v>
      </c>
      <c r="T15" s="653">
        <v>30</v>
      </c>
      <c r="U15" s="654">
        <v>30</v>
      </c>
      <c r="V15" s="653">
        <v>3</v>
      </c>
      <c r="W15" s="654">
        <v>1803</v>
      </c>
      <c r="X15" s="900">
        <f t="shared" si="2"/>
        <v>4.2999999999999545</v>
      </c>
    </row>
    <row r="16" spans="1:24" ht="15.5" hidden="1">
      <c r="A16" s="166" t="s">
        <v>589</v>
      </c>
      <c r="B16" s="153" t="s">
        <v>576</v>
      </c>
      <c r="C16" s="154" t="s">
        <v>501</v>
      </c>
      <c r="D16" s="155" t="s">
        <v>44</v>
      </c>
      <c r="E16" s="156">
        <v>10</v>
      </c>
      <c r="F16" s="157">
        <v>17</v>
      </c>
      <c r="G16" s="159">
        <v>618</v>
      </c>
      <c r="H16" s="158"/>
      <c r="I16" s="158" t="s">
        <v>54</v>
      </c>
      <c r="J16" s="158" t="s">
        <v>354</v>
      </c>
      <c r="K16" s="158" t="s">
        <v>697</v>
      </c>
      <c r="L16" s="177"/>
      <c r="M16" s="182">
        <v>330</v>
      </c>
      <c r="N16" s="14">
        <f t="shared" si="0"/>
        <v>4078.8</v>
      </c>
      <c r="O16" s="14"/>
      <c r="P16" s="344">
        <v>70356</v>
      </c>
      <c r="Q16" s="344">
        <v>618</v>
      </c>
      <c r="R16" s="332">
        <f t="shared" si="1"/>
        <v>4078.8</v>
      </c>
      <c r="S16" s="652">
        <v>46142</v>
      </c>
      <c r="T16" s="653">
        <v>11</v>
      </c>
      <c r="U16" s="654">
        <f>SUM(U14:U15)</f>
        <v>174</v>
      </c>
      <c r="V16" s="653">
        <v>28.1</v>
      </c>
      <c r="W16" s="654"/>
      <c r="X16" s="900">
        <f t="shared" si="2"/>
        <v>-618</v>
      </c>
    </row>
    <row r="17" spans="1:24" ht="15.5" hidden="1">
      <c r="A17" s="166" t="s">
        <v>579</v>
      </c>
      <c r="B17" s="153" t="s">
        <v>576</v>
      </c>
      <c r="C17" s="154" t="s">
        <v>501</v>
      </c>
      <c r="D17" s="155" t="s">
        <v>44</v>
      </c>
      <c r="E17" s="156">
        <v>10</v>
      </c>
      <c r="F17" s="157">
        <v>29</v>
      </c>
      <c r="G17" s="159">
        <v>628</v>
      </c>
      <c r="H17" s="158"/>
      <c r="I17" s="158" t="s">
        <v>525</v>
      </c>
      <c r="J17" s="158" t="s">
        <v>354</v>
      </c>
      <c r="K17" s="158" t="s">
        <v>749</v>
      </c>
      <c r="L17" s="177" t="s">
        <v>400</v>
      </c>
      <c r="M17" s="182">
        <v>306</v>
      </c>
      <c r="N17" s="14">
        <f t="shared" si="0"/>
        <v>3843.36</v>
      </c>
      <c r="O17" s="14"/>
      <c r="P17" s="344">
        <v>70357</v>
      </c>
      <c r="Q17" s="344">
        <v>628.79999999999995</v>
      </c>
      <c r="R17" s="332">
        <f t="shared" si="1"/>
        <v>3848.2559999999994</v>
      </c>
      <c r="S17" s="651">
        <v>46141</v>
      </c>
      <c r="T17" s="230">
        <v>11</v>
      </c>
      <c r="U17" s="231">
        <v>10</v>
      </c>
      <c r="V17" s="230">
        <v>39.1</v>
      </c>
      <c r="W17" s="231">
        <v>639.1</v>
      </c>
      <c r="X17" s="900">
        <f t="shared" si="2"/>
        <v>10.300000000000068</v>
      </c>
    </row>
    <row r="18" spans="1:24" ht="15.5">
      <c r="A18" s="166" t="s">
        <v>578</v>
      </c>
      <c r="B18" s="153" t="s">
        <v>576</v>
      </c>
      <c r="C18" s="154" t="s">
        <v>501</v>
      </c>
      <c r="D18" s="155" t="s">
        <v>52</v>
      </c>
      <c r="E18" s="156">
        <v>11</v>
      </c>
      <c r="F18" s="157">
        <v>27</v>
      </c>
      <c r="G18" s="159">
        <v>685</v>
      </c>
      <c r="H18" s="158"/>
      <c r="I18" s="158" t="s">
        <v>355</v>
      </c>
      <c r="J18" s="158" t="s">
        <v>418</v>
      </c>
      <c r="K18" s="158" t="s">
        <v>1058</v>
      </c>
      <c r="L18" s="177" t="s">
        <v>588</v>
      </c>
      <c r="M18" s="182">
        <v>140</v>
      </c>
      <c r="N18" s="14">
        <f t="shared" si="0"/>
        <v>1917.9999999999998</v>
      </c>
      <c r="O18" s="926">
        <v>90510</v>
      </c>
      <c r="P18" s="344">
        <v>70359</v>
      </c>
      <c r="Q18" s="344">
        <v>685.1</v>
      </c>
      <c r="R18" s="332">
        <f t="shared" si="1"/>
        <v>1918.2799999999997</v>
      </c>
      <c r="S18" s="651">
        <v>46142</v>
      </c>
      <c r="T18" s="230">
        <v>12</v>
      </c>
      <c r="U18" s="231">
        <v>11</v>
      </c>
      <c r="V18" s="230">
        <v>32.200000000000003</v>
      </c>
      <c r="W18" s="231">
        <v>692.2</v>
      </c>
      <c r="X18" s="900">
        <f t="shared" si="2"/>
        <v>7.1000000000000227</v>
      </c>
    </row>
    <row r="19" spans="1:24" ht="15.5">
      <c r="A19" s="166" t="s">
        <v>590</v>
      </c>
      <c r="B19" s="153" t="s">
        <v>591</v>
      </c>
      <c r="C19" s="154" t="s">
        <v>501</v>
      </c>
      <c r="D19" s="155" t="s">
        <v>391</v>
      </c>
      <c r="E19" s="160">
        <v>148</v>
      </c>
      <c r="F19" s="161">
        <v>52</v>
      </c>
      <c r="G19" s="162">
        <v>8933</v>
      </c>
      <c r="H19" s="163"/>
      <c r="I19" s="163"/>
      <c r="J19" s="158" t="s">
        <v>418</v>
      </c>
      <c r="K19" s="158" t="s">
        <v>1057</v>
      </c>
      <c r="L19" s="178" t="s">
        <v>592</v>
      </c>
      <c r="M19" s="182">
        <v>240</v>
      </c>
      <c r="N19" s="14">
        <f t="shared" si="0"/>
        <v>42878.400000000001</v>
      </c>
      <c r="O19" s="926">
        <v>90510</v>
      </c>
      <c r="P19" s="344">
        <v>70360</v>
      </c>
      <c r="Q19" s="344">
        <v>8933.2999999999993</v>
      </c>
      <c r="R19" s="332">
        <f t="shared" si="1"/>
        <v>42879.839999999997</v>
      </c>
      <c r="S19" s="651">
        <v>46141</v>
      </c>
      <c r="T19" s="230">
        <v>149</v>
      </c>
      <c r="U19" s="231">
        <v>149</v>
      </c>
      <c r="V19" s="230">
        <v>6.9</v>
      </c>
      <c r="W19" s="231">
        <v>8946.9</v>
      </c>
      <c r="X19" s="900">
        <f t="shared" si="2"/>
        <v>13.600000000000364</v>
      </c>
    </row>
    <row r="20" spans="1:24" ht="15.5">
      <c r="A20" s="166" t="s">
        <v>590</v>
      </c>
      <c r="B20" s="153" t="s">
        <v>591</v>
      </c>
      <c r="C20" s="154" t="s">
        <v>501</v>
      </c>
      <c r="D20" s="155" t="s">
        <v>392</v>
      </c>
      <c r="E20" s="160">
        <v>33</v>
      </c>
      <c r="F20" s="161">
        <v>30</v>
      </c>
      <c r="G20" s="162">
        <v>2010</v>
      </c>
      <c r="H20" s="163"/>
      <c r="I20" s="163"/>
      <c r="J20" s="158" t="s">
        <v>418</v>
      </c>
      <c r="K20" s="158" t="s">
        <v>1058</v>
      </c>
      <c r="L20" s="178" t="s">
        <v>401</v>
      </c>
      <c r="M20" s="182">
        <v>140</v>
      </c>
      <c r="N20" s="14">
        <f t="shared" si="0"/>
        <v>5628</v>
      </c>
      <c r="O20" s="926">
        <v>90510</v>
      </c>
      <c r="P20" s="344">
        <v>70361</v>
      </c>
      <c r="Q20" s="344">
        <v>2014.5</v>
      </c>
      <c r="R20" s="332">
        <f t="shared" si="1"/>
        <v>5640.5999999999995</v>
      </c>
      <c r="S20" s="651">
        <v>46141</v>
      </c>
      <c r="T20" s="230">
        <v>34</v>
      </c>
      <c r="U20" s="231">
        <v>33</v>
      </c>
      <c r="V20" s="230">
        <v>35.4</v>
      </c>
      <c r="W20" s="231">
        <v>2015.4</v>
      </c>
      <c r="X20" s="900">
        <f t="shared" si="2"/>
        <v>0.90000000000009095</v>
      </c>
    </row>
    <row r="21" spans="1:24" hidden="1">
      <c r="E21" s="30">
        <f>G21/60</f>
        <v>846.76666666666665</v>
      </c>
      <c r="G21" s="167">
        <f>SUM(G3:G20)</f>
        <v>50806</v>
      </c>
      <c r="H21" s="167"/>
      <c r="N21" s="2">
        <f>SUM(N3:N20)</f>
        <v>284448.69999999995</v>
      </c>
      <c r="O21" s="17"/>
      <c r="Q21">
        <f>SUM(Q3:Q20)</f>
        <v>50810.299999999988</v>
      </c>
      <c r="R21" s="30">
        <f>SUM(R3:R20)</f>
        <v>284454.77199999994</v>
      </c>
      <c r="W21" s="900">
        <f>SUM(W3:W20)</f>
        <v>50439.199999999997</v>
      </c>
      <c r="X21" s="900">
        <f>SUM(X3:X20)</f>
        <v>-371.10000000000014</v>
      </c>
    </row>
    <row r="23" spans="1:24">
      <c r="H23" t="s">
        <v>1375</v>
      </c>
      <c r="N23">
        <v>50810.3</v>
      </c>
      <c r="P23" s="246">
        <f>N23/60</f>
        <v>846.83833333333337</v>
      </c>
    </row>
    <row r="24" spans="1:24" ht="15.5">
      <c r="H24" s="182">
        <v>350</v>
      </c>
    </row>
    <row r="25" spans="1:24" ht="15.5">
      <c r="H25" s="182">
        <v>323</v>
      </c>
    </row>
    <row r="27" spans="1:24">
      <c r="H27" s="1127">
        <v>240</v>
      </c>
      <c r="Q27" s="17"/>
    </row>
    <row r="28" spans="1:24">
      <c r="H28" s="1127">
        <v>140</v>
      </c>
      <c r="Q28" s="17"/>
    </row>
    <row r="29" spans="1:24">
      <c r="H29" s="1127">
        <v>323</v>
      </c>
    </row>
    <row r="40" hidden="1"/>
    <row r="41" hidden="1"/>
    <row r="42" hidden="1"/>
    <row r="43" hidden="1"/>
    <row r="44" hidden="1"/>
    <row r="45" hidden="1"/>
    <row r="46" hidden="1"/>
    <row r="47" hidden="1"/>
    <row r="48" hidden="1"/>
    <row r="49" spans="7:22" hidden="1"/>
    <row r="50" spans="7:22" hidden="1"/>
    <row r="51" spans="7:22" hidden="1"/>
    <row r="52" spans="7:22" hidden="1">
      <c r="I52" s="17">
        <f>SUM(I42:I51)</f>
        <v>0</v>
      </c>
      <c r="V52">
        <f>SUM(V42:V51)</f>
        <v>0</v>
      </c>
    </row>
    <row r="53" spans="7:22" hidden="1">
      <c r="I53" s="17">
        <f>I52/60</f>
        <v>0</v>
      </c>
    </row>
    <row r="54" spans="7:22" hidden="1"/>
    <row r="55" spans="7:22" hidden="1"/>
    <row r="56" spans="7:22" hidden="1">
      <c r="I56" s="17">
        <f>SUM(I54:I55)</f>
        <v>0</v>
      </c>
      <c r="V56">
        <f>SUM(V54:V55)</f>
        <v>0</v>
      </c>
    </row>
    <row r="57" spans="7:22" hidden="1">
      <c r="I57" s="111">
        <f>I56/60</f>
        <v>0</v>
      </c>
    </row>
    <row r="58" spans="7:22" hidden="1"/>
    <row r="59" spans="7:22" hidden="1"/>
    <row r="60" spans="7:22" hidden="1"/>
    <row r="61" spans="7:22" hidden="1">
      <c r="G61" s="8"/>
      <c r="H61" s="8"/>
      <c r="I61" s="8" t="s">
        <v>1372</v>
      </c>
      <c r="J61" s="8" t="s">
        <v>1373</v>
      </c>
      <c r="K61" s="8" t="s">
        <v>1374</v>
      </c>
    </row>
    <row r="62" spans="7:22" hidden="1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 hidden="1">
      <c r="G63" s="8" t="s">
        <v>856</v>
      </c>
      <c r="H63" s="8"/>
      <c r="I63" s="8">
        <v>88</v>
      </c>
      <c r="J63" s="8">
        <v>88</v>
      </c>
      <c r="K63" s="8">
        <v>89</v>
      </c>
    </row>
    <row r="64" spans="7:22" hidden="1"/>
    <row r="65" hidden="1"/>
  </sheetData>
  <autoFilter ref="A2:M21" xr:uid="{1CD7FEC1-D415-44E7-9984-DE79D1C6527C}">
    <filterColumn colId="9">
      <filters>
        <filter val="GRINDER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59A6-BAD4-4095-AC8C-97EBCAEEF8C5}">
  <sheetPr>
    <tabColor theme="7" tint="0.79998168889431442"/>
  </sheetPr>
  <dimension ref="A1:AA63"/>
  <sheetViews>
    <sheetView workbookViewId="0">
      <selection activeCell="H30" sqref="H30"/>
    </sheetView>
  </sheetViews>
  <sheetFormatPr defaultColWidth="8.81640625" defaultRowHeight="13"/>
  <cols>
    <col min="1" max="1" width="8.81640625" style="116"/>
    <col min="2" max="2" width="13.54296875" style="116" customWidth="1"/>
    <col min="3" max="3" width="15.1796875" style="116" customWidth="1"/>
    <col min="4" max="4" width="14.54296875" style="116" hidden="1" customWidth="1"/>
    <col min="5" max="5" width="20.1796875" style="116" hidden="1" customWidth="1"/>
    <col min="6" max="6" width="11" style="116" customWidth="1"/>
    <col min="7" max="8" width="12.54296875" style="116" customWidth="1"/>
    <col min="9" max="9" width="17.90625" style="116" bestFit="1" customWidth="1"/>
    <col min="10" max="10" width="12.6328125" style="116" bestFit="1" customWidth="1"/>
    <col min="11" max="11" width="13.1796875" style="116" bestFit="1" customWidth="1"/>
    <col min="12" max="12" width="8.81640625" style="116"/>
    <col min="13" max="13" width="12.81640625" style="121" customWidth="1"/>
    <col min="14" max="15" width="8.81640625" style="116"/>
    <col min="16" max="16" width="15.1796875" style="116" hidden="1" customWidth="1"/>
    <col min="17" max="18" width="0" style="116" hidden="1" customWidth="1"/>
    <col min="19" max="19" width="12.81640625" style="116" customWidth="1"/>
    <col min="20" max="20" width="15.81640625" style="116" customWidth="1"/>
    <col min="21" max="21" width="23.453125" style="116" bestFit="1" customWidth="1"/>
    <col min="22" max="22" width="13.453125" style="116" bestFit="1" customWidth="1"/>
    <col min="23" max="23" width="13.1796875" style="116" bestFit="1" customWidth="1"/>
    <col min="24" max="24" width="12.453125" style="116" bestFit="1" customWidth="1"/>
    <col min="25" max="25" width="11.81640625" style="116" bestFit="1" customWidth="1"/>
    <col min="26" max="26" width="8.81640625" style="116"/>
    <col min="27" max="27" width="15.54296875" style="116" bestFit="1" customWidth="1"/>
    <col min="28" max="16384" width="8.81640625" style="116"/>
  </cols>
  <sheetData>
    <row r="1" spans="1:27">
      <c r="P1" s="116" t="s">
        <v>526</v>
      </c>
    </row>
    <row r="2" spans="1:27" ht="26">
      <c r="A2" s="668" t="s">
        <v>343</v>
      </c>
      <c r="B2" s="668" t="s">
        <v>496</v>
      </c>
      <c r="C2" s="668" t="s">
        <v>22</v>
      </c>
      <c r="D2" s="668" t="s">
        <v>344</v>
      </c>
      <c r="E2" s="668" t="s">
        <v>497</v>
      </c>
      <c r="F2" s="668" t="s">
        <v>23</v>
      </c>
      <c r="G2" s="668" t="s">
        <v>24</v>
      </c>
      <c r="H2" s="668"/>
      <c r="I2" s="668" t="s">
        <v>111</v>
      </c>
      <c r="J2" s="668" t="s">
        <v>345</v>
      </c>
      <c r="K2" s="668" t="s">
        <v>142</v>
      </c>
      <c r="L2" s="668" t="s">
        <v>4</v>
      </c>
      <c r="M2" s="930" t="s">
        <v>1204</v>
      </c>
      <c r="N2" s="669" t="s">
        <v>347</v>
      </c>
      <c r="O2" s="668" t="s">
        <v>32</v>
      </c>
      <c r="P2" s="668" t="s">
        <v>24</v>
      </c>
      <c r="Q2" s="668" t="s">
        <v>39</v>
      </c>
      <c r="R2" s="668" t="s">
        <v>112</v>
      </c>
      <c r="S2" s="655" t="s">
        <v>527</v>
      </c>
      <c r="T2" s="655" t="s">
        <v>406</v>
      </c>
      <c r="U2" s="655" t="s">
        <v>1145</v>
      </c>
      <c r="V2" s="221" t="s">
        <v>705</v>
      </c>
      <c r="W2" s="221" t="s">
        <v>706</v>
      </c>
      <c r="X2" s="221" t="s">
        <v>704</v>
      </c>
      <c r="Y2" s="221" t="s">
        <v>707</v>
      </c>
      <c r="Z2" s="116" t="s">
        <v>244</v>
      </c>
    </row>
    <row r="3" spans="1:27" ht="13.5" thickBot="1">
      <c r="A3" s="670" t="s">
        <v>350</v>
      </c>
      <c r="B3" s="671" t="s">
        <v>498</v>
      </c>
      <c r="C3" s="670" t="s">
        <v>499</v>
      </c>
      <c r="D3" s="670" t="s">
        <v>500</v>
      </c>
      <c r="E3" s="670" t="s">
        <v>501</v>
      </c>
      <c r="F3" s="670" t="s">
        <v>42</v>
      </c>
      <c r="G3" s="670">
        <v>10</v>
      </c>
      <c r="H3" s="670"/>
      <c r="I3" s="670">
        <v>10</v>
      </c>
      <c r="J3" s="670">
        <v>603</v>
      </c>
      <c r="K3" s="670">
        <v>330</v>
      </c>
      <c r="L3" s="670" t="s">
        <v>56</v>
      </c>
      <c r="M3" s="931">
        <v>90468</v>
      </c>
      <c r="N3" s="672" t="s">
        <v>354</v>
      </c>
      <c r="O3" s="673" t="s">
        <v>426</v>
      </c>
      <c r="P3" s="529"/>
      <c r="Q3" s="529"/>
      <c r="R3" s="529"/>
      <c r="S3" s="222">
        <v>70276</v>
      </c>
      <c r="T3" s="222">
        <v>594.20000000000005</v>
      </c>
      <c r="U3" s="686">
        <v>46133</v>
      </c>
      <c r="V3" s="684">
        <v>11</v>
      </c>
      <c r="W3" s="684">
        <v>9</v>
      </c>
      <c r="X3" s="684">
        <v>55.1</v>
      </c>
      <c r="Y3" s="684">
        <v>595.1</v>
      </c>
      <c r="Z3" s="116">
        <f>Y3-T3</f>
        <v>0.89999999999997726</v>
      </c>
    </row>
    <row r="4" spans="1:27" ht="13.5" thickBot="1">
      <c r="A4" s="670" t="s">
        <v>350</v>
      </c>
      <c r="B4" s="671" t="s">
        <v>498</v>
      </c>
      <c r="C4" s="670" t="s">
        <v>502</v>
      </c>
      <c r="D4" s="670" t="s">
        <v>503</v>
      </c>
      <c r="E4" s="670" t="s">
        <v>501</v>
      </c>
      <c r="F4" s="670" t="s">
        <v>42</v>
      </c>
      <c r="G4" s="670">
        <v>46</v>
      </c>
      <c r="H4" s="670"/>
      <c r="I4" s="670">
        <v>47</v>
      </c>
      <c r="J4" s="670">
        <v>2809</v>
      </c>
      <c r="K4" s="670">
        <v>330</v>
      </c>
      <c r="L4" s="670" t="s">
        <v>45</v>
      </c>
      <c r="M4" s="931">
        <v>90468</v>
      </c>
      <c r="N4" s="672" t="s">
        <v>354</v>
      </c>
      <c r="O4" s="673" t="s">
        <v>434</v>
      </c>
      <c r="P4" s="119"/>
      <c r="Q4" s="119"/>
      <c r="R4" s="119"/>
      <c r="S4" s="222">
        <v>70277</v>
      </c>
      <c r="T4" s="222">
        <v>2809.2</v>
      </c>
      <c r="U4" s="686">
        <v>46133</v>
      </c>
      <c r="V4" s="684">
        <v>47</v>
      </c>
      <c r="W4" s="684">
        <v>47</v>
      </c>
      <c r="X4" s="684">
        <v>11.7</v>
      </c>
      <c r="Y4" s="684">
        <v>2831.7</v>
      </c>
      <c r="Z4" s="116">
        <f t="shared" ref="Z4:Z30" si="0">Y4-T4</f>
        <v>22.5</v>
      </c>
    </row>
    <row r="5" spans="1:27" ht="13.5" thickBot="1">
      <c r="A5" s="670" t="s">
        <v>350</v>
      </c>
      <c r="B5" s="671" t="s">
        <v>498</v>
      </c>
      <c r="C5" s="670" t="s">
        <v>502</v>
      </c>
      <c r="D5" s="670" t="s">
        <v>504</v>
      </c>
      <c r="E5" s="670" t="s">
        <v>501</v>
      </c>
      <c r="F5" s="670" t="s">
        <v>43</v>
      </c>
      <c r="G5" s="670">
        <v>62</v>
      </c>
      <c r="H5" s="670"/>
      <c r="I5" s="670">
        <v>38</v>
      </c>
      <c r="J5" s="670">
        <v>3765</v>
      </c>
      <c r="K5" s="670">
        <v>315</v>
      </c>
      <c r="L5" s="670" t="s">
        <v>45</v>
      </c>
      <c r="M5" s="931">
        <v>90468</v>
      </c>
      <c r="N5" s="672" t="s">
        <v>354</v>
      </c>
      <c r="O5" s="673" t="s">
        <v>697</v>
      </c>
      <c r="P5" s="119"/>
      <c r="Q5" s="119"/>
      <c r="R5" s="119"/>
      <c r="S5" s="222">
        <v>70278</v>
      </c>
      <c r="T5" s="222">
        <v>3765.8</v>
      </c>
      <c r="U5" s="686">
        <v>46134</v>
      </c>
      <c r="V5" s="684">
        <v>63</v>
      </c>
      <c r="W5" s="684">
        <v>63</v>
      </c>
      <c r="X5" s="684">
        <v>18.3</v>
      </c>
      <c r="Y5" s="684">
        <v>3798.3</v>
      </c>
      <c r="Z5" s="116">
        <f t="shared" si="0"/>
        <v>32.5</v>
      </c>
    </row>
    <row r="6" spans="1:27" ht="13.5" thickBot="1">
      <c r="A6" s="670" t="s">
        <v>350</v>
      </c>
      <c r="B6" s="671" t="s">
        <v>498</v>
      </c>
      <c r="C6" s="670" t="s">
        <v>505</v>
      </c>
      <c r="D6" s="670" t="s">
        <v>506</v>
      </c>
      <c r="E6" s="670" t="s">
        <v>501</v>
      </c>
      <c r="F6" s="670" t="s">
        <v>42</v>
      </c>
      <c r="G6" s="670">
        <v>47</v>
      </c>
      <c r="H6" s="670"/>
      <c r="I6" s="674"/>
      <c r="J6" s="670">
        <v>2824</v>
      </c>
      <c r="K6" s="670">
        <v>350</v>
      </c>
      <c r="L6" s="670" t="s">
        <v>94</v>
      </c>
      <c r="M6" s="931">
        <v>90502</v>
      </c>
      <c r="N6" s="672" t="s">
        <v>351</v>
      </c>
      <c r="O6" s="673" t="s">
        <v>633</v>
      </c>
      <c r="P6" s="119"/>
      <c r="Q6" s="119"/>
      <c r="R6" s="119"/>
      <c r="S6" s="222">
        <v>70279</v>
      </c>
      <c r="T6" s="222">
        <v>2825.7</v>
      </c>
      <c r="U6" s="686">
        <v>46134</v>
      </c>
      <c r="V6" s="684">
        <v>47</v>
      </c>
      <c r="W6" s="684">
        <v>47</v>
      </c>
      <c r="X6" s="684">
        <v>14.7</v>
      </c>
      <c r="Y6" s="684">
        <v>2834.7</v>
      </c>
      <c r="Z6" s="116">
        <f t="shared" si="0"/>
        <v>9</v>
      </c>
    </row>
    <row r="7" spans="1:27" ht="26.5" thickBot="1">
      <c r="A7" s="670" t="s">
        <v>350</v>
      </c>
      <c r="B7" s="671" t="s">
        <v>498</v>
      </c>
      <c r="C7" s="670" t="s">
        <v>505</v>
      </c>
      <c r="D7" s="670" t="s">
        <v>506</v>
      </c>
      <c r="E7" s="670" t="s">
        <v>501</v>
      </c>
      <c r="F7" s="670" t="s">
        <v>43</v>
      </c>
      <c r="G7" s="670">
        <v>75</v>
      </c>
      <c r="H7" s="670"/>
      <c r="I7" s="670">
        <v>12</v>
      </c>
      <c r="J7" s="670">
        <v>4518</v>
      </c>
      <c r="K7" s="670">
        <v>327</v>
      </c>
      <c r="L7" s="670" t="s">
        <v>94</v>
      </c>
      <c r="M7" s="931">
        <v>90502</v>
      </c>
      <c r="N7" s="672" t="s">
        <v>351</v>
      </c>
      <c r="O7" s="673" t="s">
        <v>1060</v>
      </c>
      <c r="P7" s="119"/>
      <c r="Q7" s="119"/>
      <c r="R7" s="119"/>
      <c r="S7" s="222">
        <v>70280</v>
      </c>
      <c r="T7" s="222">
        <v>4518.1000000000004</v>
      </c>
      <c r="U7" s="686">
        <v>46133</v>
      </c>
      <c r="V7" s="684">
        <v>76</v>
      </c>
      <c r="W7" s="684">
        <v>75</v>
      </c>
      <c r="X7" s="684">
        <v>25.6</v>
      </c>
      <c r="Y7" s="684">
        <v>4525.6000000000004</v>
      </c>
      <c r="Z7" s="116">
        <f t="shared" si="0"/>
        <v>7.5</v>
      </c>
    </row>
    <row r="8" spans="1:27" ht="26.5" thickBot="1">
      <c r="A8" s="670" t="s">
        <v>350</v>
      </c>
      <c r="B8" s="671" t="s">
        <v>498</v>
      </c>
      <c r="C8" s="670" t="s">
        <v>507</v>
      </c>
      <c r="D8" s="670" t="s">
        <v>508</v>
      </c>
      <c r="E8" s="670" t="s">
        <v>501</v>
      </c>
      <c r="F8" s="670" t="s">
        <v>42</v>
      </c>
      <c r="G8" s="670">
        <v>51</v>
      </c>
      <c r="H8" s="670"/>
      <c r="I8" s="670">
        <v>22</v>
      </c>
      <c r="J8" s="670">
        <v>3083</v>
      </c>
      <c r="K8" s="670">
        <v>330</v>
      </c>
      <c r="L8" s="670" t="s">
        <v>45</v>
      </c>
      <c r="M8" s="931">
        <v>90468</v>
      </c>
      <c r="N8" s="672" t="s">
        <v>354</v>
      </c>
      <c r="O8" s="673" t="s">
        <v>434</v>
      </c>
      <c r="P8" s="119"/>
      <c r="Q8" s="119"/>
      <c r="R8" s="119"/>
      <c r="S8" s="222">
        <v>70281</v>
      </c>
      <c r="T8" s="222">
        <v>3083.9</v>
      </c>
      <c r="U8" s="686">
        <v>46133</v>
      </c>
      <c r="V8" s="684">
        <v>52</v>
      </c>
      <c r="W8" s="684">
        <v>51</v>
      </c>
      <c r="X8" s="684">
        <v>41.2</v>
      </c>
      <c r="Y8" s="684">
        <v>3101.2</v>
      </c>
      <c r="Z8" s="116">
        <f t="shared" si="0"/>
        <v>17.299999999999727</v>
      </c>
    </row>
    <row r="9" spans="1:27" ht="13.5" thickBot="1">
      <c r="A9" s="670" t="s">
        <v>350</v>
      </c>
      <c r="B9" s="671" t="s">
        <v>498</v>
      </c>
      <c r="C9" s="670" t="s">
        <v>507</v>
      </c>
      <c r="D9" s="670" t="s">
        <v>509</v>
      </c>
      <c r="E9" s="670" t="s">
        <v>501</v>
      </c>
      <c r="F9" s="670" t="s">
        <v>43</v>
      </c>
      <c r="G9" s="670">
        <v>48</v>
      </c>
      <c r="H9" s="670"/>
      <c r="I9" s="670">
        <v>57</v>
      </c>
      <c r="J9" s="670">
        <v>2939</v>
      </c>
      <c r="K9" s="670">
        <v>315</v>
      </c>
      <c r="L9" s="670" t="s">
        <v>45</v>
      </c>
      <c r="M9" s="931">
        <v>90468</v>
      </c>
      <c r="N9" s="672" t="s">
        <v>354</v>
      </c>
      <c r="O9" s="673" t="s">
        <v>697</v>
      </c>
      <c r="P9" s="119"/>
      <c r="Q9" s="119"/>
      <c r="R9" s="119"/>
      <c r="S9" s="222">
        <v>70282</v>
      </c>
      <c r="T9" s="222">
        <v>2939.4</v>
      </c>
      <c r="U9" s="686">
        <v>46134</v>
      </c>
      <c r="V9" s="684">
        <v>49</v>
      </c>
      <c r="W9" s="684">
        <v>49</v>
      </c>
      <c r="X9" s="684">
        <v>15.9</v>
      </c>
      <c r="Y9" s="684">
        <v>2955.9</v>
      </c>
      <c r="Z9" s="116">
        <f t="shared" si="0"/>
        <v>16.5</v>
      </c>
    </row>
    <row r="10" spans="1:27" ht="13.5" thickBot="1">
      <c r="A10" s="670" t="s">
        <v>350</v>
      </c>
      <c r="B10" s="671" t="s">
        <v>498</v>
      </c>
      <c r="C10" s="670" t="s">
        <v>510</v>
      </c>
      <c r="D10" s="670" t="s">
        <v>506</v>
      </c>
      <c r="E10" s="670" t="s">
        <v>501</v>
      </c>
      <c r="F10" s="670" t="s">
        <v>42</v>
      </c>
      <c r="G10" s="670">
        <v>40</v>
      </c>
      <c r="H10" s="670"/>
      <c r="I10" s="670">
        <v>39</v>
      </c>
      <c r="J10" s="670">
        <v>2438</v>
      </c>
      <c r="K10" s="670">
        <v>330</v>
      </c>
      <c r="L10" s="670" t="s">
        <v>45</v>
      </c>
      <c r="M10" s="931">
        <v>90468</v>
      </c>
      <c r="N10" s="672" t="s">
        <v>354</v>
      </c>
      <c r="O10" s="673" t="s">
        <v>434</v>
      </c>
      <c r="P10" s="119"/>
      <c r="Q10" s="119"/>
      <c r="R10" s="119"/>
      <c r="S10" s="222">
        <v>70283</v>
      </c>
      <c r="T10" s="222">
        <v>2438.8000000000002</v>
      </c>
      <c r="U10" s="686">
        <v>46134</v>
      </c>
      <c r="V10" s="684">
        <v>41</v>
      </c>
      <c r="W10" s="684">
        <v>40</v>
      </c>
      <c r="X10" s="684">
        <v>53.1</v>
      </c>
      <c r="Y10" s="684">
        <v>2453.1</v>
      </c>
      <c r="Z10" s="116">
        <f t="shared" si="0"/>
        <v>14.299999999999727</v>
      </c>
    </row>
    <row r="11" spans="1:27" ht="13.5" thickBot="1">
      <c r="A11" s="670" t="s">
        <v>350</v>
      </c>
      <c r="B11" s="671" t="s">
        <v>498</v>
      </c>
      <c r="C11" s="670" t="s">
        <v>510</v>
      </c>
      <c r="D11" s="670" t="s">
        <v>511</v>
      </c>
      <c r="E11" s="670" t="s">
        <v>501</v>
      </c>
      <c r="F11" s="670" t="s">
        <v>45</v>
      </c>
      <c r="G11" s="670">
        <v>11</v>
      </c>
      <c r="H11" s="670"/>
      <c r="I11" s="670">
        <v>20</v>
      </c>
      <c r="J11" s="670">
        <v>681</v>
      </c>
      <c r="K11" s="670">
        <v>296</v>
      </c>
      <c r="L11" s="670" t="s">
        <v>54</v>
      </c>
      <c r="M11" s="931">
        <v>90468</v>
      </c>
      <c r="N11" s="672" t="s">
        <v>354</v>
      </c>
      <c r="O11" s="673" t="s">
        <v>435</v>
      </c>
      <c r="P11" s="119"/>
      <c r="Q11" s="119"/>
      <c r="R11" s="119"/>
      <c r="S11" s="222">
        <v>70284</v>
      </c>
      <c r="T11" s="222">
        <v>681</v>
      </c>
      <c r="U11" s="686">
        <v>46133</v>
      </c>
      <c r="V11" s="684">
        <v>12</v>
      </c>
      <c r="W11" s="684">
        <v>11</v>
      </c>
      <c r="X11" s="684">
        <v>24.2</v>
      </c>
      <c r="Y11" s="684">
        <v>684.2</v>
      </c>
      <c r="Z11" s="116">
        <f t="shared" si="0"/>
        <v>3.2000000000000455</v>
      </c>
    </row>
    <row r="12" spans="1:27" ht="13.5" thickBot="1">
      <c r="A12" s="670" t="s">
        <v>350</v>
      </c>
      <c r="B12" s="671" t="s">
        <v>498</v>
      </c>
      <c r="C12" s="670" t="s">
        <v>512</v>
      </c>
      <c r="D12" s="670" t="s">
        <v>513</v>
      </c>
      <c r="E12" s="670" t="s">
        <v>501</v>
      </c>
      <c r="F12" s="670" t="s">
        <v>42</v>
      </c>
      <c r="G12" s="670">
        <v>24</v>
      </c>
      <c r="H12" s="670"/>
      <c r="I12" s="670">
        <v>39</v>
      </c>
      <c r="J12" s="670">
        <v>1477</v>
      </c>
      <c r="K12" s="670">
        <v>330</v>
      </c>
      <c r="L12" s="670" t="s">
        <v>56</v>
      </c>
      <c r="M12" s="931">
        <v>90468</v>
      </c>
      <c r="N12" s="672" t="s">
        <v>354</v>
      </c>
      <c r="O12" s="673" t="s">
        <v>426</v>
      </c>
      <c r="P12" s="119"/>
      <c r="Q12" s="119"/>
      <c r="R12" s="119"/>
      <c r="S12" s="222">
        <v>70285</v>
      </c>
      <c r="T12" s="222">
        <v>1477.4</v>
      </c>
      <c r="U12" s="686">
        <v>46133</v>
      </c>
      <c r="V12" s="684">
        <v>25</v>
      </c>
      <c r="W12" s="684">
        <v>24</v>
      </c>
      <c r="X12" s="684">
        <v>42.5</v>
      </c>
      <c r="Y12" s="684">
        <v>1482.5</v>
      </c>
      <c r="Z12" s="116">
        <f t="shared" si="0"/>
        <v>5.0999999999999091</v>
      </c>
    </row>
    <row r="13" spans="1:27" ht="26.5" thickBot="1">
      <c r="A13" s="670" t="s">
        <v>350</v>
      </c>
      <c r="B13" s="671" t="s">
        <v>498</v>
      </c>
      <c r="C13" s="670" t="s">
        <v>512</v>
      </c>
      <c r="D13" s="670" t="s">
        <v>513</v>
      </c>
      <c r="E13" s="670" t="s">
        <v>501</v>
      </c>
      <c r="F13" s="670" t="s">
        <v>43</v>
      </c>
      <c r="G13" s="670">
        <v>21</v>
      </c>
      <c r="H13" s="670"/>
      <c r="I13" s="670">
        <v>63</v>
      </c>
      <c r="J13" s="670">
        <v>1320</v>
      </c>
      <c r="K13" s="670">
        <v>315</v>
      </c>
      <c r="L13" s="670" t="s">
        <v>56</v>
      </c>
      <c r="M13" s="931">
        <v>90468</v>
      </c>
      <c r="N13" s="672" t="s">
        <v>354</v>
      </c>
      <c r="O13" s="673" t="s">
        <v>1061</v>
      </c>
      <c r="P13" s="119"/>
      <c r="Q13" s="119"/>
      <c r="R13" s="119"/>
      <c r="S13" s="222">
        <v>70286</v>
      </c>
      <c r="T13" s="222">
        <v>1320.9</v>
      </c>
      <c r="U13" s="686">
        <f>SUM(U3:U12)</f>
        <v>461334</v>
      </c>
      <c r="V13" s="684">
        <v>22</v>
      </c>
      <c r="W13" s="684">
        <v>22</v>
      </c>
      <c r="X13" s="684">
        <v>5.2</v>
      </c>
      <c r="Y13" s="684">
        <v>1325.2</v>
      </c>
      <c r="Z13" s="116">
        <f t="shared" si="0"/>
        <v>4.2999999999999545</v>
      </c>
    </row>
    <row r="14" spans="1:27" ht="13.5" thickBot="1">
      <c r="A14" s="670" t="s">
        <v>350</v>
      </c>
      <c r="B14" s="671" t="s">
        <v>498</v>
      </c>
      <c r="C14" s="670" t="s">
        <v>514</v>
      </c>
      <c r="D14" s="670" t="s">
        <v>515</v>
      </c>
      <c r="E14" s="670" t="s">
        <v>501</v>
      </c>
      <c r="F14" s="670" t="s">
        <v>42</v>
      </c>
      <c r="G14" s="670">
        <v>31</v>
      </c>
      <c r="H14" s="670"/>
      <c r="I14" s="670">
        <v>30</v>
      </c>
      <c r="J14" s="670">
        <v>1895</v>
      </c>
      <c r="K14" s="670">
        <v>330</v>
      </c>
      <c r="L14" s="670" t="s">
        <v>45</v>
      </c>
      <c r="M14" s="931">
        <v>90468</v>
      </c>
      <c r="N14" s="672" t="s">
        <v>354</v>
      </c>
      <c r="O14" s="673" t="s">
        <v>434</v>
      </c>
      <c r="P14" s="119"/>
      <c r="Q14" s="119"/>
      <c r="R14" s="119"/>
      <c r="S14" s="222">
        <v>70287</v>
      </c>
      <c r="T14" s="222">
        <v>1895.8</v>
      </c>
      <c r="U14" s="686">
        <v>46133</v>
      </c>
      <c r="V14" s="684">
        <v>32</v>
      </c>
      <c r="W14" s="684">
        <v>31</v>
      </c>
      <c r="X14" s="684">
        <v>34.200000000000003</v>
      </c>
      <c r="Y14" s="684">
        <v>1894.2</v>
      </c>
      <c r="Z14" s="116">
        <f t="shared" si="0"/>
        <v>-1.5999999999999091</v>
      </c>
    </row>
    <row r="15" spans="1:27" ht="13.5" thickBot="1">
      <c r="A15" s="670" t="s">
        <v>350</v>
      </c>
      <c r="B15" s="671" t="s">
        <v>498</v>
      </c>
      <c r="C15" s="670" t="s">
        <v>514</v>
      </c>
      <c r="D15" s="670" t="s">
        <v>516</v>
      </c>
      <c r="E15" s="670" t="s">
        <v>501</v>
      </c>
      <c r="F15" s="670" t="s">
        <v>43</v>
      </c>
      <c r="G15" s="670">
        <v>32</v>
      </c>
      <c r="H15" s="670"/>
      <c r="I15" s="670">
        <v>13</v>
      </c>
      <c r="J15" s="670">
        <v>1934</v>
      </c>
      <c r="K15" s="670">
        <v>315</v>
      </c>
      <c r="L15" s="670" t="s">
        <v>45</v>
      </c>
      <c r="M15" s="931">
        <v>90468</v>
      </c>
      <c r="N15" s="672" t="s">
        <v>354</v>
      </c>
      <c r="O15" s="673" t="s">
        <v>697</v>
      </c>
      <c r="P15" s="119"/>
      <c r="Q15" s="119"/>
      <c r="R15" s="119"/>
      <c r="S15" s="222">
        <v>70288</v>
      </c>
      <c r="T15" s="222">
        <v>1934.8</v>
      </c>
      <c r="U15" s="878" t="s">
        <v>1194</v>
      </c>
      <c r="V15" s="684">
        <v>32</v>
      </c>
      <c r="W15" s="684">
        <v>31</v>
      </c>
      <c r="X15" s="684">
        <v>29.2</v>
      </c>
      <c r="Y15" s="684">
        <v>1889.2</v>
      </c>
      <c r="Z15" s="116">
        <f t="shared" si="0"/>
        <v>-45.599999999999909</v>
      </c>
      <c r="AA15" s="650"/>
    </row>
    <row r="16" spans="1:27" ht="13.5" thickBot="1">
      <c r="A16" s="670" t="s">
        <v>350</v>
      </c>
      <c r="B16" s="671" t="s">
        <v>498</v>
      </c>
      <c r="C16" s="670" t="s">
        <v>517</v>
      </c>
      <c r="D16" s="670" t="s">
        <v>511</v>
      </c>
      <c r="E16" s="670" t="s">
        <v>501</v>
      </c>
      <c r="F16" s="670" t="s">
        <v>43</v>
      </c>
      <c r="G16" s="670">
        <v>56</v>
      </c>
      <c r="H16" s="670"/>
      <c r="I16" s="670">
        <v>11</v>
      </c>
      <c r="J16" s="670">
        <v>3375</v>
      </c>
      <c r="K16" s="670">
        <v>315</v>
      </c>
      <c r="L16" s="670" t="s">
        <v>45</v>
      </c>
      <c r="M16" s="931">
        <v>90468</v>
      </c>
      <c r="N16" s="672" t="s">
        <v>354</v>
      </c>
      <c r="O16" s="673" t="s">
        <v>697</v>
      </c>
      <c r="P16" s="119"/>
      <c r="Q16" s="119"/>
      <c r="R16" s="119"/>
      <c r="S16" s="222">
        <v>70289</v>
      </c>
      <c r="T16" s="222">
        <v>3375.9</v>
      </c>
      <c r="U16" s="686">
        <f>SUM(U14:U15)</f>
        <v>46133</v>
      </c>
      <c r="V16" s="684">
        <v>57</v>
      </c>
      <c r="W16" s="684"/>
      <c r="X16" s="684">
        <v>44.7</v>
      </c>
      <c r="Y16" s="684">
        <v>3404.7</v>
      </c>
      <c r="Z16" s="116">
        <f t="shared" si="0"/>
        <v>28.799999999999727</v>
      </c>
    </row>
    <row r="17" spans="1:26" ht="13.5" thickBot="1">
      <c r="A17" s="670" t="s">
        <v>350</v>
      </c>
      <c r="B17" s="671" t="s">
        <v>498</v>
      </c>
      <c r="C17" s="670" t="s">
        <v>518</v>
      </c>
      <c r="D17" s="670" t="s">
        <v>519</v>
      </c>
      <c r="E17" s="670" t="s">
        <v>501</v>
      </c>
      <c r="F17" s="670" t="s">
        <v>45</v>
      </c>
      <c r="G17" s="670">
        <v>16</v>
      </c>
      <c r="H17" s="670"/>
      <c r="I17" s="670">
        <v>42</v>
      </c>
      <c r="J17" s="670">
        <v>1002</v>
      </c>
      <c r="K17" s="670">
        <v>296</v>
      </c>
      <c r="L17" s="670" t="s">
        <v>54</v>
      </c>
      <c r="M17" s="931">
        <v>90468</v>
      </c>
      <c r="N17" s="672" t="s">
        <v>354</v>
      </c>
      <c r="O17" s="673" t="s">
        <v>1059</v>
      </c>
      <c r="P17" s="119"/>
      <c r="Q17" s="119"/>
      <c r="R17" s="119"/>
      <c r="S17" s="222">
        <v>70290</v>
      </c>
      <c r="T17" s="222">
        <v>1002.2</v>
      </c>
      <c r="U17" s="686">
        <v>46136</v>
      </c>
      <c r="V17" s="684">
        <v>17</v>
      </c>
      <c r="W17" s="684">
        <v>16</v>
      </c>
      <c r="X17" s="684">
        <v>43.7</v>
      </c>
      <c r="Y17" s="684">
        <v>1003.7</v>
      </c>
      <c r="Z17" s="116">
        <f t="shared" si="0"/>
        <v>1.5</v>
      </c>
    </row>
    <row r="18" spans="1:26" ht="13.5" thickBot="1">
      <c r="A18" s="670" t="s">
        <v>350</v>
      </c>
      <c r="B18" s="671" t="s">
        <v>498</v>
      </c>
      <c r="C18" s="670" t="s">
        <v>518</v>
      </c>
      <c r="D18" s="670" t="s">
        <v>519</v>
      </c>
      <c r="E18" s="670" t="s">
        <v>501</v>
      </c>
      <c r="F18" s="670" t="s">
        <v>44</v>
      </c>
      <c r="G18" s="670">
        <v>11</v>
      </c>
      <c r="H18" s="670"/>
      <c r="I18" s="670">
        <v>43</v>
      </c>
      <c r="J18" s="670">
        <v>702</v>
      </c>
      <c r="K18" s="670">
        <v>315</v>
      </c>
      <c r="L18" s="670" t="s">
        <v>45</v>
      </c>
      <c r="M18" s="931">
        <v>90468</v>
      </c>
      <c r="N18" s="672" t="s">
        <v>354</v>
      </c>
      <c r="O18" s="673" t="s">
        <v>435</v>
      </c>
      <c r="P18" s="119"/>
      <c r="Q18" s="119"/>
      <c r="R18" s="119"/>
      <c r="S18" s="222">
        <v>70291</v>
      </c>
      <c r="T18" s="222">
        <v>702.3</v>
      </c>
      <c r="U18" s="686">
        <v>46133</v>
      </c>
      <c r="V18" s="684">
        <v>12</v>
      </c>
      <c r="W18" s="684">
        <v>11</v>
      </c>
      <c r="X18" s="684">
        <v>44.2</v>
      </c>
      <c r="Y18" s="684">
        <v>704.2</v>
      </c>
      <c r="Z18" s="116">
        <f t="shared" si="0"/>
        <v>1.9000000000000909</v>
      </c>
    </row>
    <row r="19" spans="1:26" ht="13.5" thickBot="1">
      <c r="A19" s="675" t="s">
        <v>350</v>
      </c>
      <c r="B19" s="676" t="s">
        <v>498</v>
      </c>
      <c r="C19" s="675" t="s">
        <v>520</v>
      </c>
      <c r="D19" s="675" t="s">
        <v>519</v>
      </c>
      <c r="E19" s="675" t="s">
        <v>501</v>
      </c>
      <c r="F19" s="675" t="s">
        <v>42</v>
      </c>
      <c r="G19" s="675">
        <v>39</v>
      </c>
      <c r="H19" s="675"/>
      <c r="I19" s="675"/>
      <c r="J19" s="675">
        <v>2354</v>
      </c>
      <c r="K19" s="675">
        <v>350</v>
      </c>
      <c r="L19" s="675" t="s">
        <v>94</v>
      </c>
      <c r="M19" s="931">
        <v>90502</v>
      </c>
      <c r="N19" s="677" t="s">
        <v>351</v>
      </c>
      <c r="O19" s="678" t="s">
        <v>633</v>
      </c>
      <c r="P19" s="547"/>
      <c r="Q19" s="547"/>
      <c r="R19" s="547"/>
      <c r="S19" s="548">
        <v>70292</v>
      </c>
      <c r="T19" s="548">
        <v>2354.1</v>
      </c>
      <c r="U19" s="687">
        <v>46136</v>
      </c>
      <c r="V19" s="685">
        <v>40</v>
      </c>
      <c r="W19" s="685">
        <v>39</v>
      </c>
      <c r="X19" s="685">
        <v>17</v>
      </c>
      <c r="Y19" s="685">
        <v>2357</v>
      </c>
      <c r="Z19" s="116">
        <f t="shared" si="0"/>
        <v>2.9000000000000909</v>
      </c>
    </row>
    <row r="20" spans="1:26" ht="13.5" thickBot="1">
      <c r="A20" s="675" t="s">
        <v>350</v>
      </c>
      <c r="B20" s="676" t="s">
        <v>498</v>
      </c>
      <c r="C20" s="675" t="s">
        <v>520</v>
      </c>
      <c r="D20" s="675" t="s">
        <v>519</v>
      </c>
      <c r="E20" s="675" t="s">
        <v>501</v>
      </c>
      <c r="F20" s="675" t="s">
        <v>43</v>
      </c>
      <c r="G20" s="675">
        <v>93</v>
      </c>
      <c r="H20" s="675"/>
      <c r="I20" s="675"/>
      <c r="J20" s="675">
        <v>5642</v>
      </c>
      <c r="K20" s="675">
        <v>327</v>
      </c>
      <c r="L20" s="675" t="s">
        <v>94</v>
      </c>
      <c r="M20" s="931">
        <v>90502</v>
      </c>
      <c r="N20" s="677" t="s">
        <v>351</v>
      </c>
      <c r="O20" s="678" t="s">
        <v>633</v>
      </c>
      <c r="P20" s="547"/>
      <c r="Q20" s="547"/>
      <c r="R20" s="547"/>
      <c r="S20" s="548">
        <v>70293</v>
      </c>
      <c r="T20" s="548">
        <v>5642.4</v>
      </c>
      <c r="U20" s="687">
        <v>46136</v>
      </c>
      <c r="V20" s="685">
        <v>94</v>
      </c>
      <c r="W20" s="685">
        <v>94</v>
      </c>
      <c r="X20" s="685">
        <v>17.399999999999999</v>
      </c>
      <c r="Y20" s="685">
        <v>5657.4</v>
      </c>
      <c r="Z20" s="116">
        <f t="shared" si="0"/>
        <v>15</v>
      </c>
    </row>
    <row r="21" spans="1:26" ht="13.5" thickBot="1">
      <c r="A21" s="675" t="s">
        <v>350</v>
      </c>
      <c r="B21" s="676" t="s">
        <v>498</v>
      </c>
      <c r="C21" s="675" t="s">
        <v>520</v>
      </c>
      <c r="D21" s="675" t="s">
        <v>519</v>
      </c>
      <c r="E21" s="675" t="s">
        <v>501</v>
      </c>
      <c r="F21" s="675" t="s">
        <v>45</v>
      </c>
      <c r="G21" s="675">
        <v>22</v>
      </c>
      <c r="H21" s="675"/>
      <c r="I21" s="675">
        <v>51</v>
      </c>
      <c r="J21" s="675">
        <v>1371</v>
      </c>
      <c r="K21" s="675">
        <v>296</v>
      </c>
      <c r="L21" s="675" t="s">
        <v>54</v>
      </c>
      <c r="M21" s="931">
        <v>90468</v>
      </c>
      <c r="N21" s="677" t="s">
        <v>354</v>
      </c>
      <c r="O21" s="678" t="s">
        <v>435</v>
      </c>
      <c r="P21" s="547"/>
      <c r="Q21" s="547"/>
      <c r="R21" s="547"/>
      <c r="S21" s="548">
        <v>70294</v>
      </c>
      <c r="T21" s="548">
        <v>1371.1</v>
      </c>
      <c r="U21" s="687">
        <v>46136</v>
      </c>
      <c r="V21" s="685">
        <v>23</v>
      </c>
      <c r="W21" s="685">
        <v>23</v>
      </c>
      <c r="X21" s="685">
        <v>6.3</v>
      </c>
      <c r="Y21" s="685">
        <v>1386.3</v>
      </c>
      <c r="Z21" s="116">
        <f t="shared" si="0"/>
        <v>15.200000000000045</v>
      </c>
    </row>
    <row r="22" spans="1:26" ht="26.5" thickBot="1">
      <c r="A22" s="670" t="s">
        <v>350</v>
      </c>
      <c r="B22" s="671" t="s">
        <v>498</v>
      </c>
      <c r="C22" s="670" t="s">
        <v>521</v>
      </c>
      <c r="D22" s="670" t="s">
        <v>522</v>
      </c>
      <c r="E22" s="670" t="s">
        <v>501</v>
      </c>
      <c r="F22" s="670" t="s">
        <v>42</v>
      </c>
      <c r="G22" s="670">
        <v>77</v>
      </c>
      <c r="H22" s="670"/>
      <c r="I22" s="670">
        <v>56</v>
      </c>
      <c r="J22" s="670">
        <v>4675</v>
      </c>
      <c r="K22" s="670">
        <v>330</v>
      </c>
      <c r="L22" s="670" t="s">
        <v>54</v>
      </c>
      <c r="M22" s="931">
        <v>90468</v>
      </c>
      <c r="N22" s="672" t="s">
        <v>354</v>
      </c>
      <c r="O22" s="673" t="s">
        <v>434</v>
      </c>
      <c r="P22" s="119"/>
      <c r="Q22" s="119"/>
      <c r="R22" s="119"/>
      <c r="S22" s="222">
        <v>70295</v>
      </c>
      <c r="T22" s="222">
        <v>4675.5</v>
      </c>
      <c r="U22" s="686">
        <v>46133</v>
      </c>
      <c r="V22" s="684">
        <v>78</v>
      </c>
      <c r="W22" s="684">
        <v>78</v>
      </c>
      <c r="X22" s="684">
        <v>8.8000000000000007</v>
      </c>
      <c r="Y22" s="684">
        <v>4688.8</v>
      </c>
      <c r="Z22" s="116">
        <f t="shared" si="0"/>
        <v>13.300000000000182</v>
      </c>
    </row>
    <row r="23" spans="1:26" ht="26.5" thickBot="1">
      <c r="A23" s="670" t="s">
        <v>350</v>
      </c>
      <c r="B23" s="679" t="s">
        <v>498</v>
      </c>
      <c r="C23" s="680" t="s">
        <v>521</v>
      </c>
      <c r="D23" s="680" t="s">
        <v>522</v>
      </c>
      <c r="E23" s="680" t="s">
        <v>501</v>
      </c>
      <c r="F23" s="680" t="s">
        <v>43</v>
      </c>
      <c r="G23" s="680">
        <v>5</v>
      </c>
      <c r="H23" s="680" t="s">
        <v>1375</v>
      </c>
      <c r="I23" s="681"/>
      <c r="J23" s="680">
        <v>299</v>
      </c>
      <c r="K23" s="680">
        <v>315</v>
      </c>
      <c r="L23" s="680" t="s">
        <v>54</v>
      </c>
      <c r="M23" s="931">
        <v>90468</v>
      </c>
      <c r="N23" s="682" t="s">
        <v>354</v>
      </c>
      <c r="O23" s="683" t="s">
        <v>697</v>
      </c>
      <c r="P23" s="530"/>
      <c r="Q23" s="530"/>
      <c r="R23" s="530"/>
      <c r="S23" s="1722">
        <v>70296</v>
      </c>
      <c r="T23" s="1722">
        <v>5012.8999999999996</v>
      </c>
      <c r="U23" s="688">
        <v>46150</v>
      </c>
      <c r="V23" s="684">
        <v>5</v>
      </c>
      <c r="W23" s="684">
        <v>5</v>
      </c>
      <c r="X23" s="684">
        <v>1.5</v>
      </c>
      <c r="Y23" s="684">
        <v>301.5</v>
      </c>
    </row>
    <row r="24" spans="1:26" ht="26.5" thickBot="1">
      <c r="A24" s="670" t="s">
        <v>350</v>
      </c>
      <c r="B24" s="679" t="s">
        <v>498</v>
      </c>
      <c r="C24" s="680" t="s">
        <v>521</v>
      </c>
      <c r="D24" s="680" t="s">
        <v>522</v>
      </c>
      <c r="E24" s="680" t="s">
        <v>501</v>
      </c>
      <c r="F24" s="680" t="s">
        <v>43</v>
      </c>
      <c r="G24" s="680">
        <v>78</v>
      </c>
      <c r="H24" s="931">
        <v>350</v>
      </c>
      <c r="I24" s="680">
        <v>30</v>
      </c>
      <c r="J24" s="680">
        <v>4713</v>
      </c>
      <c r="K24" s="680">
        <v>315</v>
      </c>
      <c r="L24" s="680" t="s">
        <v>54</v>
      </c>
      <c r="M24" s="931">
        <v>90468</v>
      </c>
      <c r="N24" s="682" t="s">
        <v>354</v>
      </c>
      <c r="O24" s="683" t="s">
        <v>697</v>
      </c>
      <c r="P24" s="530"/>
      <c r="Q24" s="530"/>
      <c r="R24" s="530"/>
      <c r="S24" s="1722"/>
      <c r="T24" s="1722"/>
      <c r="U24" s="688">
        <v>46134</v>
      </c>
      <c r="V24" s="684">
        <v>78</v>
      </c>
      <c r="W24" s="684">
        <v>78</v>
      </c>
      <c r="X24" s="684">
        <v>35.799999999999997</v>
      </c>
      <c r="Y24" s="684">
        <v>4715.8</v>
      </c>
      <c r="Z24" s="116">
        <f t="shared" si="0"/>
        <v>4715.8</v>
      </c>
    </row>
    <row r="25" spans="1:26" ht="26.5" thickBot="1">
      <c r="A25" s="670" t="s">
        <v>350</v>
      </c>
      <c r="B25" s="671" t="s">
        <v>498</v>
      </c>
      <c r="C25" s="670" t="s">
        <v>521</v>
      </c>
      <c r="D25" s="670" t="s">
        <v>522</v>
      </c>
      <c r="E25" s="670" t="s">
        <v>501</v>
      </c>
      <c r="F25" s="670" t="s">
        <v>45</v>
      </c>
      <c r="G25" s="670">
        <v>17</v>
      </c>
      <c r="H25" s="931">
        <v>90468</v>
      </c>
      <c r="I25" s="670">
        <v>52</v>
      </c>
      <c r="J25" s="670">
        <v>1074</v>
      </c>
      <c r="K25" s="670">
        <v>296</v>
      </c>
      <c r="L25" s="670" t="s">
        <v>56</v>
      </c>
      <c r="M25" s="931">
        <v>90468</v>
      </c>
      <c r="N25" s="672" t="s">
        <v>354</v>
      </c>
      <c r="O25" s="673" t="s">
        <v>435</v>
      </c>
      <c r="P25" s="119"/>
      <c r="Q25" s="119"/>
      <c r="R25" s="119"/>
      <c r="S25" s="222">
        <v>70297</v>
      </c>
      <c r="T25" s="222">
        <v>1074.3</v>
      </c>
      <c r="U25" s="686">
        <v>46133</v>
      </c>
      <c r="V25" s="684">
        <v>18</v>
      </c>
      <c r="W25" s="684">
        <v>18</v>
      </c>
      <c r="X25" s="684">
        <v>0.8</v>
      </c>
      <c r="Y25" s="684">
        <v>1080.8</v>
      </c>
      <c r="Z25" s="116">
        <f t="shared" si="0"/>
        <v>6.5</v>
      </c>
    </row>
    <row r="26" spans="1:26" ht="26.5" thickBot="1">
      <c r="A26" s="670" t="s">
        <v>350</v>
      </c>
      <c r="B26" s="671" t="s">
        <v>498</v>
      </c>
      <c r="C26" s="670" t="s">
        <v>521</v>
      </c>
      <c r="D26" s="670" t="s">
        <v>522</v>
      </c>
      <c r="E26" s="670" t="s">
        <v>501</v>
      </c>
      <c r="F26" s="670" t="s">
        <v>44</v>
      </c>
      <c r="G26" s="670">
        <v>12</v>
      </c>
      <c r="H26" s="670"/>
      <c r="I26" s="670">
        <v>22</v>
      </c>
      <c r="J26" s="670">
        <v>743</v>
      </c>
      <c r="K26" s="670">
        <v>315</v>
      </c>
      <c r="L26" s="670" t="s">
        <v>54</v>
      </c>
      <c r="M26" s="931">
        <v>90468</v>
      </c>
      <c r="N26" s="672" t="s">
        <v>354</v>
      </c>
      <c r="O26" s="673" t="s">
        <v>697</v>
      </c>
      <c r="P26" s="119"/>
      <c r="Q26" s="119"/>
      <c r="R26" s="119"/>
      <c r="S26" s="222">
        <v>70298</v>
      </c>
      <c r="T26" s="222">
        <v>743.6</v>
      </c>
      <c r="U26" s="686">
        <v>46133</v>
      </c>
      <c r="V26" s="684">
        <v>13</v>
      </c>
      <c r="W26" s="684">
        <v>12</v>
      </c>
      <c r="X26" s="684">
        <v>27.3</v>
      </c>
      <c r="Y26" s="684">
        <v>747.3</v>
      </c>
      <c r="Z26" s="116">
        <f t="shared" si="0"/>
        <v>3.6999999999999318</v>
      </c>
    </row>
    <row r="27" spans="1:26" ht="26.5" thickBot="1">
      <c r="A27" s="670" t="s">
        <v>350</v>
      </c>
      <c r="B27" s="671" t="s">
        <v>498</v>
      </c>
      <c r="C27" s="670" t="s">
        <v>523</v>
      </c>
      <c r="D27" s="670" t="s">
        <v>522</v>
      </c>
      <c r="E27" s="670" t="s">
        <v>501</v>
      </c>
      <c r="F27" s="670" t="s">
        <v>42</v>
      </c>
      <c r="G27" s="670">
        <v>17</v>
      </c>
      <c r="H27" s="670">
        <v>90468</v>
      </c>
      <c r="I27" s="670">
        <v>45</v>
      </c>
      <c r="J27" s="670">
        <v>1062</v>
      </c>
      <c r="K27" s="670">
        <v>330</v>
      </c>
      <c r="L27" s="670" t="s">
        <v>356</v>
      </c>
      <c r="M27" s="931">
        <v>90468</v>
      </c>
      <c r="N27" s="672" t="s">
        <v>354</v>
      </c>
      <c r="O27" s="673" t="s">
        <v>426</v>
      </c>
      <c r="P27" s="119"/>
      <c r="Q27" s="119"/>
      <c r="R27" s="119"/>
      <c r="S27" s="222">
        <v>70299</v>
      </c>
      <c r="T27" s="222">
        <v>1062.7</v>
      </c>
      <c r="U27" s="686">
        <v>46133</v>
      </c>
      <c r="V27" s="684">
        <v>18</v>
      </c>
      <c r="W27" s="684">
        <v>17</v>
      </c>
      <c r="X27" s="684">
        <v>48.8</v>
      </c>
      <c r="Y27" s="684">
        <v>1068.8</v>
      </c>
      <c r="Z27" s="116">
        <f t="shared" si="0"/>
        <v>6.0999999999999091</v>
      </c>
    </row>
    <row r="28" spans="1:26" ht="26.5" thickBot="1">
      <c r="A28" s="670" t="s">
        <v>350</v>
      </c>
      <c r="B28" s="671" t="s">
        <v>498</v>
      </c>
      <c r="C28" s="670" t="s">
        <v>523</v>
      </c>
      <c r="D28" s="670" t="s">
        <v>522</v>
      </c>
      <c r="E28" s="670" t="s">
        <v>501</v>
      </c>
      <c r="F28" s="670" t="s">
        <v>43</v>
      </c>
      <c r="G28" s="670">
        <v>23</v>
      </c>
      <c r="H28" s="670">
        <v>90468</v>
      </c>
      <c r="I28" s="670">
        <v>25</v>
      </c>
      <c r="J28" s="670">
        <v>1403</v>
      </c>
      <c r="K28" s="670">
        <v>315</v>
      </c>
      <c r="L28" s="670" t="s">
        <v>356</v>
      </c>
      <c r="M28" s="931">
        <v>90468</v>
      </c>
      <c r="N28" s="672" t="s">
        <v>354</v>
      </c>
      <c r="O28" s="673" t="s">
        <v>749</v>
      </c>
      <c r="P28" s="119"/>
      <c r="Q28" s="119"/>
      <c r="R28" s="119"/>
      <c r="S28" s="222">
        <v>70300</v>
      </c>
      <c r="T28" s="222">
        <v>1403.9</v>
      </c>
      <c r="U28" s="686">
        <v>46133</v>
      </c>
      <c r="V28" s="684">
        <v>24</v>
      </c>
      <c r="W28" s="684">
        <v>23</v>
      </c>
      <c r="X28" s="684">
        <v>30.4</v>
      </c>
      <c r="Y28" s="684">
        <v>1410.4</v>
      </c>
      <c r="Z28" s="116">
        <f t="shared" si="0"/>
        <v>6.5</v>
      </c>
    </row>
    <row r="29" spans="1:26" ht="26.5" thickBot="1">
      <c r="A29" s="670" t="s">
        <v>350</v>
      </c>
      <c r="B29" s="671" t="s">
        <v>498</v>
      </c>
      <c r="C29" s="670" t="s">
        <v>523</v>
      </c>
      <c r="D29" s="670" t="s">
        <v>522</v>
      </c>
      <c r="E29" s="670" t="s">
        <v>501</v>
      </c>
      <c r="F29" s="670" t="s">
        <v>52</v>
      </c>
      <c r="G29" s="670">
        <v>12</v>
      </c>
      <c r="H29" s="670">
        <v>90502</v>
      </c>
      <c r="I29" s="670">
        <v>20</v>
      </c>
      <c r="J29" s="670">
        <v>739</v>
      </c>
      <c r="K29" s="670">
        <v>215</v>
      </c>
      <c r="L29" s="670" t="s">
        <v>355</v>
      </c>
      <c r="M29" s="931">
        <v>90510</v>
      </c>
      <c r="N29" s="672" t="s">
        <v>418</v>
      </c>
      <c r="O29" s="673" t="s">
        <v>1058</v>
      </c>
      <c r="P29" s="119"/>
      <c r="Q29" s="119"/>
      <c r="R29" s="119"/>
      <c r="S29" s="222">
        <v>70301</v>
      </c>
      <c r="T29" s="222">
        <v>739.4</v>
      </c>
      <c r="U29" s="686">
        <v>46133</v>
      </c>
      <c r="V29" s="684">
        <v>13</v>
      </c>
      <c r="W29" s="684">
        <v>12</v>
      </c>
      <c r="X29" s="684">
        <v>24.3</v>
      </c>
      <c r="Y29" s="684">
        <v>744.3</v>
      </c>
      <c r="Z29" s="116">
        <f t="shared" si="0"/>
        <v>4.8999999999999773</v>
      </c>
    </row>
    <row r="30" spans="1:26" s="549" customFormat="1" ht="26.5" thickBot="1">
      <c r="A30" s="675" t="s">
        <v>350</v>
      </c>
      <c r="B30" s="676" t="s">
        <v>498</v>
      </c>
      <c r="C30" s="675" t="s">
        <v>524</v>
      </c>
      <c r="D30" s="675" t="s">
        <v>519</v>
      </c>
      <c r="E30" s="675" t="s">
        <v>501</v>
      </c>
      <c r="F30" s="675" t="s">
        <v>51</v>
      </c>
      <c r="G30" s="675">
        <v>29</v>
      </c>
      <c r="H30" s="675"/>
      <c r="I30" s="675">
        <v>21</v>
      </c>
      <c r="J30" s="675">
        <v>1762</v>
      </c>
      <c r="K30" s="675">
        <v>285</v>
      </c>
      <c r="L30" s="675" t="s">
        <v>525</v>
      </c>
      <c r="M30" s="931">
        <v>90468</v>
      </c>
      <c r="N30" s="677" t="s">
        <v>354</v>
      </c>
      <c r="O30" s="678" t="s">
        <v>749</v>
      </c>
      <c r="P30" s="547"/>
      <c r="Q30" s="547"/>
      <c r="R30" s="547"/>
      <c r="S30" s="548">
        <v>70302</v>
      </c>
      <c r="T30" s="548">
        <v>1762.9</v>
      </c>
      <c r="U30" s="687"/>
      <c r="V30" s="685">
        <v>30</v>
      </c>
      <c r="W30" s="685">
        <v>29</v>
      </c>
      <c r="X30" s="685">
        <v>40</v>
      </c>
      <c r="Y30" s="685">
        <v>1780</v>
      </c>
      <c r="Z30" s="116">
        <f t="shared" si="0"/>
        <v>17.099999999999909</v>
      </c>
    </row>
    <row r="31" spans="1:26">
      <c r="G31" s="164">
        <f>J31/60</f>
        <v>1020.0333333333333</v>
      </c>
      <c r="H31" s="164"/>
      <c r="I31" s="164"/>
      <c r="J31" s="164">
        <f>SUM(J3:J30)</f>
        <v>61202</v>
      </c>
      <c r="M31" s="116"/>
      <c r="T31" s="116">
        <f>SUM(T3:T30)</f>
        <v>61208.200000000004</v>
      </c>
      <c r="Y31" s="116">
        <f>SUM(Y3:Y30)</f>
        <v>61421.900000000016</v>
      </c>
    </row>
    <row r="32" spans="1:26">
      <c r="M32" s="116"/>
      <c r="Y32" s="116">
        <f>Y31-T31</f>
        <v>213.70000000001164</v>
      </c>
    </row>
    <row r="52" spans="7:22">
      <c r="I52" s="164">
        <f>SUM(I42:I51)</f>
        <v>0</v>
      </c>
      <c r="V52" s="116">
        <f>SUM(V42:V51)</f>
        <v>0</v>
      </c>
    </row>
    <row r="53" spans="7:22">
      <c r="I53" s="164">
        <f>I52/60</f>
        <v>0</v>
      </c>
    </row>
    <row r="56" spans="7:22">
      <c r="I56" s="164">
        <f>SUM(I54:I55)</f>
        <v>0</v>
      </c>
      <c r="V56" s="116">
        <f>SUM(V54:V55)</f>
        <v>0</v>
      </c>
    </row>
    <row r="57" spans="7:22">
      <c r="I57" s="1052">
        <f>I56/60</f>
        <v>0</v>
      </c>
    </row>
    <row r="61" spans="7:22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7:22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7:22">
      <c r="G63" s="135" t="s">
        <v>856</v>
      </c>
      <c r="H63" s="135"/>
      <c r="I63" s="135">
        <v>88</v>
      </c>
      <c r="J63" s="135">
        <v>88</v>
      </c>
      <c r="K63" s="135">
        <v>89</v>
      </c>
    </row>
  </sheetData>
  <autoFilter ref="A2:T32" xr:uid="{9DBF59A6-BAD4-4095-AC8C-97EBCAEEF8C5}"/>
  <mergeCells count="2">
    <mergeCell ref="S23:S24"/>
    <mergeCell ref="T23:T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3534-4487-48AA-8777-87112A0B20F6}">
  <sheetPr>
    <tabColor theme="9" tint="-0.499984740745262"/>
  </sheetPr>
  <dimension ref="A2:X63"/>
  <sheetViews>
    <sheetView topLeftCell="C1" zoomScale="90" zoomScaleNormal="90" workbookViewId="0">
      <selection activeCell="S49" sqref="S49"/>
    </sheetView>
  </sheetViews>
  <sheetFormatPr defaultColWidth="8.81640625" defaultRowHeight="13"/>
  <cols>
    <col min="1" max="1" width="16.1796875" style="116" customWidth="1"/>
    <col min="2" max="2" width="19.1796875" style="116" customWidth="1"/>
    <col min="3" max="3" width="14.1796875" style="116" customWidth="1"/>
    <col min="4" max="4" width="8.81640625" style="116"/>
    <col min="5" max="5" width="21.453125" style="116" customWidth="1"/>
    <col min="6" max="6" width="8.81640625" style="116"/>
    <col min="7" max="8" width="19.1796875" style="116" customWidth="1"/>
    <col min="9" max="9" width="17.90625" style="116" bestFit="1" customWidth="1"/>
    <col min="10" max="10" width="22.1796875" style="116" bestFit="1" customWidth="1"/>
    <col min="11" max="11" width="13.1796875" style="116" bestFit="1" customWidth="1"/>
    <col min="12" max="12" width="20.1796875" style="122" hidden="1" customWidth="1"/>
    <col min="13" max="13" width="17.1796875" style="116" hidden="1" customWidth="1"/>
    <col min="14" max="14" width="0" style="116" hidden="1" customWidth="1"/>
    <col min="15" max="16" width="13.54296875" style="116" customWidth="1"/>
    <col min="17" max="17" width="14.453125" style="116" bestFit="1" customWidth="1"/>
    <col min="18" max="18" width="9.453125" style="116" customWidth="1"/>
    <col min="19" max="19" width="24.453125" style="116" customWidth="1"/>
    <col min="20" max="20" width="13.453125" style="116" bestFit="1" customWidth="1"/>
    <col min="21" max="21" width="13.1796875" style="116" bestFit="1" customWidth="1"/>
    <col min="22" max="22" width="12.453125" style="116" bestFit="1" customWidth="1"/>
    <col min="23" max="23" width="11.81640625" style="116" bestFit="1" customWidth="1"/>
    <col min="24" max="24" width="14.54296875" style="116" bestFit="1" customWidth="1"/>
    <col min="25" max="16384" width="8.81640625" style="116"/>
  </cols>
  <sheetData>
    <row r="2" spans="1:24">
      <c r="A2" s="424" t="s">
        <v>22</v>
      </c>
      <c r="B2" s="425" t="s">
        <v>344</v>
      </c>
      <c r="C2" s="424" t="s">
        <v>497</v>
      </c>
      <c r="D2" s="424" t="s">
        <v>23</v>
      </c>
      <c r="E2" s="659" t="s">
        <v>24</v>
      </c>
      <c r="F2" s="660" t="s">
        <v>111</v>
      </c>
      <c r="G2" s="424" t="s">
        <v>345</v>
      </c>
      <c r="H2" s="424"/>
      <c r="I2" s="424" t="s">
        <v>814</v>
      </c>
      <c r="J2" s="424" t="s">
        <v>1055</v>
      </c>
      <c r="K2" s="424" t="s">
        <v>26</v>
      </c>
      <c r="L2" s="424" t="s">
        <v>28</v>
      </c>
      <c r="M2" s="424" t="s">
        <v>528</v>
      </c>
      <c r="N2" s="115" t="s">
        <v>541</v>
      </c>
      <c r="O2" s="115" t="s">
        <v>1206</v>
      </c>
      <c r="P2" s="221" t="s">
        <v>405</v>
      </c>
      <c r="Q2" s="221" t="s">
        <v>406</v>
      </c>
      <c r="R2" s="115" t="s">
        <v>407</v>
      </c>
      <c r="S2" s="655" t="s">
        <v>1145</v>
      </c>
      <c r="T2" s="221" t="s">
        <v>705</v>
      </c>
      <c r="U2" s="221" t="s">
        <v>706</v>
      </c>
      <c r="V2" s="221" t="s">
        <v>704</v>
      </c>
      <c r="W2" s="221" t="s">
        <v>707</v>
      </c>
    </row>
    <row r="3" spans="1:24">
      <c r="A3" s="446" t="s">
        <v>1139</v>
      </c>
      <c r="B3" s="839" t="s">
        <v>529</v>
      </c>
      <c r="C3" s="661" t="s">
        <v>501</v>
      </c>
      <c r="D3" s="661" t="s">
        <v>391</v>
      </c>
      <c r="E3" s="662">
        <v>33</v>
      </c>
      <c r="F3" s="209">
        <v>48</v>
      </c>
      <c r="G3" s="662">
        <v>2028</v>
      </c>
      <c r="H3" s="662"/>
      <c r="I3" s="661" t="s">
        <v>418</v>
      </c>
      <c r="J3" s="661">
        <v>10140</v>
      </c>
      <c r="K3" s="661" t="s">
        <v>1057</v>
      </c>
      <c r="L3" s="661"/>
      <c r="M3" s="661" t="s">
        <v>530</v>
      </c>
      <c r="N3" s="119">
        <v>240</v>
      </c>
      <c r="O3" s="934" t="s">
        <v>1207</v>
      </c>
      <c r="P3" s="663">
        <v>70305</v>
      </c>
      <c r="Q3" s="663">
        <v>2028</v>
      </c>
      <c r="R3" s="119">
        <f>Q3/60*N3*1.2</f>
        <v>9734.3999999999978</v>
      </c>
      <c r="S3" s="222"/>
      <c r="T3" s="222"/>
      <c r="U3" s="222"/>
      <c r="V3" s="222"/>
      <c r="W3" s="222"/>
    </row>
    <row r="4" spans="1:24">
      <c r="A4" s="205" t="s">
        <v>610</v>
      </c>
      <c r="B4" s="204" t="s">
        <v>611</v>
      </c>
      <c r="C4" s="664" t="s">
        <v>501</v>
      </c>
      <c r="D4" s="206" t="s">
        <v>391</v>
      </c>
      <c r="E4" s="207">
        <v>91</v>
      </c>
      <c r="F4" s="208">
        <v>28</v>
      </c>
      <c r="G4" s="209">
        <v>5508</v>
      </c>
      <c r="H4" s="209"/>
      <c r="I4" s="209" t="s">
        <v>418</v>
      </c>
      <c r="J4" s="665">
        <v>10140</v>
      </c>
      <c r="K4" s="661" t="s">
        <v>1057</v>
      </c>
      <c r="L4" s="209" t="s">
        <v>532</v>
      </c>
      <c r="M4" s="451" t="s">
        <v>530</v>
      </c>
      <c r="N4" s="119">
        <v>240</v>
      </c>
      <c r="O4" s="934" t="s">
        <v>1207</v>
      </c>
      <c r="P4" s="222">
        <v>70306</v>
      </c>
      <c r="Q4" s="222">
        <v>5508.9</v>
      </c>
      <c r="R4" s="119">
        <f t="shared" ref="R4:R18" si="0">Q4/60*N4*1.2</f>
        <v>26442.719999999998</v>
      </c>
      <c r="S4" s="656">
        <v>46141</v>
      </c>
      <c r="T4" s="657">
        <v>92</v>
      </c>
      <c r="U4" s="658">
        <v>91</v>
      </c>
      <c r="V4" s="657">
        <v>59.2</v>
      </c>
      <c r="W4" s="658">
        <v>5519.2</v>
      </c>
    </row>
    <row r="5" spans="1:24">
      <c r="A5" s="205" t="s">
        <v>612</v>
      </c>
      <c r="B5" s="204" t="s">
        <v>531</v>
      </c>
      <c r="C5" s="664" t="s">
        <v>501</v>
      </c>
      <c r="D5" s="206" t="s">
        <v>391</v>
      </c>
      <c r="E5" s="207">
        <v>54</v>
      </c>
      <c r="F5" s="208">
        <v>57</v>
      </c>
      <c r="G5" s="209">
        <v>3297</v>
      </c>
      <c r="H5" s="209"/>
      <c r="I5" s="209" t="s">
        <v>418</v>
      </c>
      <c r="J5" s="665">
        <v>10140</v>
      </c>
      <c r="K5" s="661" t="s">
        <v>1057</v>
      </c>
      <c r="L5" s="209" t="s">
        <v>463</v>
      </c>
      <c r="M5" s="451" t="s">
        <v>530</v>
      </c>
      <c r="N5" s="119">
        <v>240</v>
      </c>
      <c r="O5" s="934" t="s">
        <v>1207</v>
      </c>
      <c r="P5" s="222">
        <v>70307</v>
      </c>
      <c r="Q5" s="222">
        <v>3292.2</v>
      </c>
      <c r="R5" s="119">
        <f t="shared" si="0"/>
        <v>15802.559999999998</v>
      </c>
      <c r="S5" s="656">
        <v>46140</v>
      </c>
      <c r="T5" s="657">
        <v>55</v>
      </c>
      <c r="U5" s="658">
        <v>54</v>
      </c>
      <c r="V5" s="657">
        <v>52.5</v>
      </c>
      <c r="W5" s="658">
        <v>3292.5</v>
      </c>
    </row>
    <row r="6" spans="1:24">
      <c r="A6" s="205" t="s">
        <v>613</v>
      </c>
      <c r="B6" s="204" t="s">
        <v>531</v>
      </c>
      <c r="C6" s="664" t="s">
        <v>501</v>
      </c>
      <c r="D6" s="206" t="s">
        <v>391</v>
      </c>
      <c r="E6" s="207">
        <v>47</v>
      </c>
      <c r="F6" s="208">
        <v>26</v>
      </c>
      <c r="G6" s="209">
        <v>2852</v>
      </c>
      <c r="H6" s="209"/>
      <c r="I6" s="209" t="s">
        <v>418</v>
      </c>
      <c r="J6" s="665">
        <v>10140</v>
      </c>
      <c r="K6" s="661" t="s">
        <v>1057</v>
      </c>
      <c r="L6" s="209" t="s">
        <v>532</v>
      </c>
      <c r="M6" s="451" t="s">
        <v>530</v>
      </c>
      <c r="N6" s="119">
        <v>240</v>
      </c>
      <c r="O6" s="934" t="s">
        <v>1207</v>
      </c>
      <c r="P6" s="222">
        <v>70308</v>
      </c>
      <c r="Q6" s="222">
        <v>2850.9</v>
      </c>
      <c r="R6" s="119">
        <f t="shared" si="0"/>
        <v>13684.32</v>
      </c>
      <c r="S6" s="656">
        <v>46140</v>
      </c>
      <c r="T6" s="657">
        <v>48</v>
      </c>
      <c r="U6" s="658">
        <v>47</v>
      </c>
      <c r="V6" s="657">
        <v>27.8</v>
      </c>
      <c r="W6" s="658">
        <v>2847.8</v>
      </c>
    </row>
    <row r="7" spans="1:24">
      <c r="A7" s="205" t="s">
        <v>614</v>
      </c>
      <c r="B7" s="204" t="s">
        <v>531</v>
      </c>
      <c r="C7" s="664" t="s">
        <v>501</v>
      </c>
      <c r="D7" s="206" t="s">
        <v>391</v>
      </c>
      <c r="E7" s="207">
        <v>34</v>
      </c>
      <c r="F7" s="208">
        <v>60</v>
      </c>
      <c r="G7" s="209">
        <v>2100</v>
      </c>
      <c r="H7" s="209"/>
      <c r="I7" s="209" t="s">
        <v>418</v>
      </c>
      <c r="J7" s="665">
        <v>10140</v>
      </c>
      <c r="K7" s="661" t="s">
        <v>1057</v>
      </c>
      <c r="L7" s="209" t="s">
        <v>533</v>
      </c>
      <c r="M7" s="451" t="s">
        <v>530</v>
      </c>
      <c r="N7" s="119">
        <v>240</v>
      </c>
      <c r="O7" s="934" t="s">
        <v>1207</v>
      </c>
      <c r="P7" s="222">
        <v>70309</v>
      </c>
      <c r="Q7" s="222">
        <v>2101.3000000000002</v>
      </c>
      <c r="R7" s="119">
        <f t="shared" si="0"/>
        <v>10086.24</v>
      </c>
      <c r="S7" s="656">
        <v>46141</v>
      </c>
      <c r="T7" s="657">
        <v>35</v>
      </c>
      <c r="U7" s="658">
        <v>35</v>
      </c>
      <c r="V7" s="657">
        <v>8.5</v>
      </c>
      <c r="W7" s="658">
        <v>2108.5</v>
      </c>
    </row>
    <row r="8" spans="1:24">
      <c r="A8" s="205" t="s">
        <v>615</v>
      </c>
      <c r="B8" s="204" t="s">
        <v>531</v>
      </c>
      <c r="C8" s="664" t="s">
        <v>501</v>
      </c>
      <c r="D8" s="206" t="s">
        <v>391</v>
      </c>
      <c r="E8" s="207">
        <v>176</v>
      </c>
      <c r="F8" s="208">
        <v>48</v>
      </c>
      <c r="G8" s="209">
        <v>10627</v>
      </c>
      <c r="H8" s="209"/>
      <c r="I8" s="209" t="s">
        <v>418</v>
      </c>
      <c r="J8" s="665">
        <v>10140</v>
      </c>
      <c r="K8" s="661" t="s">
        <v>1057</v>
      </c>
      <c r="L8" s="209" t="s">
        <v>533</v>
      </c>
      <c r="M8" s="451" t="s">
        <v>530</v>
      </c>
      <c r="N8" s="119">
        <v>240</v>
      </c>
      <c r="O8" s="934" t="s">
        <v>1207</v>
      </c>
      <c r="P8" s="222">
        <v>70310</v>
      </c>
      <c r="Q8" s="222">
        <v>10627.9</v>
      </c>
      <c r="R8" s="119">
        <f t="shared" si="0"/>
        <v>51013.919999999998</v>
      </c>
      <c r="S8" s="656">
        <v>46140</v>
      </c>
      <c r="T8" s="657">
        <v>177</v>
      </c>
      <c r="U8" s="658">
        <v>176</v>
      </c>
      <c r="V8" s="657">
        <v>33.700000000000003</v>
      </c>
      <c r="W8" s="658">
        <v>10593.7</v>
      </c>
    </row>
    <row r="9" spans="1:24">
      <c r="A9" s="205" t="s">
        <v>616</v>
      </c>
      <c r="B9" s="204" t="s">
        <v>611</v>
      </c>
      <c r="C9" s="664" t="s">
        <v>501</v>
      </c>
      <c r="D9" s="206" t="s">
        <v>391</v>
      </c>
      <c r="E9" s="207">
        <v>78</v>
      </c>
      <c r="F9" s="208">
        <v>68</v>
      </c>
      <c r="G9" s="209">
        <v>4748</v>
      </c>
      <c r="H9" s="209"/>
      <c r="I9" s="209" t="s">
        <v>418</v>
      </c>
      <c r="J9" s="665">
        <v>10140</v>
      </c>
      <c r="K9" s="661" t="s">
        <v>1057</v>
      </c>
      <c r="L9" s="209" t="s">
        <v>601</v>
      </c>
      <c r="M9" s="451" t="s">
        <v>530</v>
      </c>
      <c r="N9" s="119">
        <v>240</v>
      </c>
      <c r="O9" s="934" t="s">
        <v>1207</v>
      </c>
      <c r="P9" s="222">
        <v>70311</v>
      </c>
      <c r="Q9" s="222">
        <v>4750.7</v>
      </c>
      <c r="R9" s="119">
        <f t="shared" si="0"/>
        <v>22803.359999999997</v>
      </c>
      <c r="S9" s="656">
        <v>46141</v>
      </c>
      <c r="T9" s="657">
        <v>79</v>
      </c>
      <c r="U9" s="658">
        <v>79</v>
      </c>
      <c r="V9" s="657">
        <v>4.9000000000000004</v>
      </c>
      <c r="W9" s="658">
        <v>4744.8999999999996</v>
      </c>
    </row>
    <row r="10" spans="1:24" s="838" customFormat="1">
      <c r="A10" s="205" t="s">
        <v>617</v>
      </c>
      <c r="B10" s="204" t="s">
        <v>529</v>
      </c>
      <c r="C10" s="664" t="s">
        <v>501</v>
      </c>
      <c r="D10" s="206" t="s">
        <v>391</v>
      </c>
      <c r="E10" s="207">
        <v>34</v>
      </c>
      <c r="F10" s="208">
        <v>18</v>
      </c>
      <c r="G10" s="209">
        <v>2061</v>
      </c>
      <c r="H10" s="209"/>
      <c r="I10" s="209" t="s">
        <v>418</v>
      </c>
      <c r="J10" s="665">
        <v>10140</v>
      </c>
      <c r="K10" s="661" t="s">
        <v>1057</v>
      </c>
      <c r="L10" s="209" t="s">
        <v>534</v>
      </c>
      <c r="M10" s="451" t="s">
        <v>530</v>
      </c>
      <c r="N10" s="834">
        <v>240</v>
      </c>
      <c r="O10" s="934" t="s">
        <v>1207</v>
      </c>
      <c r="P10" s="663">
        <v>70312</v>
      </c>
      <c r="Q10" s="663">
        <v>2061.4</v>
      </c>
      <c r="R10" s="834">
        <f t="shared" si="0"/>
        <v>9894.7199999999993</v>
      </c>
      <c r="S10" s="835" t="s">
        <v>1185</v>
      </c>
      <c r="T10" s="836">
        <v>35</v>
      </c>
      <c r="U10" s="837">
        <v>34</v>
      </c>
      <c r="V10" s="836">
        <v>25.5</v>
      </c>
      <c r="W10" s="837">
        <v>2066</v>
      </c>
    </row>
    <row r="11" spans="1:24" ht="13.5" customHeight="1">
      <c r="A11" s="205" t="s">
        <v>618</v>
      </c>
      <c r="B11" s="204" t="s">
        <v>535</v>
      </c>
      <c r="C11" s="664" t="s">
        <v>536</v>
      </c>
      <c r="D11" s="206" t="s">
        <v>391</v>
      </c>
      <c r="E11" s="207">
        <v>81</v>
      </c>
      <c r="F11" s="208">
        <v>68</v>
      </c>
      <c r="G11" s="209">
        <v>4928</v>
      </c>
      <c r="H11" s="209"/>
      <c r="I11" s="209" t="s">
        <v>418</v>
      </c>
      <c r="J11" s="665">
        <v>10140</v>
      </c>
      <c r="K11" s="661" t="s">
        <v>1057</v>
      </c>
      <c r="L11" s="209" t="s">
        <v>537</v>
      </c>
      <c r="M11" s="451" t="s">
        <v>530</v>
      </c>
      <c r="N11" s="119">
        <v>240</v>
      </c>
      <c r="O11" s="934" t="s">
        <v>1207</v>
      </c>
      <c r="P11" s="222">
        <v>70313</v>
      </c>
      <c r="Q11" s="222">
        <v>4931.1000000000004</v>
      </c>
      <c r="R11" s="119">
        <f t="shared" si="0"/>
        <v>23669.280000000002</v>
      </c>
      <c r="S11" s="656">
        <v>46141</v>
      </c>
      <c r="T11" s="657">
        <v>82</v>
      </c>
      <c r="U11" s="658">
        <v>82</v>
      </c>
      <c r="V11" s="657">
        <v>19.2</v>
      </c>
      <c r="W11" s="658">
        <v>4939.2</v>
      </c>
    </row>
    <row r="12" spans="1:24">
      <c r="A12" s="205" t="s">
        <v>619</v>
      </c>
      <c r="B12" s="204" t="s">
        <v>620</v>
      </c>
      <c r="C12" s="664" t="s">
        <v>501</v>
      </c>
      <c r="D12" s="206" t="s">
        <v>391</v>
      </c>
      <c r="E12" s="207"/>
      <c r="F12" s="208"/>
      <c r="G12" s="209"/>
      <c r="H12" s="209"/>
      <c r="I12" s="209" t="s">
        <v>418</v>
      </c>
      <c r="J12" s="665">
        <v>10140</v>
      </c>
      <c r="K12" s="661" t="s">
        <v>1057</v>
      </c>
      <c r="L12" s="209" t="s">
        <v>601</v>
      </c>
      <c r="M12" s="451" t="s">
        <v>621</v>
      </c>
      <c r="N12" s="119">
        <v>240</v>
      </c>
      <c r="O12" s="934" t="s">
        <v>1207</v>
      </c>
      <c r="P12" s="222">
        <v>70314</v>
      </c>
      <c r="Q12" s="222"/>
      <c r="R12" s="119">
        <f t="shared" si="0"/>
        <v>0</v>
      </c>
      <c r="S12" s="222"/>
      <c r="T12" s="222"/>
      <c r="U12" s="222"/>
      <c r="V12" s="222"/>
      <c r="W12" s="222"/>
      <c r="X12" s="116" t="s">
        <v>1271</v>
      </c>
    </row>
    <row r="13" spans="1:24" s="838" customFormat="1">
      <c r="A13" s="205" t="s">
        <v>622</v>
      </c>
      <c r="B13" s="204" t="s">
        <v>611</v>
      </c>
      <c r="C13" s="664" t="s">
        <v>501</v>
      </c>
      <c r="D13" s="206" t="s">
        <v>391</v>
      </c>
      <c r="E13" s="207">
        <v>112</v>
      </c>
      <c r="F13" s="208">
        <v>69</v>
      </c>
      <c r="G13" s="209">
        <v>6784</v>
      </c>
      <c r="H13" s="209"/>
      <c r="I13" s="209" t="s">
        <v>418</v>
      </c>
      <c r="J13" s="665">
        <v>10140</v>
      </c>
      <c r="K13" s="661" t="s">
        <v>1057</v>
      </c>
      <c r="L13" s="209" t="s">
        <v>537</v>
      </c>
      <c r="M13" s="451" t="s">
        <v>530</v>
      </c>
      <c r="N13" s="834">
        <v>240</v>
      </c>
      <c r="O13" s="934" t="s">
        <v>1207</v>
      </c>
      <c r="P13" s="663">
        <v>70315</v>
      </c>
      <c r="Q13" s="663">
        <v>6784.9</v>
      </c>
      <c r="R13" s="834">
        <f t="shared" si="0"/>
        <v>32567.519999999997</v>
      </c>
      <c r="S13" s="835" t="s">
        <v>1186</v>
      </c>
      <c r="T13" s="836">
        <v>113</v>
      </c>
      <c r="U13" s="837">
        <f>SUM(U3:U12)</f>
        <v>598</v>
      </c>
      <c r="V13" s="836">
        <v>34.299999999999997</v>
      </c>
      <c r="W13" s="837">
        <v>6814</v>
      </c>
    </row>
    <row r="14" spans="1:24">
      <c r="A14" s="205" t="s">
        <v>623</v>
      </c>
      <c r="B14" s="204" t="s">
        <v>611</v>
      </c>
      <c r="C14" s="664" t="s">
        <v>501</v>
      </c>
      <c r="D14" s="206" t="s">
        <v>391</v>
      </c>
      <c r="E14" s="207">
        <v>74</v>
      </c>
      <c r="F14" s="208">
        <v>11</v>
      </c>
      <c r="G14" s="209">
        <v>4449</v>
      </c>
      <c r="H14" s="209"/>
      <c r="I14" s="209" t="s">
        <v>418</v>
      </c>
      <c r="J14" s="665">
        <v>10140</v>
      </c>
      <c r="K14" s="661" t="s">
        <v>1057</v>
      </c>
      <c r="L14" s="209" t="s">
        <v>537</v>
      </c>
      <c r="M14" s="451" t="s">
        <v>530</v>
      </c>
      <c r="N14" s="119">
        <v>240</v>
      </c>
      <c r="O14" s="934" t="s">
        <v>1207</v>
      </c>
      <c r="P14" s="222">
        <v>70316</v>
      </c>
      <c r="Q14" s="222">
        <v>4450.2</v>
      </c>
      <c r="R14" s="119">
        <f t="shared" si="0"/>
        <v>21360.959999999999</v>
      </c>
      <c r="S14" s="656">
        <v>46141</v>
      </c>
      <c r="T14" s="657">
        <v>75</v>
      </c>
      <c r="U14" s="658">
        <v>74</v>
      </c>
      <c r="V14" s="657">
        <v>12.5</v>
      </c>
      <c r="W14" s="658">
        <v>4452.5</v>
      </c>
    </row>
    <row r="15" spans="1:24">
      <c r="A15" s="205" t="s">
        <v>624</v>
      </c>
      <c r="B15" s="204" t="s">
        <v>620</v>
      </c>
      <c r="C15" s="664" t="s">
        <v>501</v>
      </c>
      <c r="D15" s="206" t="s">
        <v>391</v>
      </c>
      <c r="E15" s="207">
        <v>18</v>
      </c>
      <c r="F15" s="208">
        <v>29</v>
      </c>
      <c r="G15" s="209">
        <v>1111</v>
      </c>
      <c r="H15" s="209"/>
      <c r="I15" s="209" t="s">
        <v>418</v>
      </c>
      <c r="J15" s="665">
        <v>10140</v>
      </c>
      <c r="K15" s="661" t="s">
        <v>1057</v>
      </c>
      <c r="L15" s="209" t="s">
        <v>533</v>
      </c>
      <c r="M15" s="451" t="s">
        <v>530</v>
      </c>
      <c r="N15" s="119">
        <v>240</v>
      </c>
      <c r="O15" s="934" t="s">
        <v>1207</v>
      </c>
      <c r="P15" s="222">
        <v>70317</v>
      </c>
      <c r="Q15" s="222">
        <v>1111.2</v>
      </c>
      <c r="R15" s="119">
        <f t="shared" si="0"/>
        <v>5333.76</v>
      </c>
      <c r="S15" s="656">
        <v>46141</v>
      </c>
      <c r="T15" s="657">
        <v>19</v>
      </c>
      <c r="U15" s="658">
        <v>18</v>
      </c>
      <c r="V15" s="657">
        <v>42.9</v>
      </c>
      <c r="W15" s="658">
        <v>1122.9000000000001</v>
      </c>
    </row>
    <row r="16" spans="1:24">
      <c r="A16" s="205" t="s">
        <v>625</v>
      </c>
      <c r="B16" s="204" t="s">
        <v>538</v>
      </c>
      <c r="C16" s="664" t="s">
        <v>501</v>
      </c>
      <c r="D16" s="206" t="s">
        <v>391</v>
      </c>
      <c r="E16" s="666">
        <v>97</v>
      </c>
      <c r="F16" s="666">
        <v>21</v>
      </c>
      <c r="G16" s="667">
        <v>5841</v>
      </c>
      <c r="H16" s="667"/>
      <c r="I16" s="209" t="s">
        <v>418</v>
      </c>
      <c r="J16" s="665">
        <v>10140</v>
      </c>
      <c r="K16" s="661" t="s">
        <v>1057</v>
      </c>
      <c r="L16" s="449" t="s">
        <v>539</v>
      </c>
      <c r="M16" s="451" t="s">
        <v>530</v>
      </c>
      <c r="N16" s="119">
        <v>240</v>
      </c>
      <c r="O16" s="934" t="s">
        <v>1207</v>
      </c>
      <c r="P16" s="222">
        <v>70318</v>
      </c>
      <c r="Q16" s="222">
        <v>5852.7</v>
      </c>
      <c r="R16" s="119">
        <f t="shared" si="0"/>
        <v>28092.959999999999</v>
      </c>
      <c r="S16" s="656">
        <v>46141</v>
      </c>
      <c r="T16" s="657">
        <v>98</v>
      </c>
      <c r="U16" s="658">
        <f>SUM(U14:U15)</f>
        <v>92</v>
      </c>
      <c r="V16" s="657">
        <v>1.8</v>
      </c>
      <c r="W16" s="658"/>
    </row>
    <row r="17" spans="1:23">
      <c r="A17" s="205" t="s">
        <v>626</v>
      </c>
      <c r="B17" s="204" t="s">
        <v>611</v>
      </c>
      <c r="C17" s="664" t="s">
        <v>501</v>
      </c>
      <c r="D17" s="206" t="s">
        <v>391</v>
      </c>
      <c r="E17" s="666">
        <v>72</v>
      </c>
      <c r="F17" s="666">
        <v>56</v>
      </c>
      <c r="G17" s="667">
        <v>4376</v>
      </c>
      <c r="H17" s="667"/>
      <c r="I17" s="209" t="s">
        <v>418</v>
      </c>
      <c r="J17" s="665">
        <v>10140</v>
      </c>
      <c r="K17" s="661" t="s">
        <v>1057</v>
      </c>
      <c r="L17" s="449" t="s">
        <v>540</v>
      </c>
      <c r="M17" s="451" t="s">
        <v>530</v>
      </c>
      <c r="N17" s="119">
        <v>240</v>
      </c>
      <c r="O17" s="934" t="s">
        <v>1207</v>
      </c>
      <c r="P17" s="222">
        <v>70319</v>
      </c>
      <c r="Q17" s="222">
        <v>4385</v>
      </c>
      <c r="R17" s="119">
        <f t="shared" si="0"/>
        <v>21048</v>
      </c>
      <c r="S17" s="656">
        <v>46141</v>
      </c>
      <c r="T17" s="657">
        <v>73</v>
      </c>
      <c r="U17" s="658">
        <v>73</v>
      </c>
      <c r="V17" s="657">
        <v>6.3</v>
      </c>
      <c r="W17" s="658">
        <v>4386.3</v>
      </c>
    </row>
    <row r="18" spans="1:23">
      <c r="A18" s="205" t="s">
        <v>627</v>
      </c>
      <c r="B18" s="204" t="s">
        <v>529</v>
      </c>
      <c r="C18" s="664" t="s">
        <v>501</v>
      </c>
      <c r="D18" s="206" t="s">
        <v>391</v>
      </c>
      <c r="E18" s="666">
        <v>50</v>
      </c>
      <c r="F18" s="666">
        <v>49</v>
      </c>
      <c r="G18" s="667">
        <v>3049</v>
      </c>
      <c r="H18" s="667"/>
      <c r="I18" s="209" t="s">
        <v>418</v>
      </c>
      <c r="J18" s="665">
        <v>10140</v>
      </c>
      <c r="K18" s="661" t="s">
        <v>1057</v>
      </c>
      <c r="L18" s="449" t="s">
        <v>540</v>
      </c>
      <c r="M18" s="451" t="s">
        <v>530</v>
      </c>
      <c r="N18" s="119">
        <v>240</v>
      </c>
      <c r="O18" s="934" t="s">
        <v>1207</v>
      </c>
      <c r="P18" s="222">
        <v>70320</v>
      </c>
      <c r="Q18" s="222">
        <v>3048.6</v>
      </c>
      <c r="R18" s="119">
        <f t="shared" si="0"/>
        <v>14633.279999999999</v>
      </c>
      <c r="S18" s="656">
        <v>46141</v>
      </c>
      <c r="T18" s="657">
        <v>51</v>
      </c>
      <c r="U18" s="658">
        <v>50</v>
      </c>
      <c r="V18" s="657">
        <v>55.1</v>
      </c>
      <c r="W18" s="658">
        <v>3055.1</v>
      </c>
    </row>
    <row r="19" spans="1:23" ht="27.65" customHeight="1">
      <c r="E19" s="179"/>
      <c r="F19" s="164"/>
      <c r="G19" s="180"/>
      <c r="H19" s="180"/>
      <c r="I19" s="180"/>
      <c r="J19" s="180"/>
      <c r="Q19" s="527">
        <f>SUM(Q3:Q18)</f>
        <v>63784.999999999985</v>
      </c>
      <c r="R19" s="124">
        <f>SUM(R3:R18)</f>
        <v>306168</v>
      </c>
    </row>
    <row r="20" spans="1:23">
      <c r="P20" s="998">
        <f>Q19/60</f>
        <v>1063.083333333333</v>
      </c>
    </row>
    <row r="21" spans="1:23">
      <c r="R21" s="179">
        <f>R19/Q19*50</f>
        <v>240.00000000000003</v>
      </c>
    </row>
    <row r="23" spans="1:23">
      <c r="H23" s="116" t="s">
        <v>1375</v>
      </c>
    </row>
    <row r="24" spans="1:23">
      <c r="H24" s="451">
        <v>350</v>
      </c>
    </row>
    <row r="25" spans="1:23">
      <c r="H25" s="451" t="s">
        <v>621</v>
      </c>
    </row>
    <row r="27" spans="1:23">
      <c r="H27" s="1126" t="s">
        <v>530</v>
      </c>
    </row>
    <row r="28" spans="1:23">
      <c r="H28" s="1126" t="s">
        <v>530</v>
      </c>
    </row>
    <row r="29" spans="1:23">
      <c r="H29" s="1126" t="s">
        <v>530</v>
      </c>
    </row>
    <row r="52" spans="7:22">
      <c r="I52" s="164">
        <f>SUM(I42:I51)</f>
        <v>0</v>
      </c>
      <c r="V52" s="116">
        <f>SUM(V42:V51)</f>
        <v>0</v>
      </c>
    </row>
    <row r="53" spans="7:22">
      <c r="I53" s="164">
        <f>I52/60</f>
        <v>0</v>
      </c>
    </row>
    <row r="56" spans="7:22">
      <c r="I56" s="164">
        <f>SUM(I54:I55)</f>
        <v>0</v>
      </c>
      <c r="V56" s="116">
        <f>SUM(V54:V55)</f>
        <v>0</v>
      </c>
    </row>
    <row r="57" spans="7:22">
      <c r="I57" s="1052">
        <f>I56/60</f>
        <v>0</v>
      </c>
    </row>
    <row r="61" spans="7:22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7:22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7:22">
      <c r="G63" s="135" t="s">
        <v>856</v>
      </c>
      <c r="H63" s="135"/>
      <c r="I63" s="135">
        <v>88</v>
      </c>
      <c r="J63" s="135">
        <v>88</v>
      </c>
      <c r="K63" s="135">
        <v>89</v>
      </c>
    </row>
  </sheetData>
  <autoFilter ref="A2:W2" xr:uid="{0BAF3534-4487-48AA-8777-87112A0B20F6}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A9EF-5DE0-418A-B57E-D9A02D2FA3FE}">
  <sheetPr>
    <tabColor theme="7" tint="0.79998168889431442"/>
  </sheetPr>
  <dimension ref="A1:Y63"/>
  <sheetViews>
    <sheetView workbookViewId="0">
      <selection activeCell="H30" sqref="H30"/>
    </sheetView>
  </sheetViews>
  <sheetFormatPr defaultColWidth="8.81640625" defaultRowHeight="13"/>
  <cols>
    <col min="1" max="1" width="8.81640625" style="116"/>
    <col min="2" max="2" width="14.1796875" style="116" customWidth="1"/>
    <col min="3" max="3" width="17.453125" style="116" customWidth="1"/>
    <col min="4" max="4" width="10.54296875" style="116" customWidth="1"/>
    <col min="5" max="5" width="9.81640625" style="116" customWidth="1"/>
    <col min="6" max="6" width="11.81640625" style="116" customWidth="1"/>
    <col min="7" max="8" width="8.81640625" style="116"/>
    <col min="9" max="9" width="17.90625" style="116" bestFit="1" customWidth="1"/>
    <col min="10" max="10" width="12.6328125" style="116" bestFit="1" customWidth="1"/>
    <col min="11" max="11" width="13.1796875" style="116" bestFit="1" customWidth="1"/>
    <col min="12" max="12" width="16.81640625" style="116" hidden="1" customWidth="1"/>
    <col min="13" max="13" width="34.54296875" style="116" hidden="1" customWidth="1"/>
    <col min="14" max="14" width="20.81640625" style="116" hidden="1" customWidth="1"/>
    <col min="15" max="15" width="12.1796875" style="116" hidden="1" customWidth="1"/>
    <col min="16" max="16" width="9.81640625" style="116" hidden="1" customWidth="1"/>
    <col min="17" max="17" width="12" style="116" customWidth="1"/>
    <col min="18" max="18" width="11.453125" style="116" bestFit="1" customWidth="1"/>
    <col min="19" max="19" width="14.54296875" style="116" bestFit="1" customWidth="1"/>
    <col min="20" max="20" width="11.54296875" style="116" bestFit="1" customWidth="1"/>
    <col min="21" max="21" width="13.453125" style="116" bestFit="1" customWidth="1"/>
    <col min="22" max="22" width="13.1796875" style="116" bestFit="1" customWidth="1"/>
    <col min="23" max="23" width="12.453125" style="116" bestFit="1" customWidth="1"/>
    <col min="24" max="24" width="11.81640625" style="116" bestFit="1" customWidth="1"/>
    <col min="25" max="16384" width="8.81640625" style="116"/>
  </cols>
  <sheetData>
    <row r="1" spans="1:25" ht="13.5" thickBot="1">
      <c r="Y1" s="116" t="s">
        <v>244</v>
      </c>
    </row>
    <row r="2" spans="1:25" ht="13.5" thickBot="1">
      <c r="A2" s="692" t="s">
        <v>542</v>
      </c>
      <c r="B2" s="693" t="s">
        <v>22</v>
      </c>
      <c r="C2" s="694" t="s">
        <v>344</v>
      </c>
      <c r="D2" s="693" t="s">
        <v>497</v>
      </c>
      <c r="E2" s="692" t="s">
        <v>23</v>
      </c>
      <c r="F2" s="695" t="s">
        <v>24</v>
      </c>
      <c r="G2" s="692" t="s">
        <v>111</v>
      </c>
      <c r="H2" s="1120"/>
      <c r="I2" s="693" t="s">
        <v>345</v>
      </c>
      <c r="J2" s="693" t="s">
        <v>26</v>
      </c>
      <c r="K2" s="693" t="s">
        <v>814</v>
      </c>
      <c r="L2" s="693" t="s">
        <v>1055</v>
      </c>
      <c r="M2" s="693" t="s">
        <v>348</v>
      </c>
      <c r="N2" s="696" t="s">
        <v>528</v>
      </c>
      <c r="O2" s="697" t="s">
        <v>162</v>
      </c>
      <c r="P2" s="932" t="s">
        <v>407</v>
      </c>
      <c r="Q2" s="933" t="s">
        <v>1206</v>
      </c>
      <c r="R2" s="221" t="s">
        <v>405</v>
      </c>
      <c r="S2" s="221" t="s">
        <v>406</v>
      </c>
      <c r="T2" s="655" t="s">
        <v>1145</v>
      </c>
      <c r="U2" s="221" t="s">
        <v>705</v>
      </c>
      <c r="V2" s="221" t="s">
        <v>706</v>
      </c>
      <c r="W2" s="221" t="s">
        <v>704</v>
      </c>
      <c r="X2" s="221" t="s">
        <v>707</v>
      </c>
    </row>
    <row r="3" spans="1:25">
      <c r="A3" s="698">
        <v>29</v>
      </c>
      <c r="B3" s="699" t="s">
        <v>543</v>
      </c>
      <c r="C3" s="700" t="s">
        <v>544</v>
      </c>
      <c r="D3" s="701" t="s">
        <v>545</v>
      </c>
      <c r="E3" s="702" t="s">
        <v>391</v>
      </c>
      <c r="F3" s="703">
        <v>19</v>
      </c>
      <c r="G3" s="702">
        <v>56</v>
      </c>
      <c r="H3" s="702"/>
      <c r="I3" s="704">
        <v>1199</v>
      </c>
      <c r="J3" s="701" t="s">
        <v>440</v>
      </c>
      <c r="K3" s="701" t="s">
        <v>418</v>
      </c>
      <c r="L3" s="701" t="s">
        <v>1057</v>
      </c>
      <c r="M3" s="701" t="s">
        <v>546</v>
      </c>
      <c r="N3" s="705" t="s">
        <v>547</v>
      </c>
      <c r="O3" s="135">
        <v>240</v>
      </c>
      <c r="P3" s="116">
        <f>(I3/60*O3)*1.2</f>
        <v>5755.2</v>
      </c>
      <c r="Q3" s="935">
        <v>90510</v>
      </c>
      <c r="R3" s="222">
        <v>70333</v>
      </c>
      <c r="S3" s="222">
        <v>1199.4000000000001</v>
      </c>
      <c r="T3" s="689">
        <v>46141</v>
      </c>
      <c r="U3" s="690">
        <v>20</v>
      </c>
      <c r="V3" s="691">
        <v>19</v>
      </c>
      <c r="W3" s="690">
        <v>55</v>
      </c>
      <c r="X3" s="691">
        <v>1195</v>
      </c>
      <c r="Y3" s="472">
        <f>X3-I3</f>
        <v>-4</v>
      </c>
    </row>
    <row r="4" spans="1:25">
      <c r="A4" s="698">
        <v>30</v>
      </c>
      <c r="B4" s="699" t="s">
        <v>548</v>
      </c>
      <c r="C4" s="700" t="s">
        <v>544</v>
      </c>
      <c r="D4" s="701" t="s">
        <v>545</v>
      </c>
      <c r="E4" s="702" t="s">
        <v>391</v>
      </c>
      <c r="F4" s="703">
        <v>66</v>
      </c>
      <c r="G4" s="702">
        <v>58</v>
      </c>
      <c r="H4" s="702"/>
      <c r="I4" s="704">
        <v>4023</v>
      </c>
      <c r="J4" s="701" t="s">
        <v>440</v>
      </c>
      <c r="K4" s="701" t="s">
        <v>418</v>
      </c>
      <c r="L4" s="701" t="s">
        <v>1057</v>
      </c>
      <c r="M4" s="701" t="s">
        <v>549</v>
      </c>
      <c r="N4" s="705" t="s">
        <v>547</v>
      </c>
      <c r="O4" s="135">
        <v>240</v>
      </c>
      <c r="P4" s="116">
        <f t="shared" ref="P4:P13" si="0">(I4/60*O4)*1.2</f>
        <v>19310.399999999998</v>
      </c>
      <c r="Q4" s="935">
        <v>90510</v>
      </c>
      <c r="R4" s="222">
        <v>70334</v>
      </c>
      <c r="S4" s="222">
        <v>4024.7</v>
      </c>
      <c r="T4" s="689">
        <v>46142</v>
      </c>
      <c r="U4" s="690">
        <v>67</v>
      </c>
      <c r="V4" s="691">
        <v>65</v>
      </c>
      <c r="W4" s="690">
        <v>54.7</v>
      </c>
      <c r="X4" s="691">
        <v>3954.7</v>
      </c>
      <c r="Y4" s="472">
        <f t="shared" ref="Y4:Y13" si="1">X4-I4</f>
        <v>-68.300000000000182</v>
      </c>
    </row>
    <row r="5" spans="1:25">
      <c r="A5" s="698">
        <v>31</v>
      </c>
      <c r="B5" s="699" t="s">
        <v>550</v>
      </c>
      <c r="C5" s="700" t="s">
        <v>551</v>
      </c>
      <c r="D5" s="701" t="s">
        <v>545</v>
      </c>
      <c r="E5" s="702" t="s">
        <v>391</v>
      </c>
      <c r="F5" s="703">
        <v>19</v>
      </c>
      <c r="G5" s="702">
        <v>29</v>
      </c>
      <c r="H5" s="702"/>
      <c r="I5" s="704">
        <v>1175</v>
      </c>
      <c r="J5" s="701" t="s">
        <v>440</v>
      </c>
      <c r="K5" s="701" t="s">
        <v>418</v>
      </c>
      <c r="L5" s="701" t="s">
        <v>1057</v>
      </c>
      <c r="M5" s="701" t="s">
        <v>552</v>
      </c>
      <c r="N5" s="705" t="s">
        <v>547</v>
      </c>
      <c r="O5" s="135">
        <v>240</v>
      </c>
      <c r="P5" s="116">
        <f t="shared" si="0"/>
        <v>5640</v>
      </c>
      <c r="Q5" s="935">
        <v>90510</v>
      </c>
      <c r="R5" s="222">
        <v>70335</v>
      </c>
      <c r="S5" s="222">
        <v>1175.5</v>
      </c>
      <c r="T5" s="689">
        <v>46141</v>
      </c>
      <c r="U5" s="690">
        <v>20</v>
      </c>
      <c r="V5" s="691">
        <v>19</v>
      </c>
      <c r="W5" s="690">
        <v>34</v>
      </c>
      <c r="X5" s="691">
        <v>1174</v>
      </c>
      <c r="Y5" s="472">
        <f t="shared" si="1"/>
        <v>-1</v>
      </c>
    </row>
    <row r="6" spans="1:25">
      <c r="A6" s="698">
        <v>32</v>
      </c>
      <c r="B6" s="699" t="s">
        <v>553</v>
      </c>
      <c r="C6" s="700" t="s">
        <v>554</v>
      </c>
      <c r="D6" s="701" t="s">
        <v>545</v>
      </c>
      <c r="E6" s="702" t="s">
        <v>391</v>
      </c>
      <c r="F6" s="703">
        <v>42</v>
      </c>
      <c r="G6" s="702">
        <v>55</v>
      </c>
      <c r="H6" s="702"/>
      <c r="I6" s="704">
        <v>2582</v>
      </c>
      <c r="J6" s="701" t="s">
        <v>440</v>
      </c>
      <c r="K6" s="701" t="s">
        <v>418</v>
      </c>
      <c r="L6" s="701" t="s">
        <v>1057</v>
      </c>
      <c r="M6" s="701" t="s">
        <v>463</v>
      </c>
      <c r="N6" s="705" t="s">
        <v>547</v>
      </c>
      <c r="O6" s="135">
        <v>240</v>
      </c>
      <c r="P6" s="116">
        <f t="shared" si="0"/>
        <v>12393.6</v>
      </c>
      <c r="Q6" s="935">
        <v>90510</v>
      </c>
      <c r="R6" s="222">
        <v>70336</v>
      </c>
      <c r="S6" s="222">
        <v>2582.6</v>
      </c>
      <c r="T6" s="689">
        <v>46141</v>
      </c>
      <c r="U6" s="690">
        <v>43</v>
      </c>
      <c r="V6" s="691">
        <v>43</v>
      </c>
      <c r="W6" s="690">
        <v>5.3</v>
      </c>
      <c r="X6" s="691">
        <v>2585.3000000000002</v>
      </c>
      <c r="Y6" s="472">
        <f t="shared" si="1"/>
        <v>3.3000000000001819</v>
      </c>
    </row>
    <row r="7" spans="1:25">
      <c r="A7" s="698">
        <v>33</v>
      </c>
      <c r="B7" s="699" t="s">
        <v>555</v>
      </c>
      <c r="C7" s="700" t="s">
        <v>556</v>
      </c>
      <c r="D7" s="701" t="s">
        <v>545</v>
      </c>
      <c r="E7" s="702" t="s">
        <v>391</v>
      </c>
      <c r="F7" s="703">
        <v>56</v>
      </c>
      <c r="G7" s="702">
        <v>32</v>
      </c>
      <c r="H7" s="702"/>
      <c r="I7" s="704">
        <v>3395</v>
      </c>
      <c r="J7" s="701" t="s">
        <v>440</v>
      </c>
      <c r="K7" s="701" t="s">
        <v>418</v>
      </c>
      <c r="L7" s="701" t="s">
        <v>1057</v>
      </c>
      <c r="M7" s="701" t="s">
        <v>546</v>
      </c>
      <c r="N7" s="705" t="s">
        <v>547</v>
      </c>
      <c r="O7" s="135">
        <v>240</v>
      </c>
      <c r="P7" s="116">
        <f t="shared" si="0"/>
        <v>16296</v>
      </c>
      <c r="Q7" s="935">
        <v>90510</v>
      </c>
      <c r="R7" s="222">
        <v>70337</v>
      </c>
      <c r="S7" s="222">
        <v>3395.2</v>
      </c>
      <c r="T7" s="689">
        <v>46142</v>
      </c>
      <c r="U7" s="690">
        <v>57</v>
      </c>
      <c r="V7" s="691">
        <v>56</v>
      </c>
      <c r="W7" s="690">
        <v>24.7</v>
      </c>
      <c r="X7" s="691">
        <v>3384.7</v>
      </c>
      <c r="Y7" s="472">
        <f t="shared" si="1"/>
        <v>-10.300000000000182</v>
      </c>
    </row>
    <row r="8" spans="1:25">
      <c r="A8" s="698">
        <v>34</v>
      </c>
      <c r="B8" s="699" t="s">
        <v>557</v>
      </c>
      <c r="C8" s="700" t="s">
        <v>558</v>
      </c>
      <c r="D8" s="701" t="s">
        <v>545</v>
      </c>
      <c r="E8" s="702" t="s">
        <v>391</v>
      </c>
      <c r="F8" s="703">
        <v>34</v>
      </c>
      <c r="G8" s="702">
        <v>46</v>
      </c>
      <c r="H8" s="702"/>
      <c r="I8" s="704">
        <v>2092</v>
      </c>
      <c r="J8" s="701" t="s">
        <v>440</v>
      </c>
      <c r="K8" s="701" t="s">
        <v>418</v>
      </c>
      <c r="L8" s="701" t="s">
        <v>1057</v>
      </c>
      <c r="M8" s="701" t="s">
        <v>533</v>
      </c>
      <c r="N8" s="705" t="s">
        <v>547</v>
      </c>
      <c r="O8" s="135">
        <v>240</v>
      </c>
      <c r="P8" s="116">
        <f t="shared" si="0"/>
        <v>10041.6</v>
      </c>
      <c r="Q8" s="935">
        <v>90510</v>
      </c>
      <c r="R8" s="222">
        <v>70338</v>
      </c>
      <c r="S8" s="222">
        <v>2092.4</v>
      </c>
      <c r="T8" s="689">
        <v>46142</v>
      </c>
      <c r="U8" s="690">
        <v>35</v>
      </c>
      <c r="V8" s="691">
        <v>34</v>
      </c>
      <c r="W8" s="690">
        <v>56.5</v>
      </c>
      <c r="X8" s="691">
        <v>2096.5</v>
      </c>
      <c r="Y8" s="472">
        <f t="shared" si="1"/>
        <v>4.5</v>
      </c>
    </row>
    <row r="9" spans="1:25">
      <c r="A9" s="698">
        <v>35</v>
      </c>
      <c r="B9" s="706" t="s">
        <v>559</v>
      </c>
      <c r="C9" s="707" t="s">
        <v>560</v>
      </c>
      <c r="D9" s="552" t="s">
        <v>545</v>
      </c>
      <c r="E9" s="708" t="s">
        <v>391</v>
      </c>
      <c r="F9" s="709">
        <v>21</v>
      </c>
      <c r="G9" s="708">
        <v>47</v>
      </c>
      <c r="H9" s="708"/>
      <c r="I9" s="710">
        <v>1309</v>
      </c>
      <c r="J9" s="552" t="s">
        <v>675</v>
      </c>
      <c r="K9" s="701" t="s">
        <v>418</v>
      </c>
      <c r="L9" s="552" t="s">
        <v>1058</v>
      </c>
      <c r="M9" s="552" t="s">
        <v>421</v>
      </c>
      <c r="N9" s="711" t="s">
        <v>547</v>
      </c>
      <c r="O9" s="135">
        <v>140</v>
      </c>
      <c r="P9" s="116">
        <f t="shared" si="0"/>
        <v>3665.2000000000003</v>
      </c>
      <c r="Q9" s="935">
        <v>90510</v>
      </c>
      <c r="R9" s="222">
        <v>70339</v>
      </c>
      <c r="S9" s="222">
        <v>1309.5999999999999</v>
      </c>
      <c r="T9" s="689">
        <v>46141</v>
      </c>
      <c r="U9" s="690">
        <v>22</v>
      </c>
      <c r="V9" s="691">
        <v>21</v>
      </c>
      <c r="W9" s="690">
        <v>34.200000000000003</v>
      </c>
      <c r="X9" s="691">
        <v>1294.2</v>
      </c>
      <c r="Y9" s="472">
        <f t="shared" si="1"/>
        <v>-14.799999999999955</v>
      </c>
    </row>
    <row r="10" spans="1:25">
      <c r="A10" s="698">
        <v>36</v>
      </c>
      <c r="B10" s="699" t="s">
        <v>561</v>
      </c>
      <c r="C10" s="700" t="s">
        <v>562</v>
      </c>
      <c r="D10" s="701" t="s">
        <v>545</v>
      </c>
      <c r="E10" s="702" t="s">
        <v>391</v>
      </c>
      <c r="F10" s="703">
        <v>81</v>
      </c>
      <c r="G10" s="702">
        <v>17</v>
      </c>
      <c r="H10" s="702"/>
      <c r="I10" s="704">
        <v>4880</v>
      </c>
      <c r="J10" s="701" t="s">
        <v>440</v>
      </c>
      <c r="K10" s="701" t="s">
        <v>418</v>
      </c>
      <c r="L10" s="701" t="s">
        <v>1057</v>
      </c>
      <c r="M10" s="701" t="s">
        <v>563</v>
      </c>
      <c r="N10" s="705" t="s">
        <v>547</v>
      </c>
      <c r="O10" s="135">
        <v>240</v>
      </c>
      <c r="P10" s="116">
        <f t="shared" si="0"/>
        <v>23424</v>
      </c>
      <c r="Q10" s="935">
        <v>90510</v>
      </c>
      <c r="R10" s="222">
        <v>70340</v>
      </c>
      <c r="S10" s="222">
        <v>4880.3999999999996</v>
      </c>
      <c r="T10" s="689">
        <v>46141</v>
      </c>
      <c r="U10" s="690">
        <v>82</v>
      </c>
      <c r="V10" s="691">
        <v>81</v>
      </c>
      <c r="W10" s="690">
        <v>22.2</v>
      </c>
      <c r="X10" s="691">
        <v>4882.2</v>
      </c>
      <c r="Y10" s="472">
        <f t="shared" si="1"/>
        <v>2.1999999999998181</v>
      </c>
    </row>
    <row r="11" spans="1:25">
      <c r="A11" s="698">
        <v>37</v>
      </c>
      <c r="B11" s="699" t="s">
        <v>564</v>
      </c>
      <c r="C11" s="700" t="s">
        <v>565</v>
      </c>
      <c r="D11" s="701" t="s">
        <v>545</v>
      </c>
      <c r="E11" s="702" t="s">
        <v>391</v>
      </c>
      <c r="F11" s="703">
        <v>12</v>
      </c>
      <c r="G11" s="702">
        <v>59</v>
      </c>
      <c r="H11" s="702"/>
      <c r="I11" s="701">
        <v>781</v>
      </c>
      <c r="J11" s="701" t="s">
        <v>440</v>
      </c>
      <c r="K11" s="701" t="s">
        <v>418</v>
      </c>
      <c r="L11" s="701" t="s">
        <v>1057</v>
      </c>
      <c r="M11" s="701" t="s">
        <v>566</v>
      </c>
      <c r="N11" s="705" t="s">
        <v>547</v>
      </c>
      <c r="O11" s="135">
        <v>240</v>
      </c>
      <c r="P11" s="116">
        <f t="shared" si="0"/>
        <v>3748.7999999999997</v>
      </c>
      <c r="Q11" s="935">
        <v>90510</v>
      </c>
      <c r="R11" s="222">
        <v>70341</v>
      </c>
      <c r="S11" s="222">
        <v>781.2</v>
      </c>
      <c r="T11" s="689">
        <v>46142</v>
      </c>
      <c r="U11" s="690">
        <v>13</v>
      </c>
      <c r="V11" s="691">
        <v>13</v>
      </c>
      <c r="W11" s="690">
        <v>11.3</v>
      </c>
      <c r="X11" s="691">
        <v>791.3</v>
      </c>
      <c r="Y11" s="472">
        <f t="shared" si="1"/>
        <v>10.299999999999955</v>
      </c>
    </row>
    <row r="12" spans="1:25">
      <c r="A12" s="698">
        <v>38</v>
      </c>
      <c r="B12" s="699" t="s">
        <v>567</v>
      </c>
      <c r="C12" s="700" t="s">
        <v>560</v>
      </c>
      <c r="D12" s="701" t="s">
        <v>545</v>
      </c>
      <c r="E12" s="702" t="s">
        <v>391</v>
      </c>
      <c r="F12" s="703">
        <v>51</v>
      </c>
      <c r="G12" s="702">
        <v>29</v>
      </c>
      <c r="H12" s="702"/>
      <c r="I12" s="704">
        <v>3094</v>
      </c>
      <c r="J12" s="701" t="s">
        <v>440</v>
      </c>
      <c r="K12" s="701" t="s">
        <v>418</v>
      </c>
      <c r="L12" s="701" t="s">
        <v>1057</v>
      </c>
      <c r="M12" s="701" t="s">
        <v>533</v>
      </c>
      <c r="N12" s="705" t="s">
        <v>547</v>
      </c>
      <c r="O12" s="135">
        <v>240</v>
      </c>
      <c r="P12" s="116">
        <f t="shared" si="0"/>
        <v>14851.199999999999</v>
      </c>
      <c r="Q12" s="935">
        <v>90510</v>
      </c>
      <c r="R12" s="222">
        <v>70342</v>
      </c>
      <c r="S12" s="222">
        <v>3094.5</v>
      </c>
      <c r="T12" s="689">
        <v>46142</v>
      </c>
      <c r="U12" s="690">
        <v>52</v>
      </c>
      <c r="V12" s="691">
        <v>51</v>
      </c>
      <c r="W12" s="690">
        <v>54.2</v>
      </c>
      <c r="X12" s="691">
        <v>3114.2</v>
      </c>
      <c r="Y12" s="472">
        <f t="shared" si="1"/>
        <v>20.199999999999818</v>
      </c>
    </row>
    <row r="13" spans="1:25">
      <c r="A13" s="698">
        <v>39</v>
      </c>
      <c r="B13" s="699" t="s">
        <v>568</v>
      </c>
      <c r="C13" s="700" t="s">
        <v>569</v>
      </c>
      <c r="D13" s="701" t="s">
        <v>545</v>
      </c>
      <c r="E13" s="702" t="s">
        <v>391</v>
      </c>
      <c r="F13" s="703">
        <v>37</v>
      </c>
      <c r="G13" s="702">
        <v>59</v>
      </c>
      <c r="H13" s="702"/>
      <c r="I13" s="704">
        <v>2280</v>
      </c>
      <c r="J13" s="701" t="s">
        <v>440</v>
      </c>
      <c r="K13" s="701" t="s">
        <v>418</v>
      </c>
      <c r="L13" s="701" t="s">
        <v>1057</v>
      </c>
      <c r="M13" s="701" t="s">
        <v>533</v>
      </c>
      <c r="N13" s="705" t="s">
        <v>547</v>
      </c>
      <c r="O13" s="135">
        <v>240</v>
      </c>
      <c r="P13" s="116">
        <f t="shared" si="0"/>
        <v>10944</v>
      </c>
      <c r="Q13" s="935">
        <v>90510</v>
      </c>
      <c r="R13" s="222">
        <v>70343</v>
      </c>
      <c r="S13" s="222">
        <v>2280.6</v>
      </c>
      <c r="T13" s="689">
        <v>46141</v>
      </c>
      <c r="U13" s="690">
        <f>SUM(U3:U12)</f>
        <v>411</v>
      </c>
      <c r="V13" s="691">
        <v>38</v>
      </c>
      <c r="W13" s="690">
        <v>11.8</v>
      </c>
      <c r="X13" s="691">
        <v>2291.8000000000002</v>
      </c>
      <c r="Y13" s="472">
        <f t="shared" si="1"/>
        <v>11.800000000000182</v>
      </c>
    </row>
    <row r="14" spans="1:25">
      <c r="F14" s="164">
        <f>I14/60</f>
        <v>446.83333333333331</v>
      </c>
      <c r="I14" s="472">
        <f>SUM(I3:I13)</f>
        <v>26810</v>
      </c>
      <c r="P14" s="164">
        <f>SUM(P3:P13)</f>
        <v>126070</v>
      </c>
      <c r="Q14" s="164"/>
      <c r="X14" s="906">
        <f>SUM(X3:X13)</f>
        <v>26763.9</v>
      </c>
      <c r="Y14" s="472">
        <f>SUM(Y3:Y13)</f>
        <v>-46.100000000000364</v>
      </c>
    </row>
    <row r="15" spans="1:25">
      <c r="P15" s="164">
        <f>P14/I14*50</f>
        <v>235.11749347258487</v>
      </c>
      <c r="Q15" s="164"/>
      <c r="X15" s="116">
        <f>X14/60</f>
        <v>446.065</v>
      </c>
    </row>
    <row r="16" spans="1:25">
      <c r="U16" s="116">
        <f>SUM(U14:U15)</f>
        <v>0</v>
      </c>
    </row>
    <row r="23" spans="8:8">
      <c r="H23" s="116" t="s">
        <v>1375</v>
      </c>
    </row>
    <row r="24" spans="8:8">
      <c r="H24" s="701">
        <v>350</v>
      </c>
    </row>
    <row r="25" spans="8:8">
      <c r="H25" s="701" t="s">
        <v>533</v>
      </c>
    </row>
    <row r="29" spans="8:8">
      <c r="H29" s="116" t="s">
        <v>463</v>
      </c>
    </row>
    <row r="52" spans="7:22">
      <c r="I52" s="164">
        <f>SUM(I42:I51)</f>
        <v>0</v>
      </c>
      <c r="V52" s="116">
        <f>SUM(V42:V51)</f>
        <v>0</v>
      </c>
    </row>
    <row r="53" spans="7:22">
      <c r="I53" s="164">
        <f>I52/60</f>
        <v>0</v>
      </c>
    </row>
    <row r="56" spans="7:22">
      <c r="I56" s="164">
        <f>SUM(I54:I55)</f>
        <v>0</v>
      </c>
      <c r="V56" s="116">
        <f>SUM(V54:V55)</f>
        <v>0</v>
      </c>
    </row>
    <row r="57" spans="7:22">
      <c r="I57" s="1052">
        <f>I56/60</f>
        <v>0</v>
      </c>
    </row>
    <row r="61" spans="7:22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7:22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7:22">
      <c r="G63" s="135" t="s">
        <v>856</v>
      </c>
      <c r="H63" s="135"/>
      <c r="I63" s="135">
        <v>88</v>
      </c>
      <c r="J63" s="135">
        <v>88</v>
      </c>
      <c r="K63" s="135">
        <v>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14A4-BAED-4CE0-B50C-E56684164C3E}">
  <sheetPr>
    <tabColor theme="7" tint="0.79998168889431442"/>
  </sheetPr>
  <dimension ref="A1:V63"/>
  <sheetViews>
    <sheetView topLeftCell="D1" workbookViewId="0">
      <selection activeCell="H30" sqref="H30"/>
    </sheetView>
  </sheetViews>
  <sheetFormatPr defaultColWidth="8.81640625" defaultRowHeight="13"/>
  <cols>
    <col min="1" max="1" width="16.1796875" style="116" customWidth="1"/>
    <col min="2" max="2" width="18.1796875" style="116" customWidth="1"/>
    <col min="3" max="8" width="8.81640625" style="116"/>
    <col min="9" max="9" width="17.90625" style="116" bestFit="1" customWidth="1"/>
    <col min="10" max="10" width="12.6328125" style="116" bestFit="1" customWidth="1"/>
    <col min="11" max="11" width="13.1796875" style="116" bestFit="1" customWidth="1"/>
    <col min="12" max="12" width="17.1796875" style="116" customWidth="1"/>
    <col min="13" max="13" width="8.81640625" style="116"/>
    <col min="14" max="14" width="11.81640625" style="116" customWidth="1"/>
    <col min="15" max="15" width="13.1796875" style="116" bestFit="1" customWidth="1"/>
    <col min="16" max="16" width="14.54296875" style="116" bestFit="1" customWidth="1"/>
    <col min="17" max="17" width="10.81640625" style="116" bestFit="1" customWidth="1"/>
    <col min="18" max="18" width="13.453125" style="116" bestFit="1" customWidth="1"/>
    <col min="19" max="19" width="13.1796875" style="116" bestFit="1" customWidth="1"/>
    <col min="20" max="20" width="12.453125" style="116" bestFit="1" customWidth="1"/>
    <col min="21" max="21" width="11.81640625" style="116" bestFit="1" customWidth="1"/>
    <col min="22" max="16384" width="8.81640625" style="116"/>
  </cols>
  <sheetData>
    <row r="1" spans="1:22" ht="13.5" thickBot="1"/>
    <row r="2" spans="1:22" ht="13.5" thickBot="1">
      <c r="A2" s="712" t="s">
        <v>22</v>
      </c>
      <c r="B2" s="713" t="s">
        <v>344</v>
      </c>
      <c r="C2" s="714" t="s">
        <v>497</v>
      </c>
      <c r="D2" s="714" t="s">
        <v>23</v>
      </c>
      <c r="E2" s="715" t="s">
        <v>24</v>
      </c>
      <c r="F2" s="716" t="s">
        <v>111</v>
      </c>
      <c r="G2" s="717" t="s">
        <v>345</v>
      </c>
      <c r="H2" s="717"/>
      <c r="I2" s="717" t="s">
        <v>26</v>
      </c>
      <c r="J2" s="717" t="s">
        <v>814</v>
      </c>
      <c r="K2" s="717" t="s">
        <v>679</v>
      </c>
      <c r="L2" s="717" t="s">
        <v>348</v>
      </c>
      <c r="M2" s="424" t="s">
        <v>250</v>
      </c>
      <c r="N2" s="424" t="s">
        <v>1206</v>
      </c>
      <c r="O2" s="221" t="s">
        <v>405</v>
      </c>
      <c r="P2" s="221" t="s">
        <v>406</v>
      </c>
      <c r="Q2" s="655" t="s">
        <v>1145</v>
      </c>
      <c r="R2" s="221" t="s">
        <v>705</v>
      </c>
      <c r="S2" s="221" t="s">
        <v>706</v>
      </c>
      <c r="T2" s="221" t="s">
        <v>704</v>
      </c>
      <c r="U2" s="221" t="s">
        <v>707</v>
      </c>
      <c r="V2" s="116" t="s">
        <v>244</v>
      </c>
    </row>
    <row r="3" spans="1:22" ht="26">
      <c r="A3" s="205" t="s">
        <v>570</v>
      </c>
      <c r="B3" s="204" t="s">
        <v>571</v>
      </c>
      <c r="C3" s="718" t="s">
        <v>536</v>
      </c>
      <c r="D3" s="719" t="s">
        <v>391</v>
      </c>
      <c r="E3" s="207">
        <v>32</v>
      </c>
      <c r="F3" s="720">
        <v>43</v>
      </c>
      <c r="G3" s="209">
        <v>1963</v>
      </c>
      <c r="H3" s="209"/>
      <c r="I3" s="209" t="s">
        <v>440</v>
      </c>
      <c r="J3" s="721" t="s">
        <v>418</v>
      </c>
      <c r="K3" s="721" t="s">
        <v>1057</v>
      </c>
      <c r="L3" s="721" t="s">
        <v>572</v>
      </c>
      <c r="M3" s="209">
        <v>240</v>
      </c>
      <c r="N3" s="936" t="s">
        <v>1207</v>
      </c>
      <c r="O3" s="722">
        <v>70321</v>
      </c>
      <c r="P3" s="723">
        <v>1963</v>
      </c>
      <c r="Q3" s="689">
        <v>46142</v>
      </c>
      <c r="R3" s="690">
        <v>33</v>
      </c>
      <c r="S3" s="691">
        <v>32</v>
      </c>
      <c r="T3" s="690">
        <v>58.3</v>
      </c>
      <c r="U3" s="691">
        <v>1978.3</v>
      </c>
      <c r="V3" s="232">
        <f>U3-G3</f>
        <v>15.299999999999955</v>
      </c>
    </row>
    <row r="4" spans="1:22" ht="26">
      <c r="A4" s="205" t="s">
        <v>573</v>
      </c>
      <c r="B4" s="204" t="s">
        <v>571</v>
      </c>
      <c r="C4" s="718" t="s">
        <v>536</v>
      </c>
      <c r="D4" s="719" t="s">
        <v>391</v>
      </c>
      <c r="E4" s="724">
        <v>94</v>
      </c>
      <c r="F4" s="725">
        <v>44</v>
      </c>
      <c r="G4" s="449">
        <v>5686</v>
      </c>
      <c r="H4" s="449"/>
      <c r="I4" s="449" t="s">
        <v>440</v>
      </c>
      <c r="J4" s="726" t="s">
        <v>418</v>
      </c>
      <c r="K4" s="726" t="s">
        <v>1057</v>
      </c>
      <c r="L4" s="726" t="s">
        <v>574</v>
      </c>
      <c r="M4" s="449">
        <v>240</v>
      </c>
      <c r="N4" s="936" t="s">
        <v>1207</v>
      </c>
      <c r="O4" s="722">
        <v>70322</v>
      </c>
      <c r="P4" s="723">
        <v>5686.8</v>
      </c>
      <c r="Q4" s="689">
        <v>46141</v>
      </c>
      <c r="R4" s="690">
        <v>95</v>
      </c>
      <c r="S4" s="691">
        <v>94</v>
      </c>
      <c r="T4" s="690">
        <v>52.5</v>
      </c>
      <c r="U4" s="691">
        <v>5692.5</v>
      </c>
      <c r="V4" s="232">
        <f>U4-G4</f>
        <v>6.5</v>
      </c>
    </row>
    <row r="5" spans="1:22">
      <c r="E5" s="232">
        <f>G5/60</f>
        <v>127.48333333333333</v>
      </c>
      <c r="G5" s="124">
        <f>SUM(G3:G4)</f>
        <v>7649</v>
      </c>
      <c r="H5" s="124"/>
      <c r="U5" s="906">
        <f>SUM(U3:U4)</f>
        <v>7670.8</v>
      </c>
    </row>
    <row r="7" spans="1:22">
      <c r="U7" s="116">
        <f>U5/60</f>
        <v>127.84666666666666</v>
      </c>
    </row>
    <row r="13" spans="1:22">
      <c r="U13" s="906">
        <f>SUM(U3:U12)</f>
        <v>15469.446666666667</v>
      </c>
    </row>
    <row r="16" spans="1:22">
      <c r="U16" s="116">
        <f>SUM(U14:U15)</f>
        <v>0</v>
      </c>
    </row>
    <row r="23" spans="8:8">
      <c r="H23" s="116" t="s">
        <v>1375</v>
      </c>
    </row>
    <row r="24" spans="8:8">
      <c r="H24" s="116">
        <v>350</v>
      </c>
    </row>
    <row r="52" spans="7:22">
      <c r="I52" s="164">
        <f>SUM(I42:I51)</f>
        <v>0</v>
      </c>
      <c r="V52" s="116">
        <f>SUM(V42:V51)</f>
        <v>0</v>
      </c>
    </row>
    <row r="53" spans="7:22">
      <c r="I53" s="164">
        <f>I52/60</f>
        <v>0</v>
      </c>
    </row>
    <row r="56" spans="7:22">
      <c r="I56" s="164">
        <f>SUM(I54:I55)</f>
        <v>0</v>
      </c>
      <c r="V56" s="116">
        <f>SUM(V54:V55)</f>
        <v>0</v>
      </c>
    </row>
    <row r="57" spans="7:22">
      <c r="I57" s="1052">
        <f>I56/60</f>
        <v>0</v>
      </c>
    </row>
    <row r="61" spans="7:22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7:22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7:22">
      <c r="G63" s="135" t="s">
        <v>856</v>
      </c>
      <c r="H63" s="135"/>
      <c r="I63" s="135">
        <v>88</v>
      </c>
      <c r="J63" s="135">
        <v>88</v>
      </c>
      <c r="K63" s="135">
        <v>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E79E-E144-47C7-A689-96D3297EFCE1}">
  <sheetPr>
    <tabColor theme="7" tint="0.79998168889431442"/>
  </sheetPr>
  <dimension ref="A1:V63"/>
  <sheetViews>
    <sheetView workbookViewId="0">
      <selection activeCell="H30" sqref="H30"/>
    </sheetView>
  </sheetViews>
  <sheetFormatPr defaultColWidth="8.81640625" defaultRowHeight="13"/>
  <cols>
    <col min="1" max="1" width="11.54296875" style="116" customWidth="1"/>
    <col min="2" max="2" width="16.1796875" style="116" customWidth="1"/>
    <col min="3" max="8" width="8.81640625" style="116"/>
    <col min="9" max="9" width="17.90625" style="116" bestFit="1" customWidth="1"/>
    <col min="10" max="10" width="12.6328125" style="116" bestFit="1" customWidth="1"/>
    <col min="11" max="11" width="14.1796875" style="116" bestFit="1" customWidth="1"/>
    <col min="12" max="12" width="14.81640625" style="116" customWidth="1"/>
    <col min="13" max="13" width="14.54296875" style="116" customWidth="1"/>
    <col min="14" max="14" width="7.1796875" style="116" customWidth="1"/>
    <col min="15" max="15" width="8.81640625" style="116" customWidth="1"/>
    <col min="16" max="16" width="11.453125" style="116" bestFit="1" customWidth="1"/>
    <col min="17" max="17" width="14.54296875" style="116" bestFit="1" customWidth="1"/>
    <col min="18" max="18" width="13.453125" style="116" bestFit="1" customWidth="1"/>
    <col min="19" max="19" width="13.1796875" style="116" bestFit="1" customWidth="1"/>
    <col min="20" max="20" width="12.453125" style="116" bestFit="1" customWidth="1"/>
    <col min="21" max="21" width="11.81640625" style="116" bestFit="1" customWidth="1"/>
    <col min="22" max="16384" width="8.81640625" style="116"/>
  </cols>
  <sheetData>
    <row r="1" spans="1:22" ht="13.5" thickBot="1"/>
    <row r="2" spans="1:22" ht="13.5" thickBot="1">
      <c r="A2" s="727" t="s">
        <v>22</v>
      </c>
      <c r="B2" s="728" t="s">
        <v>344</v>
      </c>
      <c r="C2" s="729" t="s">
        <v>497</v>
      </c>
      <c r="D2" s="727" t="s">
        <v>23</v>
      </c>
      <c r="E2" s="730" t="s">
        <v>24</v>
      </c>
      <c r="F2" s="731" t="s">
        <v>111</v>
      </c>
      <c r="G2" s="712" t="s">
        <v>345</v>
      </c>
      <c r="H2" s="732"/>
      <c r="I2" s="714" t="s">
        <v>26</v>
      </c>
      <c r="J2" s="732" t="s">
        <v>814</v>
      </c>
      <c r="K2" s="732" t="s">
        <v>1206</v>
      </c>
      <c r="L2" s="732"/>
      <c r="M2" s="712" t="s">
        <v>348</v>
      </c>
      <c r="N2" s="712" t="s">
        <v>674</v>
      </c>
      <c r="O2" s="424" t="s">
        <v>541</v>
      </c>
      <c r="P2" s="221" t="s">
        <v>405</v>
      </c>
      <c r="Q2" s="221" t="s">
        <v>406</v>
      </c>
      <c r="R2" s="221" t="s">
        <v>705</v>
      </c>
      <c r="S2" s="221" t="s">
        <v>706</v>
      </c>
      <c r="T2" s="221" t="s">
        <v>704</v>
      </c>
      <c r="U2" s="221" t="s">
        <v>707</v>
      </c>
      <c r="V2" s="116" t="s">
        <v>1201</v>
      </c>
    </row>
    <row r="3" spans="1:22">
      <c r="A3" s="205" t="s">
        <v>594</v>
      </c>
      <c r="B3" s="204" t="s">
        <v>595</v>
      </c>
      <c r="C3" s="718" t="s">
        <v>501</v>
      </c>
      <c r="D3" s="206" t="s">
        <v>51</v>
      </c>
      <c r="E3" s="733">
        <v>92</v>
      </c>
      <c r="F3" s="208">
        <v>26</v>
      </c>
      <c r="G3" s="209">
        <v>5552</v>
      </c>
      <c r="H3" s="734"/>
      <c r="I3" s="734" t="s">
        <v>440</v>
      </c>
      <c r="J3" s="734" t="s">
        <v>418</v>
      </c>
      <c r="K3" s="937" t="s">
        <v>1207</v>
      </c>
      <c r="L3" s="734" t="s">
        <v>1057</v>
      </c>
      <c r="M3" s="209" t="s">
        <v>463</v>
      </c>
      <c r="N3" s="451"/>
      <c r="O3" s="119">
        <v>240</v>
      </c>
      <c r="P3" s="222">
        <v>70323</v>
      </c>
      <c r="Q3" s="222">
        <v>5552.6</v>
      </c>
      <c r="R3" s="684">
        <v>93</v>
      </c>
      <c r="S3" s="684">
        <v>92</v>
      </c>
      <c r="T3" s="684">
        <v>48.3</v>
      </c>
      <c r="U3" s="684">
        <v>5568.3</v>
      </c>
      <c r="V3" s="116">
        <f>U3-Q3</f>
        <v>15.699999999999818</v>
      </c>
    </row>
    <row r="4" spans="1:22">
      <c r="A4" s="205" t="s">
        <v>596</v>
      </c>
      <c r="B4" s="204" t="s">
        <v>597</v>
      </c>
      <c r="C4" s="718" t="s">
        <v>501</v>
      </c>
      <c r="D4" s="206" t="s">
        <v>51</v>
      </c>
      <c r="E4" s="733">
        <v>24</v>
      </c>
      <c r="F4" s="208">
        <v>48</v>
      </c>
      <c r="G4" s="209">
        <v>1488</v>
      </c>
      <c r="H4" s="734"/>
      <c r="I4" s="734" t="s">
        <v>440</v>
      </c>
      <c r="J4" s="734" t="s">
        <v>418</v>
      </c>
      <c r="K4" s="937" t="s">
        <v>1207</v>
      </c>
      <c r="L4" s="734" t="s">
        <v>1057</v>
      </c>
      <c r="M4" s="209" t="s">
        <v>598</v>
      </c>
      <c r="N4" s="451"/>
      <c r="O4" s="119">
        <v>240</v>
      </c>
      <c r="P4" s="222">
        <v>70324</v>
      </c>
      <c r="Q4" s="222">
        <v>1487.7</v>
      </c>
      <c r="R4" s="684">
        <v>25</v>
      </c>
      <c r="S4" s="684">
        <v>24</v>
      </c>
      <c r="T4" s="684">
        <v>54.5</v>
      </c>
      <c r="U4" s="684">
        <v>1494.5</v>
      </c>
      <c r="V4" s="116">
        <f t="shared" ref="V4:V10" si="0">U4-Q4</f>
        <v>6.7999999999999545</v>
      </c>
    </row>
    <row r="5" spans="1:22">
      <c r="A5" s="205" t="s">
        <v>599</v>
      </c>
      <c r="B5" s="204" t="s">
        <v>600</v>
      </c>
      <c r="C5" s="718" t="s">
        <v>501</v>
      </c>
      <c r="D5" s="206" t="s">
        <v>51</v>
      </c>
      <c r="E5" s="733">
        <v>15</v>
      </c>
      <c r="F5" s="208">
        <v>61</v>
      </c>
      <c r="G5" s="209">
        <v>959</v>
      </c>
      <c r="H5" s="734"/>
      <c r="I5" s="734" t="s">
        <v>440</v>
      </c>
      <c r="J5" s="734" t="s">
        <v>418</v>
      </c>
      <c r="K5" s="937" t="s">
        <v>1207</v>
      </c>
      <c r="L5" s="734" t="s">
        <v>1057</v>
      </c>
      <c r="M5" s="209" t="s">
        <v>601</v>
      </c>
      <c r="N5" s="451"/>
      <c r="O5" s="119">
        <v>240</v>
      </c>
      <c r="P5" s="222">
        <v>70325</v>
      </c>
      <c r="Q5" s="222">
        <v>959.3</v>
      </c>
      <c r="R5" s="684">
        <v>16</v>
      </c>
      <c r="S5" s="684">
        <v>16</v>
      </c>
      <c r="T5" s="684">
        <v>0.6</v>
      </c>
      <c r="U5" s="684">
        <v>960.6</v>
      </c>
      <c r="V5" s="116">
        <f t="shared" si="0"/>
        <v>1.3000000000000682</v>
      </c>
    </row>
    <row r="6" spans="1:22">
      <c r="A6" s="205" t="s">
        <v>602</v>
      </c>
      <c r="B6" s="204" t="s">
        <v>506</v>
      </c>
      <c r="C6" s="718" t="s">
        <v>501</v>
      </c>
      <c r="D6" s="206" t="s">
        <v>51</v>
      </c>
      <c r="E6" s="733">
        <v>105</v>
      </c>
      <c r="F6" s="208">
        <v>48</v>
      </c>
      <c r="G6" s="209">
        <v>6353</v>
      </c>
      <c r="H6" s="734"/>
      <c r="I6" s="734" t="s">
        <v>440</v>
      </c>
      <c r="J6" s="734" t="s">
        <v>418</v>
      </c>
      <c r="K6" s="937" t="s">
        <v>1207</v>
      </c>
      <c r="L6" s="734" t="s">
        <v>1057</v>
      </c>
      <c r="M6" s="209" t="s">
        <v>603</v>
      </c>
      <c r="N6" s="451"/>
      <c r="O6" s="119">
        <v>240</v>
      </c>
      <c r="P6" s="222">
        <v>70326</v>
      </c>
      <c r="Q6" s="222">
        <v>6353.5</v>
      </c>
      <c r="R6" s="690">
        <v>106</v>
      </c>
      <c r="S6" s="691">
        <v>106</v>
      </c>
      <c r="T6" s="690">
        <v>17.600000000000001</v>
      </c>
      <c r="U6" s="691">
        <v>6377.6</v>
      </c>
      <c r="V6" s="116">
        <f t="shared" si="0"/>
        <v>24.100000000000364</v>
      </c>
    </row>
    <row r="7" spans="1:22">
      <c r="A7" s="205" t="s">
        <v>604</v>
      </c>
      <c r="B7" s="204" t="s">
        <v>500</v>
      </c>
      <c r="C7" s="718" t="s">
        <v>501</v>
      </c>
      <c r="D7" s="206" t="s">
        <v>51</v>
      </c>
      <c r="E7" s="733">
        <v>11</v>
      </c>
      <c r="F7" s="208">
        <v>57</v>
      </c>
      <c r="G7" s="209">
        <v>717</v>
      </c>
      <c r="H7" s="734"/>
      <c r="I7" s="734" t="s">
        <v>440</v>
      </c>
      <c r="J7" s="734" t="s">
        <v>418</v>
      </c>
      <c r="K7" s="937" t="s">
        <v>1207</v>
      </c>
      <c r="L7" s="734" t="s">
        <v>1057</v>
      </c>
      <c r="M7" s="209" t="s">
        <v>605</v>
      </c>
      <c r="N7" s="451"/>
      <c r="O7" s="119">
        <v>240</v>
      </c>
      <c r="P7" s="222">
        <v>70327</v>
      </c>
      <c r="Q7" s="222">
        <v>717.9</v>
      </c>
      <c r="R7" s="684">
        <v>12</v>
      </c>
      <c r="S7" s="684">
        <v>12</v>
      </c>
      <c r="T7" s="684">
        <v>4.2</v>
      </c>
      <c r="U7" s="684">
        <v>724.2</v>
      </c>
      <c r="V7" s="116">
        <f t="shared" si="0"/>
        <v>6.3000000000000682</v>
      </c>
    </row>
    <row r="8" spans="1:22">
      <c r="A8" s="205" t="s">
        <v>606</v>
      </c>
      <c r="B8" s="204" t="s">
        <v>513</v>
      </c>
      <c r="C8" s="718" t="s">
        <v>501</v>
      </c>
      <c r="D8" s="206" t="s">
        <v>51</v>
      </c>
      <c r="E8" s="733">
        <v>25</v>
      </c>
      <c r="F8" s="208">
        <v>53</v>
      </c>
      <c r="G8" s="209">
        <v>1529</v>
      </c>
      <c r="H8" s="734"/>
      <c r="I8" s="734" t="s">
        <v>440</v>
      </c>
      <c r="J8" s="734" t="s">
        <v>418</v>
      </c>
      <c r="K8" s="937" t="s">
        <v>1207</v>
      </c>
      <c r="L8" s="734" t="s">
        <v>1057</v>
      </c>
      <c r="M8" s="209" t="s">
        <v>601</v>
      </c>
      <c r="N8" s="451"/>
      <c r="O8" s="119">
        <v>240</v>
      </c>
      <c r="P8" s="222">
        <v>70363</v>
      </c>
      <c r="Q8" s="222">
        <v>1529.6</v>
      </c>
      <c r="R8" s="684">
        <v>26</v>
      </c>
      <c r="S8" s="684">
        <v>25</v>
      </c>
      <c r="T8" s="684">
        <v>34.6</v>
      </c>
      <c r="U8" s="684">
        <v>1534.6</v>
      </c>
      <c r="V8" s="116">
        <f t="shared" si="0"/>
        <v>5</v>
      </c>
    </row>
    <row r="9" spans="1:22">
      <c r="A9" s="205" t="s">
        <v>607</v>
      </c>
      <c r="B9" s="204" t="s">
        <v>509</v>
      </c>
      <c r="C9" s="718" t="s">
        <v>501</v>
      </c>
      <c r="D9" s="206" t="s">
        <v>51</v>
      </c>
      <c r="E9" s="733">
        <v>77</v>
      </c>
      <c r="F9" s="208">
        <v>61</v>
      </c>
      <c r="G9" s="209">
        <v>4681</v>
      </c>
      <c r="H9" s="734"/>
      <c r="I9" s="734" t="s">
        <v>440</v>
      </c>
      <c r="J9" s="734" t="s">
        <v>418</v>
      </c>
      <c r="K9" s="937" t="s">
        <v>1207</v>
      </c>
      <c r="L9" s="734" t="s">
        <v>1057</v>
      </c>
      <c r="M9" s="209" t="s">
        <v>605</v>
      </c>
      <c r="N9" s="451"/>
      <c r="O9" s="119">
        <v>240</v>
      </c>
      <c r="P9" s="222">
        <v>70329</v>
      </c>
      <c r="Q9" s="222">
        <v>4681.2</v>
      </c>
      <c r="R9" s="684">
        <v>78</v>
      </c>
      <c r="S9" s="684">
        <v>78</v>
      </c>
      <c r="T9" s="684">
        <v>23.8</v>
      </c>
      <c r="U9" s="684">
        <v>4703.8</v>
      </c>
      <c r="V9" s="116">
        <f t="shared" si="0"/>
        <v>22.600000000000364</v>
      </c>
    </row>
    <row r="10" spans="1:22">
      <c r="A10" s="205" t="s">
        <v>608</v>
      </c>
      <c r="B10" s="204" t="s">
        <v>609</v>
      </c>
      <c r="C10" s="718" t="s">
        <v>501</v>
      </c>
      <c r="D10" s="206" t="s">
        <v>51</v>
      </c>
      <c r="E10" s="733">
        <v>95</v>
      </c>
      <c r="F10" s="208">
        <v>18</v>
      </c>
      <c r="G10" s="209">
        <v>5721</v>
      </c>
      <c r="H10" s="734"/>
      <c r="I10" s="734" t="s">
        <v>440</v>
      </c>
      <c r="J10" s="734" t="s">
        <v>418</v>
      </c>
      <c r="K10" s="937" t="s">
        <v>1207</v>
      </c>
      <c r="L10" s="734" t="s">
        <v>1057</v>
      </c>
      <c r="M10" s="209" t="s">
        <v>463</v>
      </c>
      <c r="N10" s="451"/>
      <c r="O10" s="119">
        <v>240</v>
      </c>
      <c r="P10" s="222">
        <v>70331</v>
      </c>
      <c r="Q10" s="222">
        <v>5721.3</v>
      </c>
      <c r="R10" s="684">
        <v>96</v>
      </c>
      <c r="S10" s="684">
        <v>96</v>
      </c>
      <c r="T10" s="684">
        <v>15.6</v>
      </c>
      <c r="U10" s="684">
        <v>5775.6</v>
      </c>
      <c r="V10" s="116">
        <f t="shared" si="0"/>
        <v>54.300000000000182</v>
      </c>
    </row>
    <row r="11" spans="1:22">
      <c r="E11" s="124">
        <f>G11/60</f>
        <v>450</v>
      </c>
      <c r="G11" s="124">
        <f>SUM(G3:G10)</f>
        <v>27000</v>
      </c>
      <c r="H11" s="124"/>
      <c r="Q11" s="116">
        <f>SUM(Q3:Q10)</f>
        <v>27003.1</v>
      </c>
      <c r="U11" s="116">
        <f>SUM(U3:U10)</f>
        <v>27139.199999999997</v>
      </c>
      <c r="V11" s="116">
        <f>SUM(V3:V10)</f>
        <v>136.10000000000082</v>
      </c>
    </row>
    <row r="12" spans="1:22">
      <c r="U12" s="116">
        <f>U11/60</f>
        <v>452.31999999999994</v>
      </c>
    </row>
    <row r="13" spans="1:22">
      <c r="U13" s="116">
        <f>SUM(U3:U12)</f>
        <v>54730.719999999994</v>
      </c>
    </row>
    <row r="16" spans="1:22">
      <c r="U16" s="116">
        <f>SUM(U14:U15)</f>
        <v>0</v>
      </c>
    </row>
    <row r="23" spans="8:8">
      <c r="H23" s="116" t="s">
        <v>1375</v>
      </c>
    </row>
    <row r="24" spans="8:8">
      <c r="H24" s="116">
        <v>350</v>
      </c>
    </row>
    <row r="29" spans="8:8">
      <c r="H29" s="124" t="s">
        <v>603</v>
      </c>
    </row>
    <row r="52" spans="7:22">
      <c r="I52" s="164">
        <f>SUM(I42:I51)</f>
        <v>0</v>
      </c>
      <c r="V52" s="116">
        <f>SUM(V42:V51)</f>
        <v>0</v>
      </c>
    </row>
    <row r="53" spans="7:22">
      <c r="I53" s="164">
        <f>I52/60</f>
        <v>0</v>
      </c>
    </row>
    <row r="56" spans="7:22">
      <c r="I56" s="164">
        <f>SUM(I54:I55)</f>
        <v>0</v>
      </c>
      <c r="V56" s="116">
        <f>SUM(V54:V55)</f>
        <v>0</v>
      </c>
    </row>
    <row r="57" spans="7:22">
      <c r="I57" s="1052">
        <f>I56/60</f>
        <v>0</v>
      </c>
    </row>
    <row r="61" spans="7:22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7:22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7:22">
      <c r="G63" s="135" t="s">
        <v>856</v>
      </c>
      <c r="H63" s="135"/>
      <c r="I63" s="135">
        <v>88</v>
      </c>
      <c r="J63" s="135">
        <v>88</v>
      </c>
      <c r="K63" s="135">
        <v>89</v>
      </c>
    </row>
  </sheetData>
  <autoFilter ref="A2:U11" xr:uid="{A1C3E79E-E144-47C7-A689-96D3297EFCE1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991C-1281-4092-88BA-B5D9190B75A2}">
  <sheetPr filterMode="1">
    <tabColor theme="7" tint="0.79998168889431442"/>
  </sheetPr>
  <dimension ref="A1:AC159"/>
  <sheetViews>
    <sheetView topLeftCell="H73" workbookViewId="0">
      <selection activeCell="H30" sqref="A1:AC159"/>
    </sheetView>
  </sheetViews>
  <sheetFormatPr defaultColWidth="8.81640625" defaultRowHeight="13"/>
  <cols>
    <col min="1" max="1" width="11.81640625" style="116" customWidth="1"/>
    <col min="2" max="2" width="12.81640625" style="116" customWidth="1"/>
    <col min="3" max="3" width="16" style="116" customWidth="1"/>
    <col min="4" max="4" width="29.453125" style="116" customWidth="1"/>
    <col min="5" max="5" width="12" style="122" customWidth="1"/>
    <col min="6" max="8" width="8.81640625" style="122" customWidth="1"/>
    <col min="9" max="9" width="17.90625" style="116" bestFit="1" customWidth="1"/>
    <col min="10" max="10" width="12.6328125" style="116" bestFit="1" customWidth="1"/>
    <col min="11" max="11" width="13.1796875" style="116" bestFit="1" customWidth="1"/>
    <col min="12" max="12" width="16.54296875" style="116" customWidth="1"/>
    <col min="13" max="13" width="12.54296875" style="116" customWidth="1"/>
    <col min="14" max="14" width="11.1796875" style="116" customWidth="1"/>
    <col min="15" max="15" width="8.81640625" style="116" customWidth="1"/>
    <col min="16" max="16" width="11.54296875" style="121" customWidth="1"/>
    <col min="17" max="17" width="8.81640625" style="116" customWidth="1"/>
    <col min="18" max="18" width="12.81640625" style="116" customWidth="1"/>
    <col min="19" max="19" width="15.54296875" style="116" bestFit="1" customWidth="1"/>
    <col min="20" max="20" width="14.81640625" style="116" customWidth="1"/>
    <col min="21" max="21" width="8.81640625" style="116" customWidth="1"/>
    <col min="22" max="22" width="5.1796875" style="116" customWidth="1"/>
    <col min="23" max="23" width="17" style="116" customWidth="1"/>
    <col min="24" max="24" width="15" style="122" customWidth="1"/>
    <col min="25" max="25" width="16.1796875" style="122" customWidth="1"/>
    <col min="26" max="26" width="11.81640625" style="122" customWidth="1"/>
    <col min="27" max="27" width="14.54296875" style="122" bestFit="1" customWidth="1"/>
    <col min="28" max="28" width="14" style="122" bestFit="1" customWidth="1"/>
    <col min="29" max="29" width="8.453125" style="116" customWidth="1"/>
    <col min="30" max="16384" width="8.81640625" style="116"/>
  </cols>
  <sheetData>
    <row r="1" spans="1:29">
      <c r="A1" s="424" t="s">
        <v>20</v>
      </c>
      <c r="B1" s="424" t="s">
        <v>343</v>
      </c>
      <c r="C1" s="424" t="s">
        <v>22</v>
      </c>
      <c r="D1" s="425" t="s">
        <v>344</v>
      </c>
      <c r="E1" s="426" t="s">
        <v>23</v>
      </c>
      <c r="F1" s="426" t="s">
        <v>24</v>
      </c>
      <c r="G1" s="427" t="s">
        <v>111</v>
      </c>
      <c r="H1" s="427"/>
      <c r="I1" s="426" t="s">
        <v>345</v>
      </c>
      <c r="J1" s="426" t="s">
        <v>346</v>
      </c>
      <c r="K1" s="426" t="s">
        <v>26</v>
      </c>
      <c r="L1" s="426" t="s">
        <v>347</v>
      </c>
      <c r="M1" s="424" t="s">
        <v>348</v>
      </c>
      <c r="N1" s="428" t="s">
        <v>142</v>
      </c>
      <c r="O1" s="428" t="s">
        <v>349</v>
      </c>
      <c r="P1" s="938" t="s">
        <v>1206</v>
      </c>
      <c r="Q1" s="119">
        <v>281</v>
      </c>
      <c r="R1" s="429" t="s">
        <v>405</v>
      </c>
      <c r="S1" s="429" t="s">
        <v>406</v>
      </c>
      <c r="T1" s="164" t="s">
        <v>407</v>
      </c>
      <c r="U1" s="116" t="s">
        <v>158</v>
      </c>
      <c r="V1" s="116">
        <v>281</v>
      </c>
      <c r="W1" s="119" t="s">
        <v>1146</v>
      </c>
      <c r="X1" s="840" t="s">
        <v>1145</v>
      </c>
      <c r="Y1" s="841" t="s">
        <v>705</v>
      </c>
      <c r="Z1" s="841" t="s">
        <v>706</v>
      </c>
      <c r="AA1" s="841" t="s">
        <v>704</v>
      </c>
      <c r="AB1" s="841" t="s">
        <v>707</v>
      </c>
      <c r="AC1" s="164" t="s">
        <v>244</v>
      </c>
    </row>
    <row r="2" spans="1:29">
      <c r="A2" s="430">
        <v>46079</v>
      </c>
      <c r="B2" s="431" t="s">
        <v>350</v>
      </c>
      <c r="C2" s="432" t="s">
        <v>1025</v>
      </c>
      <c r="D2" s="432" t="s">
        <v>1026</v>
      </c>
      <c r="E2" s="433" t="s">
        <v>44</v>
      </c>
      <c r="F2" s="434">
        <v>6</v>
      </c>
      <c r="G2" s="434">
        <v>50</v>
      </c>
      <c r="H2" s="434"/>
      <c r="I2" s="434">
        <f t="shared" ref="I2:I18" si="0">F2*60+G2</f>
        <v>410</v>
      </c>
      <c r="J2" s="435">
        <f>+I2/60</f>
        <v>6.833333333333333</v>
      </c>
      <c r="K2" s="436" t="s">
        <v>89</v>
      </c>
      <c r="L2" s="436" t="s">
        <v>351</v>
      </c>
      <c r="M2" s="119"/>
      <c r="N2" s="437">
        <v>355</v>
      </c>
      <c r="O2" s="438">
        <f t="shared" ref="O2:O65" si="1">(N2/50/2.20462)*100-$Q$1</f>
        <v>41.050965699304186</v>
      </c>
      <c r="P2" s="935">
        <v>90502</v>
      </c>
      <c r="Q2" s="119"/>
      <c r="R2" s="224">
        <v>70098</v>
      </c>
      <c r="S2" s="439">
        <v>410</v>
      </c>
      <c r="T2" s="232">
        <f>(S2/60*N2)*1.2</f>
        <v>2910.9999999999995</v>
      </c>
      <c r="U2" s="474">
        <f>S2-I2</f>
        <v>0</v>
      </c>
      <c r="W2" s="119"/>
      <c r="X2" s="651">
        <v>46140</v>
      </c>
      <c r="Y2" s="842">
        <v>7</v>
      </c>
      <c r="Z2" s="843">
        <v>6</v>
      </c>
      <c r="AA2" s="842">
        <v>52.7</v>
      </c>
      <c r="AB2" s="973">
        <v>412.7</v>
      </c>
      <c r="AC2" s="975">
        <f>AB2-S2</f>
        <v>2.6999999999999886</v>
      </c>
    </row>
    <row r="3" spans="1:29">
      <c r="A3" s="430">
        <v>46079</v>
      </c>
      <c r="B3" s="440" t="s">
        <v>350</v>
      </c>
      <c r="C3" s="441" t="s">
        <v>197</v>
      </c>
      <c r="D3" s="441" t="s">
        <v>1027</v>
      </c>
      <c r="E3" s="442" t="s">
        <v>42</v>
      </c>
      <c r="F3" s="443">
        <v>66</v>
      </c>
      <c r="G3" s="443">
        <v>23</v>
      </c>
      <c r="H3" s="443"/>
      <c r="I3" s="434">
        <f t="shared" si="0"/>
        <v>3983</v>
      </c>
      <c r="J3" s="435">
        <f t="shared" ref="J3:J66" si="2">+I3/60</f>
        <v>66.38333333333334</v>
      </c>
      <c r="K3" s="444" t="s">
        <v>89</v>
      </c>
      <c r="L3" s="444" t="s">
        <v>351</v>
      </c>
      <c r="M3" s="137"/>
      <c r="N3" s="445">
        <v>370</v>
      </c>
      <c r="O3" s="438">
        <f t="shared" si="1"/>
        <v>54.658752982373471</v>
      </c>
      <c r="P3" s="935">
        <v>90502</v>
      </c>
      <c r="Q3" s="119"/>
      <c r="R3" s="224">
        <v>70099</v>
      </c>
      <c r="S3" s="439">
        <v>3986.2</v>
      </c>
      <c r="T3" s="232">
        <f t="shared" ref="T3:T66" si="3">(S3/60*N3)*1.2</f>
        <v>29497.879999999997</v>
      </c>
      <c r="U3" s="474">
        <f t="shared" ref="U3:U66" si="4">S3-I3</f>
        <v>3.1999999999998181</v>
      </c>
      <c r="W3" s="119"/>
      <c r="X3" s="651">
        <v>46140</v>
      </c>
      <c r="Y3" s="842">
        <v>67</v>
      </c>
      <c r="Z3" s="843">
        <v>66</v>
      </c>
      <c r="AA3" s="842">
        <v>29.7</v>
      </c>
      <c r="AB3" s="973">
        <v>3989.7</v>
      </c>
      <c r="AC3" s="975">
        <f t="shared" ref="AC3:AC66" si="5">AB3-S3</f>
        <v>3.5</v>
      </c>
    </row>
    <row r="4" spans="1:29">
      <c r="A4" s="430">
        <v>46079</v>
      </c>
      <c r="B4" s="440" t="s">
        <v>350</v>
      </c>
      <c r="C4" s="441" t="s">
        <v>195</v>
      </c>
      <c r="D4" s="441" t="s">
        <v>1028</v>
      </c>
      <c r="E4" s="442" t="s">
        <v>42</v>
      </c>
      <c r="F4" s="443">
        <v>75</v>
      </c>
      <c r="G4" s="443">
        <v>22</v>
      </c>
      <c r="H4" s="443"/>
      <c r="I4" s="434">
        <f t="shared" si="0"/>
        <v>4522</v>
      </c>
      <c r="J4" s="435">
        <f t="shared" si="2"/>
        <v>75.36666666666666</v>
      </c>
      <c r="K4" s="444" t="s">
        <v>89</v>
      </c>
      <c r="L4" s="444" t="s">
        <v>351</v>
      </c>
      <c r="M4" s="137"/>
      <c r="N4" s="445">
        <v>370</v>
      </c>
      <c r="O4" s="438">
        <f t="shared" si="1"/>
        <v>54.658752982373471</v>
      </c>
      <c r="P4" s="935">
        <v>90502</v>
      </c>
      <c r="Q4" s="119"/>
      <c r="R4" s="224">
        <v>70101</v>
      </c>
      <c r="S4" s="439">
        <v>4526.6000000000004</v>
      </c>
      <c r="T4" s="232">
        <f t="shared" si="3"/>
        <v>33496.840000000004</v>
      </c>
      <c r="U4" s="474">
        <f t="shared" si="4"/>
        <v>4.6000000000003638</v>
      </c>
      <c r="W4" s="119"/>
      <c r="X4" s="651">
        <v>46136</v>
      </c>
      <c r="Y4" s="842">
        <v>76</v>
      </c>
      <c r="Z4" s="843">
        <v>75</v>
      </c>
      <c r="AA4" s="842">
        <v>41.6</v>
      </c>
      <c r="AB4" s="973">
        <v>4541.6000000000004</v>
      </c>
      <c r="AC4" s="975">
        <f t="shared" si="5"/>
        <v>15</v>
      </c>
    </row>
    <row r="5" spans="1:29" hidden="1">
      <c r="A5" s="430">
        <v>46079</v>
      </c>
      <c r="B5" s="440" t="s">
        <v>350</v>
      </c>
      <c r="C5" s="441" t="s">
        <v>195</v>
      </c>
      <c r="D5" s="441" t="s">
        <v>353</v>
      </c>
      <c r="E5" s="442" t="s">
        <v>45</v>
      </c>
      <c r="F5" s="443">
        <v>11</v>
      </c>
      <c r="G5" s="443">
        <v>44</v>
      </c>
      <c r="H5" s="443"/>
      <c r="I5" s="434">
        <f t="shared" si="0"/>
        <v>704</v>
      </c>
      <c r="J5" s="435">
        <f t="shared" si="2"/>
        <v>11.733333333333333</v>
      </c>
      <c r="K5" s="444" t="s">
        <v>54</v>
      </c>
      <c r="L5" s="444" t="s">
        <v>354</v>
      </c>
      <c r="M5" s="137"/>
      <c r="N5" s="445">
        <v>300</v>
      </c>
      <c r="O5" s="438">
        <f t="shared" si="1"/>
        <v>-8.8442543386161674</v>
      </c>
      <c r="P5" s="935">
        <v>90468</v>
      </c>
      <c r="Q5" s="119"/>
      <c r="R5" s="224">
        <v>70102</v>
      </c>
      <c r="S5" s="439">
        <v>705.8</v>
      </c>
      <c r="T5" s="232">
        <f t="shared" si="3"/>
        <v>4234.7999999999993</v>
      </c>
      <c r="U5" s="474">
        <f t="shared" si="4"/>
        <v>1.7999999999999545</v>
      </c>
      <c r="W5" s="119"/>
      <c r="X5" s="651">
        <v>46140</v>
      </c>
      <c r="Y5" s="842">
        <v>12</v>
      </c>
      <c r="Z5" s="843">
        <v>11</v>
      </c>
      <c r="AA5" s="842">
        <v>39.200000000000003</v>
      </c>
      <c r="AB5" s="973">
        <v>699.2</v>
      </c>
      <c r="AC5" s="975">
        <f t="shared" si="5"/>
        <v>-6.5999999999999091</v>
      </c>
    </row>
    <row r="6" spans="1:29" hidden="1">
      <c r="A6" s="430">
        <v>46079</v>
      </c>
      <c r="B6" s="440" t="s">
        <v>350</v>
      </c>
      <c r="C6" s="441" t="s">
        <v>1029</v>
      </c>
      <c r="D6" s="441" t="s">
        <v>234</v>
      </c>
      <c r="E6" s="442" t="s">
        <v>52</v>
      </c>
      <c r="F6" s="443">
        <v>10</v>
      </c>
      <c r="G6" s="443">
        <v>20</v>
      </c>
      <c r="H6" s="443"/>
      <c r="I6" s="434">
        <f t="shared" si="0"/>
        <v>620</v>
      </c>
      <c r="J6" s="435">
        <f t="shared" si="2"/>
        <v>10.333333333333334</v>
      </c>
      <c r="K6" s="444" t="s">
        <v>355</v>
      </c>
      <c r="L6" s="444" t="s">
        <v>1030</v>
      </c>
      <c r="M6" s="137"/>
      <c r="N6" s="137">
        <v>242</v>
      </c>
      <c r="O6" s="438">
        <f t="shared" si="1"/>
        <v>-61.461031833150372</v>
      </c>
      <c r="P6" s="935">
        <v>90510</v>
      </c>
      <c r="Q6" s="119"/>
      <c r="R6" s="224">
        <v>70104</v>
      </c>
      <c r="S6" s="439">
        <v>622.20000000000005</v>
      </c>
      <c r="T6" s="232">
        <f t="shared" si="3"/>
        <v>3011.4480000000003</v>
      </c>
      <c r="U6" s="474">
        <f t="shared" si="4"/>
        <v>2.2000000000000455</v>
      </c>
      <c r="W6" s="119"/>
      <c r="X6" s="651">
        <v>46140</v>
      </c>
      <c r="Y6" s="842">
        <v>11</v>
      </c>
      <c r="Z6" s="843">
        <v>10</v>
      </c>
      <c r="AA6" s="842">
        <v>26.1</v>
      </c>
      <c r="AB6" s="973">
        <v>626.1</v>
      </c>
      <c r="AC6" s="975">
        <f t="shared" si="5"/>
        <v>3.8999999999999773</v>
      </c>
    </row>
    <row r="7" spans="1:29" hidden="1">
      <c r="A7" s="430">
        <v>46079</v>
      </c>
      <c r="B7" s="431" t="s">
        <v>350</v>
      </c>
      <c r="C7" s="432" t="s">
        <v>1031</v>
      </c>
      <c r="D7" s="432" t="s">
        <v>1032</v>
      </c>
      <c r="E7" s="433" t="s">
        <v>46</v>
      </c>
      <c r="F7" s="434">
        <v>2</v>
      </c>
      <c r="G7" s="434">
        <v>40</v>
      </c>
      <c r="H7" s="434"/>
      <c r="I7" s="434">
        <f t="shared" si="0"/>
        <v>160</v>
      </c>
      <c r="J7" s="435">
        <f t="shared" si="2"/>
        <v>2.6666666666666665</v>
      </c>
      <c r="K7" s="436" t="s">
        <v>60</v>
      </c>
      <c r="L7" s="444" t="s">
        <v>1030</v>
      </c>
      <c r="M7" s="119"/>
      <c r="N7" s="137">
        <v>242</v>
      </c>
      <c r="O7" s="438">
        <f t="shared" si="1"/>
        <v>-61.461031833150372</v>
      </c>
      <c r="P7" s="935">
        <v>90510</v>
      </c>
      <c r="Q7" s="119"/>
      <c r="R7" s="224">
        <v>70105</v>
      </c>
      <c r="S7" s="439">
        <v>160</v>
      </c>
      <c r="T7" s="232">
        <f t="shared" si="3"/>
        <v>774.39999999999986</v>
      </c>
      <c r="U7" s="474">
        <f t="shared" si="4"/>
        <v>0</v>
      </c>
      <c r="W7" s="119"/>
      <c r="X7" s="651">
        <v>46140</v>
      </c>
      <c r="Y7" s="842">
        <v>3</v>
      </c>
      <c r="Z7" s="843">
        <v>2</v>
      </c>
      <c r="AA7" s="842">
        <v>41.3</v>
      </c>
      <c r="AB7" s="973">
        <v>161.30000000000001</v>
      </c>
      <c r="AC7" s="975">
        <f t="shared" si="5"/>
        <v>1.3000000000000114</v>
      </c>
    </row>
    <row r="8" spans="1:29" hidden="1">
      <c r="A8" s="430">
        <v>46079</v>
      </c>
      <c r="B8" s="440" t="s">
        <v>350</v>
      </c>
      <c r="C8" s="441" t="s">
        <v>920</v>
      </c>
      <c r="D8" s="441" t="s">
        <v>242</v>
      </c>
      <c r="E8" s="442" t="s">
        <v>46</v>
      </c>
      <c r="F8" s="443">
        <v>1</v>
      </c>
      <c r="G8" s="443">
        <v>52</v>
      </c>
      <c r="H8" s="443"/>
      <c r="I8" s="434">
        <f t="shared" si="0"/>
        <v>112</v>
      </c>
      <c r="J8" s="435">
        <f t="shared" si="2"/>
        <v>1.8666666666666667</v>
      </c>
      <c r="K8" s="444" t="s">
        <v>356</v>
      </c>
      <c r="L8" s="444" t="s">
        <v>354</v>
      </c>
      <c r="M8" s="137"/>
      <c r="N8" s="137">
        <v>242</v>
      </c>
      <c r="O8" s="438">
        <f t="shared" si="1"/>
        <v>-61.461031833150372</v>
      </c>
      <c r="P8" s="935">
        <v>90468</v>
      </c>
      <c r="Q8" s="119"/>
      <c r="R8" s="224">
        <v>70106</v>
      </c>
      <c r="S8" s="439">
        <v>95</v>
      </c>
      <c r="T8" s="232">
        <f t="shared" si="3"/>
        <v>459.79999999999995</v>
      </c>
      <c r="U8" s="474">
        <f t="shared" si="4"/>
        <v>-17</v>
      </c>
      <c r="W8" s="119"/>
      <c r="X8" s="651">
        <v>46140</v>
      </c>
      <c r="Y8" s="842">
        <v>2</v>
      </c>
      <c r="Z8" s="843">
        <v>1</v>
      </c>
      <c r="AA8" s="842">
        <v>33.200000000000003</v>
      </c>
      <c r="AB8" s="973">
        <v>93.2</v>
      </c>
      <c r="AC8" s="975">
        <f t="shared" si="5"/>
        <v>-1.7999999999999972</v>
      </c>
    </row>
    <row r="9" spans="1:29" hidden="1">
      <c r="A9" s="430">
        <v>46079</v>
      </c>
      <c r="B9" s="431" t="s">
        <v>350</v>
      </c>
      <c r="C9" s="432" t="s">
        <v>922</v>
      </c>
      <c r="D9" s="432" t="s">
        <v>243</v>
      </c>
      <c r="E9" s="433" t="s">
        <v>44</v>
      </c>
      <c r="F9" s="434">
        <v>8</v>
      </c>
      <c r="G9" s="434">
        <v>20</v>
      </c>
      <c r="H9" s="434"/>
      <c r="I9" s="434">
        <f t="shared" si="0"/>
        <v>500</v>
      </c>
      <c r="J9" s="435">
        <f t="shared" si="2"/>
        <v>8.3333333333333339</v>
      </c>
      <c r="K9" s="436" t="s">
        <v>45</v>
      </c>
      <c r="L9" s="436" t="s">
        <v>354</v>
      </c>
      <c r="M9" s="119"/>
      <c r="N9" s="437">
        <v>320</v>
      </c>
      <c r="O9" s="438">
        <f t="shared" si="1"/>
        <v>9.2994620388094518</v>
      </c>
      <c r="P9" s="935">
        <v>90468</v>
      </c>
      <c r="Q9" s="119"/>
      <c r="R9" s="224">
        <v>70107</v>
      </c>
      <c r="S9" s="439">
        <v>501.3</v>
      </c>
      <c r="T9" s="232">
        <f t="shared" si="3"/>
        <v>3208.32</v>
      </c>
      <c r="U9" s="474">
        <f t="shared" si="4"/>
        <v>1.3000000000000114</v>
      </c>
      <c r="W9" s="119"/>
      <c r="X9" s="844">
        <v>46154</v>
      </c>
      <c r="Y9" s="845">
        <v>9</v>
      </c>
      <c r="Z9" s="845">
        <v>8</v>
      </c>
      <c r="AA9" s="845">
        <v>20.9</v>
      </c>
      <c r="AB9" s="974">
        <v>500.9</v>
      </c>
      <c r="AC9" s="975">
        <f t="shared" si="5"/>
        <v>-0.40000000000003411</v>
      </c>
    </row>
    <row r="10" spans="1:29" hidden="1">
      <c r="A10" s="430">
        <v>46079</v>
      </c>
      <c r="B10" s="440" t="s">
        <v>350</v>
      </c>
      <c r="C10" s="441" t="s">
        <v>339</v>
      </c>
      <c r="D10" s="441" t="s">
        <v>239</v>
      </c>
      <c r="E10" s="442" t="s">
        <v>45</v>
      </c>
      <c r="F10" s="443">
        <v>12</v>
      </c>
      <c r="G10" s="443">
        <v>19</v>
      </c>
      <c r="H10" s="443"/>
      <c r="I10" s="434">
        <f t="shared" si="0"/>
        <v>739</v>
      </c>
      <c r="J10" s="435">
        <f t="shared" si="2"/>
        <v>12.316666666666666</v>
      </c>
      <c r="K10" s="444" t="s">
        <v>356</v>
      </c>
      <c r="L10" s="444" t="s">
        <v>354</v>
      </c>
      <c r="M10" s="137"/>
      <c r="N10" s="445">
        <v>300</v>
      </c>
      <c r="O10" s="438">
        <f t="shared" si="1"/>
        <v>-8.8442543386161674</v>
      </c>
      <c r="P10" s="935">
        <v>90468</v>
      </c>
      <c r="Q10" s="119"/>
      <c r="R10" s="224">
        <v>70108</v>
      </c>
      <c r="S10" s="439">
        <v>739.1</v>
      </c>
      <c r="T10" s="232">
        <f t="shared" si="3"/>
        <v>4434.5999999999995</v>
      </c>
      <c r="U10" s="474">
        <f t="shared" si="4"/>
        <v>0.10000000000002274</v>
      </c>
      <c r="W10" s="119"/>
      <c r="X10" s="651">
        <v>46140</v>
      </c>
      <c r="Y10" s="842">
        <v>13</v>
      </c>
      <c r="Z10" s="843">
        <v>12</v>
      </c>
      <c r="AA10" s="842">
        <v>17.3</v>
      </c>
      <c r="AB10" s="973">
        <v>737.3</v>
      </c>
      <c r="AC10" s="975">
        <f t="shared" si="5"/>
        <v>-1.8000000000000682</v>
      </c>
    </row>
    <row r="11" spans="1:29" hidden="1">
      <c r="A11" s="430">
        <v>46079</v>
      </c>
      <c r="B11" s="431" t="s">
        <v>350</v>
      </c>
      <c r="C11" s="432" t="s">
        <v>221</v>
      </c>
      <c r="D11" s="432" t="s">
        <v>1033</v>
      </c>
      <c r="E11" s="433" t="s">
        <v>46</v>
      </c>
      <c r="F11" s="434">
        <v>1</v>
      </c>
      <c r="G11" s="434">
        <v>0</v>
      </c>
      <c r="H11" s="434"/>
      <c r="I11" s="434">
        <f t="shared" si="0"/>
        <v>60</v>
      </c>
      <c r="J11" s="435">
        <f t="shared" si="2"/>
        <v>1</v>
      </c>
      <c r="K11" s="436" t="s">
        <v>356</v>
      </c>
      <c r="L11" s="436" t="s">
        <v>354</v>
      </c>
      <c r="M11" s="119"/>
      <c r="N11" s="137">
        <v>242</v>
      </c>
      <c r="O11" s="438">
        <f t="shared" si="1"/>
        <v>-61.461031833150372</v>
      </c>
      <c r="P11" s="935">
        <v>90468</v>
      </c>
      <c r="Q11" s="119"/>
      <c r="R11" s="224">
        <v>70110</v>
      </c>
      <c r="S11" s="439">
        <v>78</v>
      </c>
      <c r="T11" s="232">
        <f t="shared" si="3"/>
        <v>377.52000000000004</v>
      </c>
      <c r="U11" s="474">
        <f t="shared" si="4"/>
        <v>18</v>
      </c>
      <c r="W11" s="119"/>
      <c r="X11" s="651">
        <v>46140</v>
      </c>
      <c r="Y11" s="842">
        <v>2</v>
      </c>
      <c r="Z11" s="843">
        <v>1</v>
      </c>
      <c r="AA11" s="842">
        <v>17.2</v>
      </c>
      <c r="AB11" s="973">
        <v>77.2</v>
      </c>
      <c r="AC11" s="975">
        <f t="shared" si="5"/>
        <v>-0.79999999999999716</v>
      </c>
    </row>
    <row r="12" spans="1:29" hidden="1">
      <c r="A12" s="430">
        <v>46079</v>
      </c>
      <c r="B12" s="440" t="s">
        <v>350</v>
      </c>
      <c r="C12" s="441" t="s">
        <v>209</v>
      </c>
      <c r="D12" s="441" t="s">
        <v>1034</v>
      </c>
      <c r="E12" s="442" t="s">
        <v>45</v>
      </c>
      <c r="F12" s="443">
        <v>15</v>
      </c>
      <c r="G12" s="443">
        <v>32</v>
      </c>
      <c r="H12" s="443"/>
      <c r="I12" s="434">
        <f t="shared" si="0"/>
        <v>932</v>
      </c>
      <c r="J12" s="435">
        <f t="shared" si="2"/>
        <v>15.533333333333333</v>
      </c>
      <c r="K12" s="444" t="s">
        <v>54</v>
      </c>
      <c r="L12" s="444" t="s">
        <v>354</v>
      </c>
      <c r="M12" s="137"/>
      <c r="N12" s="445">
        <v>300</v>
      </c>
      <c r="O12" s="438">
        <f t="shared" si="1"/>
        <v>-8.8442543386161674</v>
      </c>
      <c r="P12" s="935">
        <v>90468</v>
      </c>
      <c r="Q12" s="119"/>
      <c r="R12" s="224">
        <v>70111</v>
      </c>
      <c r="S12" s="439">
        <v>934.1</v>
      </c>
      <c r="T12" s="232">
        <f t="shared" si="3"/>
        <v>5604.5999999999995</v>
      </c>
      <c r="U12" s="474">
        <f t="shared" si="4"/>
        <v>2.1000000000000227</v>
      </c>
      <c r="W12" s="119"/>
      <c r="X12" s="651">
        <v>46140</v>
      </c>
      <c r="Y12" s="842">
        <v>16</v>
      </c>
      <c r="Z12" s="843">
        <v>15</v>
      </c>
      <c r="AA12" s="842">
        <v>37.6</v>
      </c>
      <c r="AB12" s="973">
        <v>937.6</v>
      </c>
      <c r="AC12" s="975">
        <f t="shared" si="5"/>
        <v>3.5</v>
      </c>
    </row>
    <row r="13" spans="1:29">
      <c r="A13" s="430">
        <v>46079</v>
      </c>
      <c r="B13" s="431" t="s">
        <v>350</v>
      </c>
      <c r="C13" s="432" t="s">
        <v>209</v>
      </c>
      <c r="D13" s="432" t="s">
        <v>1034</v>
      </c>
      <c r="E13" s="433" t="s">
        <v>44</v>
      </c>
      <c r="F13" s="434">
        <v>9</v>
      </c>
      <c r="G13" s="434">
        <v>57</v>
      </c>
      <c r="H13" s="434"/>
      <c r="I13" s="434">
        <f t="shared" si="0"/>
        <v>597</v>
      </c>
      <c r="J13" s="435">
        <f t="shared" si="2"/>
        <v>9.9499999999999993</v>
      </c>
      <c r="K13" s="436" t="s">
        <v>94</v>
      </c>
      <c r="L13" s="436" t="s">
        <v>351</v>
      </c>
      <c r="M13" s="119"/>
      <c r="N13" s="437">
        <v>355</v>
      </c>
      <c r="O13" s="438">
        <f t="shared" si="1"/>
        <v>41.050965699304186</v>
      </c>
      <c r="P13" s="935">
        <v>90502</v>
      </c>
      <c r="Q13" s="119"/>
      <c r="R13" s="224">
        <v>70112</v>
      </c>
      <c r="S13" s="439">
        <v>597.5</v>
      </c>
      <c r="T13" s="232">
        <f t="shared" si="3"/>
        <v>4242.25</v>
      </c>
      <c r="U13" s="474">
        <f>SUM(U3:U12)</f>
        <v>16.300000000000239</v>
      </c>
      <c r="W13" s="119"/>
      <c r="X13" s="651">
        <v>46140</v>
      </c>
      <c r="Y13" s="842">
        <v>10</v>
      </c>
      <c r="Z13" s="843">
        <v>9</v>
      </c>
      <c r="AA13" s="842">
        <v>54</v>
      </c>
      <c r="AB13" s="973">
        <v>594</v>
      </c>
      <c r="AC13" s="975">
        <f t="shared" si="5"/>
        <v>-3.5</v>
      </c>
    </row>
    <row r="14" spans="1:29" hidden="1">
      <c r="A14" s="430">
        <v>46079</v>
      </c>
      <c r="B14" s="440" t="s">
        <v>350</v>
      </c>
      <c r="C14" s="441" t="s">
        <v>336</v>
      </c>
      <c r="D14" s="441" t="s">
        <v>235</v>
      </c>
      <c r="E14" s="442" t="s">
        <v>45</v>
      </c>
      <c r="F14" s="443">
        <v>8</v>
      </c>
      <c r="G14" s="443">
        <v>41</v>
      </c>
      <c r="H14" s="443"/>
      <c r="I14" s="434">
        <f t="shared" si="0"/>
        <v>521</v>
      </c>
      <c r="J14" s="435">
        <f t="shared" si="2"/>
        <v>8.6833333333333336</v>
      </c>
      <c r="K14" s="444" t="s">
        <v>60</v>
      </c>
      <c r="L14" s="444" t="s">
        <v>1030</v>
      </c>
      <c r="M14" s="137"/>
      <c r="N14" s="445">
        <v>300</v>
      </c>
      <c r="O14" s="438">
        <f t="shared" si="1"/>
        <v>-8.8442543386161674</v>
      </c>
      <c r="P14" s="935">
        <v>90510</v>
      </c>
      <c r="Q14" s="119"/>
      <c r="R14" s="224">
        <v>70113</v>
      </c>
      <c r="S14" s="439">
        <v>513.1</v>
      </c>
      <c r="T14" s="232">
        <f t="shared" si="3"/>
        <v>3078.6000000000004</v>
      </c>
      <c r="U14" s="474">
        <f t="shared" si="4"/>
        <v>-7.8999999999999773</v>
      </c>
      <c r="W14" s="119"/>
      <c r="X14" s="651">
        <v>46140</v>
      </c>
      <c r="Y14" s="842">
        <v>9</v>
      </c>
      <c r="Z14" s="843">
        <v>8</v>
      </c>
      <c r="AA14" s="842">
        <v>32.9</v>
      </c>
      <c r="AB14" s="973">
        <v>512.9</v>
      </c>
      <c r="AC14" s="975">
        <f t="shared" si="5"/>
        <v>-0.20000000000004547</v>
      </c>
    </row>
    <row r="15" spans="1:29">
      <c r="A15" s="430">
        <v>46079</v>
      </c>
      <c r="B15" s="440" t="s">
        <v>350</v>
      </c>
      <c r="C15" s="441" t="s">
        <v>336</v>
      </c>
      <c r="D15" s="441" t="s">
        <v>235</v>
      </c>
      <c r="E15" s="442" t="s">
        <v>44</v>
      </c>
      <c r="F15" s="443">
        <v>7</v>
      </c>
      <c r="G15" s="443">
        <v>11</v>
      </c>
      <c r="H15" s="443"/>
      <c r="I15" s="434">
        <f t="shared" si="0"/>
        <v>431</v>
      </c>
      <c r="J15" s="435">
        <f t="shared" si="2"/>
        <v>7.1833333333333336</v>
      </c>
      <c r="K15" s="444" t="s">
        <v>89</v>
      </c>
      <c r="L15" s="444" t="s">
        <v>351</v>
      </c>
      <c r="M15" s="137"/>
      <c r="N15" s="437">
        <v>355</v>
      </c>
      <c r="O15" s="438">
        <f t="shared" si="1"/>
        <v>41.050965699304186</v>
      </c>
      <c r="P15" s="935">
        <v>90502</v>
      </c>
      <c r="Q15" s="119"/>
      <c r="R15" s="224">
        <v>70114</v>
      </c>
      <c r="S15" s="439">
        <v>421.9</v>
      </c>
      <c r="T15" s="232">
        <f t="shared" si="3"/>
        <v>2995.4899999999993</v>
      </c>
      <c r="U15" s="474">
        <f t="shared" si="4"/>
        <v>-9.1000000000000227</v>
      </c>
      <c r="W15" s="119"/>
      <c r="X15" s="651">
        <v>46140</v>
      </c>
      <c r="Y15" s="842">
        <v>8</v>
      </c>
      <c r="Z15" s="843">
        <v>6</v>
      </c>
      <c r="AA15" s="842">
        <v>57.8</v>
      </c>
      <c r="AB15" s="973">
        <v>417.8</v>
      </c>
      <c r="AC15" s="975">
        <f t="shared" si="5"/>
        <v>-4.0999999999999659</v>
      </c>
    </row>
    <row r="16" spans="1:29" hidden="1">
      <c r="A16" s="430">
        <v>46079</v>
      </c>
      <c r="B16" s="440" t="s">
        <v>350</v>
      </c>
      <c r="C16" s="441" t="s">
        <v>192</v>
      </c>
      <c r="D16" s="441" t="s">
        <v>236</v>
      </c>
      <c r="E16" s="442" t="s">
        <v>45</v>
      </c>
      <c r="F16" s="443">
        <v>17</v>
      </c>
      <c r="G16" s="443">
        <v>23</v>
      </c>
      <c r="H16" s="443"/>
      <c r="I16" s="434">
        <f t="shared" si="0"/>
        <v>1043</v>
      </c>
      <c r="J16" s="435">
        <f t="shared" si="2"/>
        <v>17.383333333333333</v>
      </c>
      <c r="K16" s="444" t="s">
        <v>54</v>
      </c>
      <c r="L16" s="444" t="s">
        <v>354</v>
      </c>
      <c r="M16" s="137"/>
      <c r="N16" s="445">
        <v>300</v>
      </c>
      <c r="O16" s="438">
        <f t="shared" si="1"/>
        <v>-8.8442543386161674</v>
      </c>
      <c r="P16" s="935">
        <v>90468</v>
      </c>
      <c r="Q16" s="119"/>
      <c r="R16" s="224">
        <v>70115</v>
      </c>
      <c r="S16" s="439">
        <v>1033.0999999999999</v>
      </c>
      <c r="T16" s="232">
        <f t="shared" si="3"/>
        <v>6198.5999999999985</v>
      </c>
      <c r="U16" s="474">
        <f>SUM(U14:U15)</f>
        <v>-17</v>
      </c>
      <c r="W16" s="119"/>
      <c r="X16" s="651">
        <v>46140</v>
      </c>
      <c r="Y16" s="842">
        <v>18</v>
      </c>
      <c r="Z16" s="843">
        <v>17</v>
      </c>
      <c r="AA16" s="842">
        <v>19.8</v>
      </c>
      <c r="AB16" s="973">
        <v>1039.8</v>
      </c>
      <c r="AC16" s="975">
        <f t="shared" si="5"/>
        <v>6.7000000000000455</v>
      </c>
    </row>
    <row r="17" spans="1:29">
      <c r="A17" s="430">
        <v>46079</v>
      </c>
      <c r="B17" s="440" t="s">
        <v>350</v>
      </c>
      <c r="C17" s="441" t="s">
        <v>192</v>
      </c>
      <c r="D17" s="441" t="s">
        <v>236</v>
      </c>
      <c r="E17" s="442" t="s">
        <v>44</v>
      </c>
      <c r="F17" s="443">
        <v>10</v>
      </c>
      <c r="G17" s="443">
        <v>20</v>
      </c>
      <c r="H17" s="443"/>
      <c r="I17" s="434">
        <f t="shared" si="0"/>
        <v>620</v>
      </c>
      <c r="J17" s="435">
        <f t="shared" si="2"/>
        <v>10.333333333333334</v>
      </c>
      <c r="K17" s="444" t="s">
        <v>89</v>
      </c>
      <c r="L17" s="444" t="s">
        <v>351</v>
      </c>
      <c r="M17" s="137"/>
      <c r="N17" s="437">
        <v>355</v>
      </c>
      <c r="O17" s="438">
        <f t="shared" si="1"/>
        <v>41.050965699304186</v>
      </c>
      <c r="P17" s="935">
        <v>90502</v>
      </c>
      <c r="Q17" s="119"/>
      <c r="R17" s="224">
        <v>70116</v>
      </c>
      <c r="S17" s="439">
        <v>613</v>
      </c>
      <c r="T17" s="232">
        <f t="shared" si="3"/>
        <v>4352.2999999999993</v>
      </c>
      <c r="U17" s="474">
        <f t="shared" si="4"/>
        <v>-7</v>
      </c>
      <c r="W17" s="119"/>
      <c r="X17" s="651">
        <v>46140</v>
      </c>
      <c r="Y17" s="842">
        <v>11</v>
      </c>
      <c r="Z17" s="843">
        <v>10</v>
      </c>
      <c r="AA17" s="842">
        <v>15.1</v>
      </c>
      <c r="AB17" s="973">
        <v>615.1</v>
      </c>
      <c r="AC17" s="975">
        <f t="shared" si="5"/>
        <v>2.1000000000000227</v>
      </c>
    </row>
    <row r="18" spans="1:29">
      <c r="A18" s="430">
        <v>46079</v>
      </c>
      <c r="B18" s="431" t="s">
        <v>350</v>
      </c>
      <c r="C18" s="432" t="s">
        <v>232</v>
      </c>
      <c r="D18" s="432" t="s">
        <v>237</v>
      </c>
      <c r="E18" s="433" t="s">
        <v>44</v>
      </c>
      <c r="F18" s="434">
        <v>6</v>
      </c>
      <c r="G18" s="434">
        <v>12</v>
      </c>
      <c r="H18" s="434"/>
      <c r="I18" s="434">
        <f t="shared" si="0"/>
        <v>372</v>
      </c>
      <c r="J18" s="435">
        <f t="shared" si="2"/>
        <v>6.2</v>
      </c>
      <c r="K18" s="436" t="s">
        <v>94</v>
      </c>
      <c r="L18" s="436" t="s">
        <v>351</v>
      </c>
      <c r="M18" s="119"/>
      <c r="N18" s="437">
        <v>355</v>
      </c>
      <c r="O18" s="438">
        <f t="shared" si="1"/>
        <v>41.050965699304186</v>
      </c>
      <c r="P18" s="935">
        <v>90502</v>
      </c>
      <c r="Q18" s="119"/>
      <c r="R18" s="224">
        <v>70117</v>
      </c>
      <c r="S18" s="439">
        <v>370.6</v>
      </c>
      <c r="T18" s="232">
        <f t="shared" si="3"/>
        <v>2631.2599999999998</v>
      </c>
      <c r="U18" s="474">
        <f t="shared" si="4"/>
        <v>-1.3999999999999773</v>
      </c>
      <c r="W18" s="119"/>
      <c r="X18" s="651">
        <v>46140</v>
      </c>
      <c r="Y18" s="842">
        <v>7</v>
      </c>
      <c r="Z18" s="843">
        <v>6</v>
      </c>
      <c r="AA18" s="842">
        <v>7.7</v>
      </c>
      <c r="AB18" s="973">
        <v>367.7</v>
      </c>
      <c r="AC18" s="975">
        <f t="shared" si="5"/>
        <v>-2.9000000000000341</v>
      </c>
    </row>
    <row r="19" spans="1:29" hidden="1">
      <c r="A19" s="430">
        <v>46079</v>
      </c>
      <c r="B19" s="440" t="s">
        <v>350</v>
      </c>
      <c r="C19" s="441" t="s">
        <v>191</v>
      </c>
      <c r="D19" s="441" t="s">
        <v>233</v>
      </c>
      <c r="E19" s="442" t="s">
        <v>45</v>
      </c>
      <c r="F19" s="443">
        <v>13</v>
      </c>
      <c r="G19" s="443">
        <v>36</v>
      </c>
      <c r="H19" s="443"/>
      <c r="I19" s="434"/>
      <c r="J19" s="435">
        <f t="shared" si="2"/>
        <v>0</v>
      </c>
      <c r="K19" s="444" t="s">
        <v>54</v>
      </c>
      <c r="L19" s="444" t="s">
        <v>354</v>
      </c>
      <c r="M19" s="137"/>
      <c r="N19" s="445">
        <v>300</v>
      </c>
      <c r="O19" s="438">
        <f t="shared" si="1"/>
        <v>-8.8442543386161674</v>
      </c>
      <c r="P19" s="935">
        <v>90468</v>
      </c>
      <c r="Q19" s="119"/>
      <c r="R19" s="224">
        <v>70118</v>
      </c>
      <c r="S19" s="439">
        <v>816.4</v>
      </c>
      <c r="T19" s="232">
        <f t="shared" si="3"/>
        <v>4898.3999999999996</v>
      </c>
      <c r="U19" s="474">
        <f t="shared" si="4"/>
        <v>816.4</v>
      </c>
      <c r="W19" s="119"/>
      <c r="X19" s="651">
        <v>46140</v>
      </c>
      <c r="Y19" s="842">
        <v>14</v>
      </c>
      <c r="Z19" s="843">
        <v>13</v>
      </c>
      <c r="AA19" s="842">
        <v>33.4</v>
      </c>
      <c r="AB19" s="973">
        <v>813.4</v>
      </c>
      <c r="AC19" s="975">
        <f t="shared" si="5"/>
        <v>-3</v>
      </c>
    </row>
    <row r="20" spans="1:29">
      <c r="A20" s="430">
        <v>46079</v>
      </c>
      <c r="B20" s="431" t="s">
        <v>350</v>
      </c>
      <c r="C20" s="432" t="s">
        <v>191</v>
      </c>
      <c r="D20" s="432" t="s">
        <v>233</v>
      </c>
      <c r="E20" s="433" t="s">
        <v>44</v>
      </c>
      <c r="F20" s="434">
        <v>7</v>
      </c>
      <c r="G20" s="434">
        <v>35</v>
      </c>
      <c r="H20" s="434"/>
      <c r="I20" s="434"/>
      <c r="J20" s="435">
        <f t="shared" si="2"/>
        <v>0</v>
      </c>
      <c r="K20" s="436" t="s">
        <v>89</v>
      </c>
      <c r="L20" s="436" t="s">
        <v>351</v>
      </c>
      <c r="M20" s="119"/>
      <c r="N20" s="437">
        <v>355</v>
      </c>
      <c r="O20" s="438">
        <f t="shared" si="1"/>
        <v>41.050965699304186</v>
      </c>
      <c r="P20" s="935">
        <v>90502</v>
      </c>
      <c r="Q20" s="119"/>
      <c r="R20" s="224">
        <v>70119</v>
      </c>
      <c r="S20" s="439">
        <v>453.1</v>
      </c>
      <c r="T20" s="232">
        <f t="shared" si="3"/>
        <v>3217.0099999999998</v>
      </c>
      <c r="U20" s="474">
        <f t="shared" si="4"/>
        <v>453.1</v>
      </c>
      <c r="W20" s="119"/>
      <c r="X20" s="651">
        <v>46140</v>
      </c>
      <c r="Y20" s="842">
        <v>8</v>
      </c>
      <c r="Z20" s="843">
        <v>7</v>
      </c>
      <c r="AA20" s="842">
        <v>31.8</v>
      </c>
      <c r="AB20" s="973">
        <v>451.8</v>
      </c>
      <c r="AC20" s="975">
        <f t="shared" si="5"/>
        <v>-1.3000000000000114</v>
      </c>
    </row>
    <row r="21" spans="1:29" hidden="1">
      <c r="A21" s="430">
        <v>46079</v>
      </c>
      <c r="B21" s="431" t="s">
        <v>350</v>
      </c>
      <c r="C21" s="432" t="s">
        <v>335</v>
      </c>
      <c r="D21" s="432" t="s">
        <v>1035</v>
      </c>
      <c r="E21" s="433" t="s">
        <v>46</v>
      </c>
      <c r="F21" s="434">
        <v>2</v>
      </c>
      <c r="G21" s="434">
        <v>51</v>
      </c>
      <c r="H21" s="434"/>
      <c r="I21" s="434">
        <f t="shared" ref="I21:I37" si="6">F21*60+G21</f>
        <v>171</v>
      </c>
      <c r="J21" s="435">
        <f t="shared" si="2"/>
        <v>2.85</v>
      </c>
      <c r="K21" s="436" t="s">
        <v>60</v>
      </c>
      <c r="L21" s="444" t="s">
        <v>1030</v>
      </c>
      <c r="M21" s="119"/>
      <c r="N21" s="137">
        <v>242</v>
      </c>
      <c r="O21" s="438">
        <f t="shared" si="1"/>
        <v>-61.461031833150372</v>
      </c>
      <c r="P21" s="935">
        <v>90510</v>
      </c>
      <c r="Q21" s="119"/>
      <c r="R21" s="224">
        <v>70121</v>
      </c>
      <c r="S21" s="439">
        <v>170.8</v>
      </c>
      <c r="T21" s="232">
        <f t="shared" si="3"/>
        <v>826.67199999999991</v>
      </c>
      <c r="U21" s="474">
        <f t="shared" si="4"/>
        <v>-0.19999999999998863</v>
      </c>
      <c r="W21" s="119"/>
      <c r="X21" s="651">
        <v>46140</v>
      </c>
      <c r="Y21" s="842">
        <v>3</v>
      </c>
      <c r="Z21" s="843">
        <v>2</v>
      </c>
      <c r="AA21" s="842">
        <v>50.3</v>
      </c>
      <c r="AB21" s="973">
        <v>170.3</v>
      </c>
      <c r="AC21" s="975">
        <f t="shared" si="5"/>
        <v>-0.5</v>
      </c>
    </row>
    <row r="22" spans="1:29" hidden="1">
      <c r="A22" s="430">
        <v>46079</v>
      </c>
      <c r="B22" s="431" t="s">
        <v>350</v>
      </c>
      <c r="C22" s="432" t="s">
        <v>181</v>
      </c>
      <c r="D22" s="432" t="s">
        <v>1036</v>
      </c>
      <c r="E22" s="433" t="s">
        <v>46</v>
      </c>
      <c r="F22" s="434">
        <v>1</v>
      </c>
      <c r="G22" s="434">
        <v>14</v>
      </c>
      <c r="H22" s="434"/>
      <c r="I22" s="434">
        <f t="shared" si="6"/>
        <v>74</v>
      </c>
      <c r="J22" s="435">
        <f t="shared" si="2"/>
        <v>1.2333333333333334</v>
      </c>
      <c r="K22" s="436" t="s">
        <v>356</v>
      </c>
      <c r="L22" s="436" t="s">
        <v>354</v>
      </c>
      <c r="M22" s="119"/>
      <c r="N22" s="137">
        <v>242</v>
      </c>
      <c r="O22" s="438">
        <f t="shared" si="1"/>
        <v>-61.461031833150372</v>
      </c>
      <c r="P22" s="935">
        <v>90468</v>
      </c>
      <c r="Q22" s="119"/>
      <c r="R22" s="224">
        <v>70123</v>
      </c>
      <c r="S22" s="439">
        <v>74</v>
      </c>
      <c r="T22" s="232">
        <f t="shared" si="3"/>
        <v>358.16</v>
      </c>
      <c r="U22" s="474">
        <f t="shared" si="4"/>
        <v>0</v>
      </c>
      <c r="W22" s="119"/>
      <c r="X22" s="844">
        <v>46154</v>
      </c>
      <c r="Y22" s="845">
        <v>2</v>
      </c>
      <c r="Z22" s="845">
        <v>1</v>
      </c>
      <c r="AA22" s="845">
        <v>13.2</v>
      </c>
      <c r="AB22" s="974">
        <v>73.2</v>
      </c>
      <c r="AC22" s="975">
        <f t="shared" si="5"/>
        <v>-0.79999999999999716</v>
      </c>
    </row>
    <row r="23" spans="1:29" hidden="1">
      <c r="A23" s="430">
        <v>46079</v>
      </c>
      <c r="B23" s="431" t="s">
        <v>350</v>
      </c>
      <c r="C23" s="432" t="s">
        <v>334</v>
      </c>
      <c r="D23" s="432" t="s">
        <v>1037</v>
      </c>
      <c r="E23" s="433" t="s">
        <v>46</v>
      </c>
      <c r="F23" s="434">
        <v>2</v>
      </c>
      <c r="G23" s="434">
        <v>21</v>
      </c>
      <c r="H23" s="434" t="s">
        <v>1375</v>
      </c>
      <c r="I23" s="434">
        <f t="shared" si="6"/>
        <v>141</v>
      </c>
      <c r="J23" s="435">
        <f t="shared" si="2"/>
        <v>2.35</v>
      </c>
      <c r="K23" s="436" t="s">
        <v>59</v>
      </c>
      <c r="L23" s="444" t="s">
        <v>1030</v>
      </c>
      <c r="M23" s="119"/>
      <c r="N23" s="137">
        <v>242</v>
      </c>
      <c r="O23" s="438">
        <f t="shared" si="1"/>
        <v>-61.461031833150372</v>
      </c>
      <c r="P23" s="935">
        <v>90510</v>
      </c>
      <c r="Q23" s="119"/>
      <c r="R23" s="224">
        <v>70124</v>
      </c>
      <c r="S23" s="439">
        <v>141</v>
      </c>
      <c r="T23" s="232">
        <f t="shared" si="3"/>
        <v>682.44</v>
      </c>
      <c r="U23" s="474">
        <f t="shared" si="4"/>
        <v>0</v>
      </c>
      <c r="W23" s="119"/>
      <c r="X23" s="844">
        <v>46140</v>
      </c>
      <c r="Y23" s="842">
        <v>3</v>
      </c>
      <c r="Z23" s="843">
        <v>2</v>
      </c>
      <c r="AA23" s="842">
        <v>21.3</v>
      </c>
      <c r="AB23" s="973">
        <v>141.30000000000001</v>
      </c>
      <c r="AC23" s="975">
        <f t="shared" si="5"/>
        <v>0.30000000000001137</v>
      </c>
    </row>
    <row r="24" spans="1:29" hidden="1">
      <c r="A24" s="430">
        <v>46079</v>
      </c>
      <c r="B24" s="440" t="s">
        <v>350</v>
      </c>
      <c r="C24" s="441" t="s">
        <v>205</v>
      </c>
      <c r="D24" s="441" t="s">
        <v>1038</v>
      </c>
      <c r="E24" s="442" t="s">
        <v>45</v>
      </c>
      <c r="F24" s="443">
        <v>11</v>
      </c>
      <c r="G24" s="443">
        <v>47</v>
      </c>
      <c r="H24" s="137">
        <v>350</v>
      </c>
      <c r="I24" s="434">
        <f t="shared" si="6"/>
        <v>707</v>
      </c>
      <c r="J24" s="435">
        <f t="shared" si="2"/>
        <v>11.783333333333333</v>
      </c>
      <c r="K24" s="444" t="s">
        <v>54</v>
      </c>
      <c r="L24" s="444" t="s">
        <v>354</v>
      </c>
      <c r="M24" s="137"/>
      <c r="N24" s="445">
        <v>300</v>
      </c>
      <c r="O24" s="438">
        <f t="shared" si="1"/>
        <v>-8.8442543386161674</v>
      </c>
      <c r="P24" s="935">
        <v>90468</v>
      </c>
      <c r="Q24" s="119"/>
      <c r="R24" s="224">
        <v>70125</v>
      </c>
      <c r="S24" s="439">
        <v>704.9</v>
      </c>
      <c r="T24" s="232">
        <f t="shared" si="3"/>
        <v>4229.3999999999996</v>
      </c>
      <c r="U24" s="474">
        <f t="shared" si="4"/>
        <v>-2.1000000000000227</v>
      </c>
      <c r="W24" s="119"/>
      <c r="X24" s="844">
        <v>46140</v>
      </c>
      <c r="Y24" s="842">
        <v>12</v>
      </c>
      <c r="Z24" s="843">
        <v>11</v>
      </c>
      <c r="AA24" s="842">
        <v>40.200000000000003</v>
      </c>
      <c r="AB24" s="973">
        <v>700.2</v>
      </c>
      <c r="AC24" s="975">
        <f t="shared" si="5"/>
        <v>-4.6999999999999318</v>
      </c>
    </row>
    <row r="25" spans="1:29">
      <c r="A25" s="430">
        <v>46079</v>
      </c>
      <c r="B25" s="431" t="s">
        <v>350</v>
      </c>
      <c r="C25" s="432" t="s">
        <v>205</v>
      </c>
      <c r="D25" s="432" t="s">
        <v>1038</v>
      </c>
      <c r="E25" s="433" t="s">
        <v>44</v>
      </c>
      <c r="F25" s="434">
        <v>7</v>
      </c>
      <c r="G25" s="434">
        <v>42</v>
      </c>
      <c r="H25" s="137"/>
      <c r="I25" s="434">
        <f t="shared" si="6"/>
        <v>462</v>
      </c>
      <c r="J25" s="435">
        <f t="shared" si="2"/>
        <v>7.7</v>
      </c>
      <c r="K25" s="436" t="s">
        <v>89</v>
      </c>
      <c r="L25" s="436" t="s">
        <v>351</v>
      </c>
      <c r="M25" s="119"/>
      <c r="N25" s="437">
        <v>355</v>
      </c>
      <c r="O25" s="438">
        <f t="shared" si="1"/>
        <v>41.050965699304186</v>
      </c>
      <c r="P25" s="935">
        <v>90502</v>
      </c>
      <c r="Q25" s="119"/>
      <c r="R25" s="224">
        <v>70126</v>
      </c>
      <c r="S25" s="439">
        <v>460.6</v>
      </c>
      <c r="T25" s="232">
        <f t="shared" si="3"/>
        <v>3270.2599999999998</v>
      </c>
      <c r="U25" s="474">
        <f t="shared" si="4"/>
        <v>-1.3999999999999773</v>
      </c>
      <c r="W25" s="119"/>
      <c r="X25" s="844">
        <v>46140</v>
      </c>
      <c r="Y25" s="842">
        <v>8</v>
      </c>
      <c r="Z25" s="843">
        <v>7</v>
      </c>
      <c r="AA25" s="842">
        <v>37.799999999999997</v>
      </c>
      <c r="AB25" s="973">
        <v>457.8</v>
      </c>
      <c r="AC25" s="975">
        <f t="shared" si="5"/>
        <v>-2.8000000000000114</v>
      </c>
    </row>
    <row r="26" spans="1:29" hidden="1">
      <c r="A26" s="430">
        <v>46079</v>
      </c>
      <c r="B26" s="440" t="s">
        <v>350</v>
      </c>
      <c r="C26" s="441" t="s">
        <v>182</v>
      </c>
      <c r="D26" s="441" t="s">
        <v>233</v>
      </c>
      <c r="E26" s="442" t="s">
        <v>45</v>
      </c>
      <c r="F26" s="443">
        <v>11</v>
      </c>
      <c r="G26" s="443">
        <v>65</v>
      </c>
      <c r="H26" s="443"/>
      <c r="I26" s="434">
        <f t="shared" si="6"/>
        <v>725</v>
      </c>
      <c r="J26" s="435">
        <f t="shared" si="2"/>
        <v>12.083333333333334</v>
      </c>
      <c r="K26" s="444" t="s">
        <v>54</v>
      </c>
      <c r="L26" s="444" t="s">
        <v>354</v>
      </c>
      <c r="M26" s="137"/>
      <c r="N26" s="445">
        <v>300</v>
      </c>
      <c r="O26" s="438">
        <f t="shared" si="1"/>
        <v>-8.8442543386161674</v>
      </c>
      <c r="P26" s="935">
        <v>90468</v>
      </c>
      <c r="Q26" s="119"/>
      <c r="R26" s="224">
        <v>70127</v>
      </c>
      <c r="S26" s="439">
        <v>724.6</v>
      </c>
      <c r="T26" s="232">
        <f t="shared" si="3"/>
        <v>4347.5999999999995</v>
      </c>
      <c r="U26" s="474">
        <f t="shared" si="4"/>
        <v>-0.39999999999997726</v>
      </c>
      <c r="W26" s="119"/>
      <c r="X26" s="844">
        <v>46140</v>
      </c>
      <c r="Y26" s="842">
        <v>12</v>
      </c>
      <c r="Z26" s="843">
        <v>12</v>
      </c>
      <c r="AA26" s="842">
        <v>3.2</v>
      </c>
      <c r="AB26" s="973">
        <v>723.2</v>
      </c>
      <c r="AC26" s="975">
        <f t="shared" si="5"/>
        <v>-1.3999999999999773</v>
      </c>
    </row>
    <row r="27" spans="1:29">
      <c r="A27" s="430">
        <v>46079</v>
      </c>
      <c r="B27" s="431" t="s">
        <v>350</v>
      </c>
      <c r="C27" s="432" t="s">
        <v>182</v>
      </c>
      <c r="D27" s="432" t="s">
        <v>233</v>
      </c>
      <c r="E27" s="433" t="s">
        <v>44</v>
      </c>
      <c r="F27" s="434">
        <v>5</v>
      </c>
      <c r="G27" s="434">
        <v>47</v>
      </c>
      <c r="H27" s="433"/>
      <c r="I27" s="434">
        <f t="shared" si="6"/>
        <v>347</v>
      </c>
      <c r="J27" s="435">
        <f t="shared" si="2"/>
        <v>5.7833333333333332</v>
      </c>
      <c r="K27" s="436" t="s">
        <v>94</v>
      </c>
      <c r="L27" s="436" t="s">
        <v>351</v>
      </c>
      <c r="M27" s="119"/>
      <c r="N27" s="437">
        <v>355</v>
      </c>
      <c r="O27" s="438">
        <f t="shared" si="1"/>
        <v>41.050965699304186</v>
      </c>
      <c r="P27" s="935">
        <v>90502</v>
      </c>
      <c r="Q27" s="119"/>
      <c r="R27" s="224">
        <v>70128</v>
      </c>
      <c r="S27" s="439">
        <v>347.8</v>
      </c>
      <c r="T27" s="232">
        <f t="shared" si="3"/>
        <v>2469.3799999999997</v>
      </c>
      <c r="U27" s="474">
        <f t="shared" si="4"/>
        <v>0.80000000000001137</v>
      </c>
      <c r="W27" s="119"/>
      <c r="X27" s="844">
        <v>46140</v>
      </c>
      <c r="Y27" s="842">
        <v>6</v>
      </c>
      <c r="Z27" s="843">
        <v>5</v>
      </c>
      <c r="AA27" s="842">
        <v>46.6</v>
      </c>
      <c r="AB27" s="973">
        <v>346.6</v>
      </c>
      <c r="AC27" s="975">
        <f t="shared" si="5"/>
        <v>-1.1999999999999886</v>
      </c>
    </row>
    <row r="28" spans="1:29" hidden="1">
      <c r="A28" s="430">
        <v>46079</v>
      </c>
      <c r="B28" s="431" t="s">
        <v>350</v>
      </c>
      <c r="C28" s="432" t="s">
        <v>180</v>
      </c>
      <c r="D28" s="432" t="s">
        <v>1039</v>
      </c>
      <c r="E28" s="433" t="s">
        <v>46</v>
      </c>
      <c r="F28" s="434">
        <v>1</v>
      </c>
      <c r="G28" s="434"/>
      <c r="H28" s="433"/>
      <c r="I28" s="434">
        <f t="shared" si="6"/>
        <v>60</v>
      </c>
      <c r="J28" s="435">
        <f t="shared" si="2"/>
        <v>1</v>
      </c>
      <c r="K28" s="436" t="s">
        <v>356</v>
      </c>
      <c r="L28" s="436" t="s">
        <v>354</v>
      </c>
      <c r="M28" s="119"/>
      <c r="N28" s="137">
        <v>242</v>
      </c>
      <c r="O28" s="438">
        <f t="shared" si="1"/>
        <v>-61.461031833150372</v>
      </c>
      <c r="P28" s="935">
        <v>90468</v>
      </c>
      <c r="Q28" s="119"/>
      <c r="R28" s="224">
        <v>70129</v>
      </c>
      <c r="S28" s="439">
        <v>121</v>
      </c>
      <c r="T28" s="232">
        <f t="shared" si="3"/>
        <v>585.64</v>
      </c>
      <c r="U28" s="474">
        <f t="shared" si="4"/>
        <v>61</v>
      </c>
      <c r="W28" s="119"/>
      <c r="X28" s="844">
        <v>46140</v>
      </c>
      <c r="Y28" s="842">
        <v>3</v>
      </c>
      <c r="Z28" s="843">
        <v>1</v>
      </c>
      <c r="AA28" s="842">
        <v>59.3</v>
      </c>
      <c r="AB28" s="973">
        <v>119.3</v>
      </c>
      <c r="AC28" s="975">
        <f t="shared" si="5"/>
        <v>-1.7000000000000028</v>
      </c>
    </row>
    <row r="29" spans="1:29" hidden="1">
      <c r="A29" s="627">
        <v>46079</v>
      </c>
      <c r="B29" s="628" t="s">
        <v>350</v>
      </c>
      <c r="C29" s="629" t="s">
        <v>925</v>
      </c>
      <c r="D29" s="629" t="s">
        <v>926</v>
      </c>
      <c r="E29" s="630" t="s">
        <v>52</v>
      </c>
      <c r="F29" s="631">
        <v>8</v>
      </c>
      <c r="G29" s="631">
        <v>33</v>
      </c>
      <c r="H29" s="630"/>
      <c r="I29" s="631">
        <f t="shared" si="6"/>
        <v>513</v>
      </c>
      <c r="J29" s="632">
        <f t="shared" si="2"/>
        <v>8.5500000000000007</v>
      </c>
      <c r="K29" s="633" t="s">
        <v>355</v>
      </c>
      <c r="L29" s="633" t="s">
        <v>1030</v>
      </c>
      <c r="M29" s="634"/>
      <c r="N29" s="634">
        <v>242</v>
      </c>
      <c r="O29" s="635">
        <f t="shared" si="1"/>
        <v>-61.461031833150372</v>
      </c>
      <c r="P29" s="935">
        <v>90510</v>
      </c>
      <c r="Q29" s="634"/>
      <c r="R29" s="634">
        <v>70132</v>
      </c>
      <c r="S29" s="636">
        <v>512.6</v>
      </c>
      <c r="T29" s="232">
        <f t="shared" si="3"/>
        <v>2480.9839999999999</v>
      </c>
      <c r="U29" s="474">
        <f t="shared" si="4"/>
        <v>-0.39999999999997726</v>
      </c>
      <c r="W29" s="119"/>
      <c r="X29" s="844">
        <v>46140</v>
      </c>
      <c r="Y29" s="842">
        <v>9</v>
      </c>
      <c r="Z29" s="843">
        <v>8</v>
      </c>
      <c r="AA29" s="842">
        <v>29.9</v>
      </c>
      <c r="AB29" s="973">
        <v>509.9</v>
      </c>
      <c r="AC29" s="975">
        <f t="shared" si="5"/>
        <v>-2.7000000000000455</v>
      </c>
    </row>
    <row r="30" spans="1:29" hidden="1">
      <c r="A30" s="430">
        <v>46079</v>
      </c>
      <c r="B30" s="431" t="s">
        <v>350</v>
      </c>
      <c r="C30" s="432" t="s">
        <v>218</v>
      </c>
      <c r="D30" s="432" t="s">
        <v>1040</v>
      </c>
      <c r="E30" s="433" t="s">
        <v>46</v>
      </c>
      <c r="F30" s="434">
        <v>1</v>
      </c>
      <c r="G30" s="434">
        <v>28</v>
      </c>
      <c r="H30" s="434"/>
      <c r="I30" s="434">
        <f t="shared" si="6"/>
        <v>88</v>
      </c>
      <c r="J30" s="435">
        <f t="shared" si="2"/>
        <v>1.4666666666666666</v>
      </c>
      <c r="K30" s="436" t="s">
        <v>356</v>
      </c>
      <c r="L30" s="436" t="s">
        <v>354</v>
      </c>
      <c r="M30" s="119"/>
      <c r="N30" s="137">
        <v>242</v>
      </c>
      <c r="O30" s="438">
        <f t="shared" si="1"/>
        <v>-61.461031833150372</v>
      </c>
      <c r="P30" s="935">
        <v>90468</v>
      </c>
      <c r="Q30" s="119"/>
      <c r="R30" s="224">
        <v>70133</v>
      </c>
      <c r="S30" s="439">
        <v>88</v>
      </c>
      <c r="T30" s="232">
        <f t="shared" si="3"/>
        <v>425.9199999999999</v>
      </c>
      <c r="U30" s="474">
        <f t="shared" si="4"/>
        <v>0</v>
      </c>
      <c r="W30" s="119"/>
      <c r="X30" s="844">
        <v>46140</v>
      </c>
      <c r="Y30" s="842">
        <v>2</v>
      </c>
      <c r="Z30" s="843">
        <v>1</v>
      </c>
      <c r="AA30" s="842">
        <v>28.2</v>
      </c>
      <c r="AB30" s="973">
        <v>88.2</v>
      </c>
      <c r="AC30" s="975">
        <f t="shared" si="5"/>
        <v>0.20000000000000284</v>
      </c>
    </row>
    <row r="31" spans="1:29" hidden="1">
      <c r="A31" s="430">
        <v>46079</v>
      </c>
      <c r="B31" s="431" t="s">
        <v>350</v>
      </c>
      <c r="C31" s="432" t="s">
        <v>183</v>
      </c>
      <c r="D31" s="432" t="s">
        <v>357</v>
      </c>
      <c r="E31" s="433" t="s">
        <v>46</v>
      </c>
      <c r="F31" s="434">
        <v>1</v>
      </c>
      <c r="G31" s="434">
        <v>52</v>
      </c>
      <c r="H31" s="434"/>
      <c r="I31" s="434">
        <f t="shared" si="6"/>
        <v>112</v>
      </c>
      <c r="J31" s="435">
        <f t="shared" si="2"/>
        <v>1.8666666666666667</v>
      </c>
      <c r="K31" s="436" t="s">
        <v>356</v>
      </c>
      <c r="L31" s="436" t="s">
        <v>354</v>
      </c>
      <c r="M31" s="119"/>
      <c r="N31" s="137">
        <v>242</v>
      </c>
      <c r="O31" s="438">
        <f t="shared" si="1"/>
        <v>-61.461031833150372</v>
      </c>
      <c r="P31" s="935">
        <v>90468</v>
      </c>
      <c r="Q31" s="119"/>
      <c r="R31" s="224">
        <v>70134</v>
      </c>
      <c r="S31" s="439">
        <v>112</v>
      </c>
      <c r="T31" s="232">
        <f t="shared" si="3"/>
        <v>542.08000000000004</v>
      </c>
      <c r="U31" s="474">
        <f t="shared" si="4"/>
        <v>0</v>
      </c>
      <c r="W31" s="119"/>
      <c r="X31" s="844">
        <v>46140</v>
      </c>
      <c r="Y31" s="842">
        <v>2</v>
      </c>
      <c r="Z31" s="843">
        <v>1</v>
      </c>
      <c r="AA31" s="842">
        <v>52.2</v>
      </c>
      <c r="AB31" s="973">
        <v>112.2</v>
      </c>
      <c r="AC31" s="975">
        <f t="shared" si="5"/>
        <v>0.20000000000000284</v>
      </c>
    </row>
    <row r="32" spans="1:29" hidden="1">
      <c r="A32" s="430">
        <v>46079</v>
      </c>
      <c r="B32" s="431" t="s">
        <v>350</v>
      </c>
      <c r="C32" s="432" t="s">
        <v>224</v>
      </c>
      <c r="D32" s="432" t="s">
        <v>1033</v>
      </c>
      <c r="E32" s="433" t="s">
        <v>46</v>
      </c>
      <c r="F32" s="434">
        <v>1</v>
      </c>
      <c r="G32" s="434">
        <v>10</v>
      </c>
      <c r="H32" s="434"/>
      <c r="I32" s="434">
        <f t="shared" si="6"/>
        <v>70</v>
      </c>
      <c r="J32" s="435">
        <f t="shared" si="2"/>
        <v>1.1666666666666667</v>
      </c>
      <c r="K32" s="436" t="s">
        <v>356</v>
      </c>
      <c r="L32" s="436" t="s">
        <v>354</v>
      </c>
      <c r="M32" s="119"/>
      <c r="N32" s="137">
        <v>242</v>
      </c>
      <c r="O32" s="438">
        <f t="shared" si="1"/>
        <v>-61.461031833150372</v>
      </c>
      <c r="P32" s="935">
        <v>90468</v>
      </c>
      <c r="Q32" s="119"/>
      <c r="R32" s="224">
        <v>70135</v>
      </c>
      <c r="S32" s="439">
        <v>70</v>
      </c>
      <c r="T32" s="232">
        <f t="shared" si="3"/>
        <v>338.8</v>
      </c>
      <c r="U32" s="474">
        <f t="shared" si="4"/>
        <v>0</v>
      </c>
      <c r="W32" s="119"/>
      <c r="X32" s="844">
        <v>46140</v>
      </c>
      <c r="Y32" s="842">
        <v>2</v>
      </c>
      <c r="Z32" s="843">
        <v>1</v>
      </c>
      <c r="AA32" s="842">
        <v>10.199999999999999</v>
      </c>
      <c r="AB32" s="973">
        <v>70.2</v>
      </c>
      <c r="AC32" s="975">
        <f t="shared" si="5"/>
        <v>0.20000000000000284</v>
      </c>
    </row>
    <row r="33" spans="1:29" hidden="1">
      <c r="A33" s="430">
        <v>46079</v>
      </c>
      <c r="B33" s="446" t="s">
        <v>350</v>
      </c>
      <c r="C33" s="205" t="s">
        <v>333</v>
      </c>
      <c r="D33" s="204" t="s">
        <v>279</v>
      </c>
      <c r="E33" s="447" t="s">
        <v>45</v>
      </c>
      <c r="F33" s="448">
        <v>13</v>
      </c>
      <c r="G33" s="448">
        <v>23</v>
      </c>
      <c r="H33" s="448"/>
      <c r="I33" s="434">
        <f t="shared" si="6"/>
        <v>803</v>
      </c>
      <c r="J33" s="435">
        <f t="shared" si="2"/>
        <v>13.383333333333333</v>
      </c>
      <c r="K33" s="449" t="s">
        <v>54</v>
      </c>
      <c r="L33" s="450" t="s">
        <v>354</v>
      </c>
      <c r="M33" s="451"/>
      <c r="N33" s="445">
        <v>300</v>
      </c>
      <c r="O33" s="438">
        <f t="shared" si="1"/>
        <v>-8.8442543386161674</v>
      </c>
      <c r="P33" s="935">
        <v>90468</v>
      </c>
      <c r="Q33" s="119"/>
      <c r="R33" s="224">
        <v>70136</v>
      </c>
      <c r="S33" s="439">
        <v>797.5</v>
      </c>
      <c r="T33" s="232">
        <f t="shared" si="3"/>
        <v>4785</v>
      </c>
      <c r="U33" s="474">
        <f t="shared" si="4"/>
        <v>-5.5</v>
      </c>
      <c r="W33" s="119"/>
      <c r="X33" s="844">
        <v>46140</v>
      </c>
      <c r="Y33" s="842">
        <v>14</v>
      </c>
      <c r="Z33" s="843">
        <v>13</v>
      </c>
      <c r="AA33" s="842">
        <v>27.4</v>
      </c>
      <c r="AB33" s="973">
        <v>807.4</v>
      </c>
      <c r="AC33" s="975">
        <f t="shared" si="5"/>
        <v>9.8999999999999773</v>
      </c>
    </row>
    <row r="34" spans="1:29">
      <c r="A34" s="430">
        <v>46079</v>
      </c>
      <c r="B34" s="440" t="s">
        <v>350</v>
      </c>
      <c r="C34" s="452" t="s">
        <v>333</v>
      </c>
      <c r="D34" s="453" t="s">
        <v>279</v>
      </c>
      <c r="E34" s="454" t="s">
        <v>44</v>
      </c>
      <c r="F34" s="455">
        <v>7</v>
      </c>
      <c r="G34" s="455">
        <v>50</v>
      </c>
      <c r="H34" s="455"/>
      <c r="I34" s="434">
        <f t="shared" si="6"/>
        <v>470</v>
      </c>
      <c r="J34" s="435">
        <f t="shared" si="2"/>
        <v>7.833333333333333</v>
      </c>
      <c r="K34" s="449" t="s">
        <v>94</v>
      </c>
      <c r="L34" s="450" t="s">
        <v>351</v>
      </c>
      <c r="M34" s="456"/>
      <c r="N34" s="437">
        <v>355</v>
      </c>
      <c r="O34" s="438">
        <f t="shared" si="1"/>
        <v>41.050965699304186</v>
      </c>
      <c r="P34" s="935">
        <v>90502</v>
      </c>
      <c r="Q34" s="119"/>
      <c r="R34" s="224">
        <v>70138</v>
      </c>
      <c r="S34" s="439">
        <v>464.9</v>
      </c>
      <c r="T34" s="232">
        <f t="shared" si="3"/>
        <v>3300.79</v>
      </c>
      <c r="U34" s="474">
        <f t="shared" si="4"/>
        <v>-5.1000000000000227</v>
      </c>
      <c r="W34" s="119"/>
      <c r="X34" s="844">
        <v>46140</v>
      </c>
      <c r="Y34" s="842">
        <v>8</v>
      </c>
      <c r="Z34" s="843">
        <v>7</v>
      </c>
      <c r="AA34" s="842">
        <v>50.8</v>
      </c>
      <c r="AB34" s="973">
        <v>470.8</v>
      </c>
      <c r="AC34" s="975">
        <f t="shared" si="5"/>
        <v>5.9000000000000341</v>
      </c>
    </row>
    <row r="35" spans="1:29">
      <c r="A35" s="430">
        <v>46079</v>
      </c>
      <c r="B35" s="440" t="s">
        <v>350</v>
      </c>
      <c r="C35" s="441" t="s">
        <v>1041</v>
      </c>
      <c r="D35" s="441" t="s">
        <v>1042</v>
      </c>
      <c r="E35" s="442" t="s">
        <v>42</v>
      </c>
      <c r="F35" s="443">
        <v>1</v>
      </c>
      <c r="G35" s="443"/>
      <c r="H35" s="443"/>
      <c r="I35" s="434">
        <f t="shared" si="6"/>
        <v>60</v>
      </c>
      <c r="J35" s="435">
        <f t="shared" si="2"/>
        <v>1</v>
      </c>
      <c r="K35" s="444" t="s">
        <v>94</v>
      </c>
      <c r="L35" s="444" t="s">
        <v>351</v>
      </c>
      <c r="M35" s="137"/>
      <c r="N35" s="445">
        <v>370</v>
      </c>
      <c r="O35" s="438">
        <f t="shared" si="1"/>
        <v>54.658752982373471</v>
      </c>
      <c r="P35" s="935">
        <v>90502</v>
      </c>
      <c r="Q35" s="119"/>
      <c r="R35" s="224">
        <v>70140</v>
      </c>
      <c r="S35" s="439">
        <v>60.1</v>
      </c>
      <c r="T35" s="232">
        <f t="shared" si="3"/>
        <v>444.74</v>
      </c>
      <c r="U35" s="474">
        <f t="shared" si="4"/>
        <v>0.10000000000000142</v>
      </c>
      <c r="W35" s="119"/>
      <c r="X35" s="844">
        <v>46140</v>
      </c>
      <c r="Y35" s="842">
        <v>1</v>
      </c>
      <c r="Z35" s="843">
        <v>1</v>
      </c>
      <c r="AA35" s="842">
        <v>2.1</v>
      </c>
      <c r="AB35" s="973">
        <v>62.1</v>
      </c>
      <c r="AC35" s="975">
        <f t="shared" si="5"/>
        <v>2</v>
      </c>
    </row>
    <row r="36" spans="1:29" hidden="1">
      <c r="A36" s="430">
        <v>46079</v>
      </c>
      <c r="B36" s="440" t="s">
        <v>350</v>
      </c>
      <c r="C36" s="441" t="s">
        <v>329</v>
      </c>
      <c r="D36" s="441" t="s">
        <v>234</v>
      </c>
      <c r="E36" s="442" t="s">
        <v>45</v>
      </c>
      <c r="F36" s="443">
        <v>13</v>
      </c>
      <c r="G36" s="443">
        <v>22</v>
      </c>
      <c r="H36" s="443"/>
      <c r="I36" s="434">
        <f t="shared" si="6"/>
        <v>802</v>
      </c>
      <c r="J36" s="435">
        <f t="shared" si="2"/>
        <v>13.366666666666667</v>
      </c>
      <c r="K36" s="444" t="s">
        <v>60</v>
      </c>
      <c r="L36" s="444" t="s">
        <v>1030</v>
      </c>
      <c r="M36" s="137"/>
      <c r="N36" s="445">
        <v>300</v>
      </c>
      <c r="O36" s="438">
        <f t="shared" si="1"/>
        <v>-8.8442543386161674</v>
      </c>
      <c r="P36" s="935">
        <v>90510</v>
      </c>
      <c r="Q36" s="119"/>
      <c r="R36" s="224">
        <v>70141</v>
      </c>
      <c r="S36" s="439">
        <v>804.5</v>
      </c>
      <c r="T36" s="232">
        <f t="shared" si="3"/>
        <v>4827</v>
      </c>
      <c r="U36" s="474">
        <f t="shared" si="4"/>
        <v>2.5</v>
      </c>
      <c r="W36" s="119"/>
      <c r="X36" s="844">
        <v>46140</v>
      </c>
      <c r="Y36" s="842">
        <v>14</v>
      </c>
      <c r="Z36" s="843">
        <v>13</v>
      </c>
      <c r="AA36" s="842">
        <v>37.4</v>
      </c>
      <c r="AB36" s="973">
        <v>817.4</v>
      </c>
      <c r="AC36" s="975">
        <f t="shared" si="5"/>
        <v>12.899999999999977</v>
      </c>
    </row>
    <row r="37" spans="1:29" hidden="1">
      <c r="A37" s="430">
        <v>46079</v>
      </c>
      <c r="B37" s="431" t="s">
        <v>350</v>
      </c>
      <c r="C37" s="432" t="s">
        <v>327</v>
      </c>
      <c r="D37" s="432" t="s">
        <v>1043</v>
      </c>
      <c r="E37" s="433" t="s">
        <v>45</v>
      </c>
      <c r="F37" s="434">
        <v>5</v>
      </c>
      <c r="G37" s="434">
        <v>47</v>
      </c>
      <c r="H37" s="434"/>
      <c r="I37" s="434">
        <f t="shared" si="6"/>
        <v>347</v>
      </c>
      <c r="J37" s="435">
        <f t="shared" si="2"/>
        <v>5.7833333333333332</v>
      </c>
      <c r="K37" s="436" t="s">
        <v>54</v>
      </c>
      <c r="L37" s="436" t="s">
        <v>354</v>
      </c>
      <c r="M37" s="119"/>
      <c r="N37" s="445">
        <v>300</v>
      </c>
      <c r="O37" s="438">
        <f t="shared" si="1"/>
        <v>-8.8442543386161674</v>
      </c>
      <c r="P37" s="935">
        <v>90468</v>
      </c>
      <c r="Q37" s="119"/>
      <c r="R37" s="224">
        <v>70142</v>
      </c>
      <c r="S37" s="439">
        <v>345.9</v>
      </c>
      <c r="T37" s="232">
        <f t="shared" si="3"/>
        <v>2075.4</v>
      </c>
      <c r="U37" s="474">
        <f t="shared" si="4"/>
        <v>-1.1000000000000227</v>
      </c>
      <c r="W37" s="119"/>
      <c r="X37" s="844">
        <v>46154</v>
      </c>
      <c r="Y37" s="845">
        <v>6</v>
      </c>
      <c r="Z37" s="845">
        <v>5</v>
      </c>
      <c r="AA37" s="845">
        <v>53.6</v>
      </c>
      <c r="AB37" s="974">
        <v>353.6</v>
      </c>
      <c r="AC37" s="975">
        <f t="shared" si="5"/>
        <v>7.7000000000000455</v>
      </c>
    </row>
    <row r="38" spans="1:29" hidden="1">
      <c r="A38" s="430">
        <v>46079</v>
      </c>
      <c r="B38" s="440" t="s">
        <v>350</v>
      </c>
      <c r="C38" s="441" t="s">
        <v>323</v>
      </c>
      <c r="D38" s="441" t="s">
        <v>235</v>
      </c>
      <c r="E38" s="442" t="s">
        <v>45</v>
      </c>
      <c r="F38" s="443">
        <v>13</v>
      </c>
      <c r="G38" s="443">
        <v>58</v>
      </c>
      <c r="H38" s="443"/>
      <c r="I38" s="434"/>
      <c r="J38" s="435">
        <f t="shared" si="2"/>
        <v>0</v>
      </c>
      <c r="K38" s="444" t="s">
        <v>54</v>
      </c>
      <c r="L38" s="444" t="s">
        <v>354</v>
      </c>
      <c r="M38" s="137"/>
      <c r="N38" s="445">
        <v>300</v>
      </c>
      <c r="O38" s="438">
        <f t="shared" si="1"/>
        <v>-8.8442543386161674</v>
      </c>
      <c r="P38" s="935">
        <v>90468</v>
      </c>
      <c r="Q38" s="119"/>
      <c r="R38" s="224">
        <v>70143</v>
      </c>
      <c r="S38" s="439">
        <v>835.6</v>
      </c>
      <c r="T38" s="232">
        <f t="shared" si="3"/>
        <v>5013.5999999999995</v>
      </c>
      <c r="U38" s="474">
        <f t="shared" si="4"/>
        <v>835.6</v>
      </c>
      <c r="W38" s="119"/>
      <c r="X38" s="844">
        <v>46140</v>
      </c>
      <c r="Y38" s="842">
        <v>14</v>
      </c>
      <c r="Z38" s="843">
        <v>13</v>
      </c>
      <c r="AA38" s="842">
        <v>57.4</v>
      </c>
      <c r="AB38" s="973">
        <v>837.4</v>
      </c>
      <c r="AC38" s="975">
        <f t="shared" si="5"/>
        <v>1.7999999999999545</v>
      </c>
    </row>
    <row r="39" spans="1:29" hidden="1">
      <c r="A39" s="430">
        <v>46079</v>
      </c>
      <c r="B39" s="440" t="s">
        <v>350</v>
      </c>
      <c r="C39" s="441" t="s">
        <v>322</v>
      </c>
      <c r="D39" s="441" t="s">
        <v>1044</v>
      </c>
      <c r="E39" s="442" t="s">
        <v>45</v>
      </c>
      <c r="F39" s="443">
        <v>4</v>
      </c>
      <c r="G39" s="443">
        <v>38</v>
      </c>
      <c r="H39" s="443"/>
      <c r="I39" s="434">
        <f t="shared" ref="I39:I51" si="7">F39*60+G39</f>
        <v>278</v>
      </c>
      <c r="J39" s="435">
        <f t="shared" si="2"/>
        <v>4.6333333333333337</v>
      </c>
      <c r="K39" s="444" t="s">
        <v>60</v>
      </c>
      <c r="L39" s="444" t="s">
        <v>1030</v>
      </c>
      <c r="M39" s="137"/>
      <c r="N39" s="445">
        <v>300</v>
      </c>
      <c r="O39" s="438">
        <f t="shared" si="1"/>
        <v>-8.8442543386161674</v>
      </c>
      <c r="P39" s="935">
        <v>90510</v>
      </c>
      <c r="Q39" s="119"/>
      <c r="R39" s="224">
        <v>70144</v>
      </c>
      <c r="S39" s="439">
        <v>277.39999999999998</v>
      </c>
      <c r="T39" s="232">
        <f t="shared" si="3"/>
        <v>1664.3999999999999</v>
      </c>
      <c r="U39" s="474">
        <f t="shared" si="4"/>
        <v>-0.60000000000002274</v>
      </c>
      <c r="W39" s="119"/>
      <c r="X39" s="844">
        <v>46140</v>
      </c>
      <c r="Y39" s="842">
        <v>5</v>
      </c>
      <c r="Z39" s="843">
        <v>4</v>
      </c>
      <c r="AA39" s="842">
        <v>40.5</v>
      </c>
      <c r="AB39" s="973">
        <v>280.5</v>
      </c>
      <c r="AC39" s="975">
        <f t="shared" si="5"/>
        <v>3.1000000000000227</v>
      </c>
    </row>
    <row r="40" spans="1:29" hidden="1">
      <c r="A40" s="430">
        <v>46079</v>
      </c>
      <c r="B40" s="431" t="s">
        <v>350</v>
      </c>
      <c r="C40" s="432" t="s">
        <v>225</v>
      </c>
      <c r="D40" s="432" t="s">
        <v>358</v>
      </c>
      <c r="E40" s="433" t="s">
        <v>46</v>
      </c>
      <c r="F40" s="434">
        <v>1</v>
      </c>
      <c r="G40" s="434">
        <v>41</v>
      </c>
      <c r="H40" s="434"/>
      <c r="I40" s="434">
        <f t="shared" si="7"/>
        <v>101</v>
      </c>
      <c r="J40" s="435">
        <f t="shared" si="2"/>
        <v>1.6833333333333333</v>
      </c>
      <c r="K40" s="436" t="s">
        <v>356</v>
      </c>
      <c r="L40" s="436" t="s">
        <v>354</v>
      </c>
      <c r="M40" s="119"/>
      <c r="N40" s="137">
        <v>242</v>
      </c>
      <c r="O40" s="438">
        <f t="shared" si="1"/>
        <v>-61.461031833150372</v>
      </c>
      <c r="P40" s="935">
        <v>90468</v>
      </c>
      <c r="Q40" s="119"/>
      <c r="R40" s="224">
        <v>70146</v>
      </c>
      <c r="S40" s="439">
        <v>101</v>
      </c>
      <c r="T40" s="232">
        <f t="shared" si="3"/>
        <v>488.84</v>
      </c>
      <c r="U40" s="474">
        <f t="shared" si="4"/>
        <v>0</v>
      </c>
      <c r="W40" s="119"/>
      <c r="X40" s="844">
        <v>46140</v>
      </c>
      <c r="Y40" s="842">
        <v>3</v>
      </c>
      <c r="Z40" s="843">
        <v>1</v>
      </c>
      <c r="AA40" s="842">
        <v>40.299999999999997</v>
      </c>
      <c r="AB40" s="973">
        <v>100.3</v>
      </c>
      <c r="AC40" s="975">
        <f t="shared" si="5"/>
        <v>-0.70000000000000284</v>
      </c>
    </row>
    <row r="41" spans="1:29" hidden="1">
      <c r="A41" s="430">
        <v>46079</v>
      </c>
      <c r="B41" s="431" t="s">
        <v>350</v>
      </c>
      <c r="C41" s="432" t="s">
        <v>1017</v>
      </c>
      <c r="D41" s="432" t="s">
        <v>240</v>
      </c>
      <c r="E41" s="433" t="s">
        <v>45</v>
      </c>
      <c r="F41" s="434">
        <v>8</v>
      </c>
      <c r="G41" s="434">
        <v>31</v>
      </c>
      <c r="H41" s="434"/>
      <c r="I41" s="434">
        <f t="shared" si="7"/>
        <v>511</v>
      </c>
      <c r="J41" s="435">
        <f t="shared" si="2"/>
        <v>8.5166666666666675</v>
      </c>
      <c r="K41" s="436" t="s">
        <v>54</v>
      </c>
      <c r="L41" s="436" t="s">
        <v>354</v>
      </c>
      <c r="M41" s="119"/>
      <c r="N41" s="445">
        <v>300</v>
      </c>
      <c r="O41" s="438">
        <f t="shared" si="1"/>
        <v>-8.8442543386161674</v>
      </c>
      <c r="P41" s="935">
        <v>90468</v>
      </c>
      <c r="Q41" s="119"/>
      <c r="R41" s="224">
        <v>70147</v>
      </c>
      <c r="S41" s="439">
        <v>511.8</v>
      </c>
      <c r="T41" s="232">
        <f t="shared" si="3"/>
        <v>3070.7999999999997</v>
      </c>
      <c r="U41" s="474">
        <f t="shared" si="4"/>
        <v>0.80000000000001137</v>
      </c>
      <c r="W41" s="119"/>
      <c r="X41" s="844">
        <v>46141</v>
      </c>
      <c r="Y41" s="842">
        <v>9</v>
      </c>
      <c r="Z41" s="843">
        <v>8</v>
      </c>
      <c r="AA41" s="842">
        <v>37.9</v>
      </c>
      <c r="AB41" s="973">
        <v>517.9</v>
      </c>
      <c r="AC41" s="975">
        <f t="shared" si="5"/>
        <v>6.0999999999999659</v>
      </c>
    </row>
    <row r="42" spans="1:29" hidden="1">
      <c r="A42" s="430">
        <v>46079</v>
      </c>
      <c r="B42" s="440" t="s">
        <v>350</v>
      </c>
      <c r="C42" s="441" t="s">
        <v>321</v>
      </c>
      <c r="D42" s="441" t="s">
        <v>242</v>
      </c>
      <c r="E42" s="442" t="s">
        <v>45</v>
      </c>
      <c r="F42" s="443">
        <v>12</v>
      </c>
      <c r="G42" s="443">
        <v>24</v>
      </c>
      <c r="H42" s="443"/>
      <c r="I42" s="434">
        <f t="shared" si="7"/>
        <v>744</v>
      </c>
      <c r="J42" s="435">
        <f t="shared" si="2"/>
        <v>12.4</v>
      </c>
      <c r="K42" s="444" t="s">
        <v>56</v>
      </c>
      <c r="L42" s="444" t="s">
        <v>354</v>
      </c>
      <c r="M42" s="137"/>
      <c r="N42" s="445">
        <v>300</v>
      </c>
      <c r="O42" s="438">
        <f t="shared" si="1"/>
        <v>-8.8442543386161674</v>
      </c>
      <c r="P42" s="935">
        <v>90468</v>
      </c>
      <c r="Q42" s="119"/>
      <c r="R42" s="224">
        <v>70148</v>
      </c>
      <c r="S42" s="439">
        <v>744.7</v>
      </c>
      <c r="T42" s="232">
        <f t="shared" si="3"/>
        <v>4468.2</v>
      </c>
      <c r="U42" s="474">
        <f t="shared" si="4"/>
        <v>0.70000000000004547</v>
      </c>
      <c r="W42" s="119"/>
      <c r="X42" s="844">
        <v>46140</v>
      </c>
      <c r="Y42" s="842">
        <v>13</v>
      </c>
      <c r="Z42" s="843">
        <v>12</v>
      </c>
      <c r="AA42" s="842">
        <v>23.3</v>
      </c>
      <c r="AB42" s="973">
        <v>743.3</v>
      </c>
      <c r="AC42" s="975">
        <f t="shared" si="5"/>
        <v>-1.4000000000000909</v>
      </c>
    </row>
    <row r="43" spans="1:29" hidden="1">
      <c r="A43" s="430">
        <v>46079</v>
      </c>
      <c r="B43" s="440" t="s">
        <v>350</v>
      </c>
      <c r="C43" s="441" t="s">
        <v>229</v>
      </c>
      <c r="D43" s="441" t="s">
        <v>359</v>
      </c>
      <c r="E43" s="442" t="s">
        <v>44</v>
      </c>
      <c r="F43" s="443">
        <v>10</v>
      </c>
      <c r="G43" s="443">
        <v>47</v>
      </c>
      <c r="H43" s="443"/>
      <c r="I43" s="434">
        <f t="shared" si="7"/>
        <v>647</v>
      </c>
      <c r="J43" s="435">
        <f t="shared" si="2"/>
        <v>10.783333333333333</v>
      </c>
      <c r="K43" s="444" t="s">
        <v>94</v>
      </c>
      <c r="L43" s="444" t="s">
        <v>351</v>
      </c>
      <c r="M43" s="137"/>
      <c r="N43" s="437">
        <v>355</v>
      </c>
      <c r="O43" s="438">
        <f t="shared" si="1"/>
        <v>41.050965699304186</v>
      </c>
      <c r="P43" s="935">
        <v>90502</v>
      </c>
      <c r="Q43" s="119"/>
      <c r="R43" s="224">
        <v>70149</v>
      </c>
      <c r="S43" s="439">
        <v>647.29999999999995</v>
      </c>
      <c r="T43" s="232">
        <f t="shared" si="3"/>
        <v>4595.83</v>
      </c>
      <c r="U43" s="474">
        <f t="shared" si="4"/>
        <v>0.29999999999995453</v>
      </c>
      <c r="W43" s="119"/>
      <c r="X43" s="844">
        <v>46140</v>
      </c>
      <c r="Y43" s="842">
        <v>11</v>
      </c>
      <c r="Z43" s="843">
        <v>10</v>
      </c>
      <c r="AA43" s="842">
        <v>48.1</v>
      </c>
      <c r="AB43" s="973">
        <v>648.1</v>
      </c>
      <c r="AC43" s="975">
        <f t="shared" si="5"/>
        <v>0.80000000000006821</v>
      </c>
    </row>
    <row r="44" spans="1:29" hidden="1">
      <c r="A44" s="430">
        <v>46079</v>
      </c>
      <c r="B44" s="431" t="s">
        <v>350</v>
      </c>
      <c r="C44" s="432" t="s">
        <v>229</v>
      </c>
      <c r="D44" s="432" t="s">
        <v>234</v>
      </c>
      <c r="E44" s="433" t="s">
        <v>46</v>
      </c>
      <c r="F44" s="434">
        <v>3</v>
      </c>
      <c r="G44" s="434">
        <v>16</v>
      </c>
      <c r="H44" s="434"/>
      <c r="I44" s="434">
        <f t="shared" si="7"/>
        <v>196</v>
      </c>
      <c r="J44" s="435">
        <f t="shared" si="2"/>
        <v>3.2666666666666666</v>
      </c>
      <c r="K44" s="436" t="s">
        <v>59</v>
      </c>
      <c r="L44" s="444" t="s">
        <v>1030</v>
      </c>
      <c r="M44" s="119"/>
      <c r="N44" s="137">
        <v>242</v>
      </c>
      <c r="O44" s="438">
        <f t="shared" si="1"/>
        <v>-61.461031833150372</v>
      </c>
      <c r="P44" s="935">
        <v>90510</v>
      </c>
      <c r="Q44" s="119"/>
      <c r="R44" s="224">
        <v>70150</v>
      </c>
      <c r="S44" s="439">
        <v>180.9</v>
      </c>
      <c r="T44" s="232">
        <f t="shared" si="3"/>
        <v>875.55599999999993</v>
      </c>
      <c r="U44" s="474">
        <f t="shared" si="4"/>
        <v>-15.099999999999994</v>
      </c>
      <c r="W44" s="119"/>
      <c r="X44" s="844">
        <v>46140</v>
      </c>
      <c r="Y44" s="842">
        <v>4</v>
      </c>
      <c r="Z44" s="843">
        <v>3</v>
      </c>
      <c r="AA44" s="842">
        <v>16.399999999999999</v>
      </c>
      <c r="AB44" s="973">
        <v>196.4</v>
      </c>
      <c r="AC44" s="975">
        <f t="shared" si="5"/>
        <v>15.5</v>
      </c>
    </row>
    <row r="45" spans="1:29" hidden="1">
      <c r="A45" s="430">
        <v>46079</v>
      </c>
      <c r="B45" s="440" t="s">
        <v>350</v>
      </c>
      <c r="C45" s="441" t="s">
        <v>317</v>
      </c>
      <c r="D45" s="441" t="s">
        <v>235</v>
      </c>
      <c r="E45" s="442" t="s">
        <v>45</v>
      </c>
      <c r="F45" s="443">
        <v>13</v>
      </c>
      <c r="G45" s="443">
        <v>63</v>
      </c>
      <c r="H45" s="443"/>
      <c r="I45" s="434">
        <f t="shared" si="7"/>
        <v>843</v>
      </c>
      <c r="J45" s="435">
        <f t="shared" si="2"/>
        <v>14.05</v>
      </c>
      <c r="K45" s="444" t="s">
        <v>54</v>
      </c>
      <c r="L45" s="444" t="s">
        <v>354</v>
      </c>
      <c r="M45" s="137"/>
      <c r="N45" s="445">
        <v>300</v>
      </c>
      <c r="O45" s="438">
        <f t="shared" si="1"/>
        <v>-8.8442543386161674</v>
      </c>
      <c r="P45" s="935">
        <v>90468</v>
      </c>
      <c r="Q45" s="119"/>
      <c r="R45" s="224">
        <v>70154</v>
      </c>
      <c r="S45" s="439">
        <v>845.9</v>
      </c>
      <c r="T45" s="232">
        <f t="shared" si="3"/>
        <v>5075.3999999999996</v>
      </c>
      <c r="U45" s="474">
        <f t="shared" si="4"/>
        <v>2.8999999999999773</v>
      </c>
      <c r="W45" s="119"/>
      <c r="X45" s="844">
        <v>46140</v>
      </c>
      <c r="Y45" s="842">
        <v>14</v>
      </c>
      <c r="Z45" s="843">
        <v>14</v>
      </c>
      <c r="AA45" s="842">
        <v>13.4</v>
      </c>
      <c r="AB45" s="973">
        <v>853.4</v>
      </c>
      <c r="AC45" s="975">
        <f t="shared" si="5"/>
        <v>7.5</v>
      </c>
    </row>
    <row r="46" spans="1:29" hidden="1">
      <c r="A46" s="430">
        <v>46079</v>
      </c>
      <c r="B46" s="440" t="s">
        <v>350</v>
      </c>
      <c r="C46" s="441" t="s">
        <v>313</v>
      </c>
      <c r="D46" s="441" t="s">
        <v>240</v>
      </c>
      <c r="E46" s="442" t="s">
        <v>45</v>
      </c>
      <c r="F46" s="443">
        <v>14</v>
      </c>
      <c r="G46" s="443">
        <v>23</v>
      </c>
      <c r="H46" s="443"/>
      <c r="I46" s="434">
        <f t="shared" si="7"/>
        <v>863</v>
      </c>
      <c r="J46" s="435">
        <f t="shared" si="2"/>
        <v>14.383333333333333</v>
      </c>
      <c r="K46" s="444" t="s">
        <v>54</v>
      </c>
      <c r="L46" s="444" t="s">
        <v>354</v>
      </c>
      <c r="M46" s="137"/>
      <c r="N46" s="445">
        <v>300</v>
      </c>
      <c r="O46" s="438">
        <f t="shared" si="1"/>
        <v>-8.8442543386161674</v>
      </c>
      <c r="P46" s="935">
        <v>90468</v>
      </c>
      <c r="Q46" s="119"/>
      <c r="R46" s="224">
        <v>70155</v>
      </c>
      <c r="S46" s="439">
        <v>863.8</v>
      </c>
      <c r="T46" s="232">
        <f t="shared" si="3"/>
        <v>5182.8</v>
      </c>
      <c r="U46" s="474">
        <f t="shared" si="4"/>
        <v>0.79999999999995453</v>
      </c>
      <c r="W46" s="119"/>
      <c r="X46" s="844">
        <v>46140</v>
      </c>
      <c r="Y46" s="842">
        <v>15</v>
      </c>
      <c r="Z46" s="843">
        <v>14</v>
      </c>
      <c r="AA46" s="842">
        <v>35.5</v>
      </c>
      <c r="AB46" s="973">
        <v>875.5</v>
      </c>
      <c r="AC46" s="975">
        <f t="shared" si="5"/>
        <v>11.700000000000045</v>
      </c>
    </row>
    <row r="47" spans="1:29" hidden="1">
      <c r="A47" s="430">
        <v>46079</v>
      </c>
      <c r="B47" s="431" t="s">
        <v>350</v>
      </c>
      <c r="C47" s="432" t="s">
        <v>313</v>
      </c>
      <c r="D47" s="432" t="s">
        <v>1045</v>
      </c>
      <c r="E47" s="433" t="s">
        <v>44</v>
      </c>
      <c r="F47" s="434">
        <v>6</v>
      </c>
      <c r="G47" s="434">
        <v>10</v>
      </c>
      <c r="H47" s="434"/>
      <c r="I47" s="434">
        <f t="shared" si="7"/>
        <v>370</v>
      </c>
      <c r="J47" s="435">
        <f t="shared" si="2"/>
        <v>6.166666666666667</v>
      </c>
      <c r="K47" s="436" t="s">
        <v>45</v>
      </c>
      <c r="L47" s="436" t="s">
        <v>354</v>
      </c>
      <c r="M47" s="119"/>
      <c r="N47" s="437">
        <v>320</v>
      </c>
      <c r="O47" s="438">
        <f t="shared" si="1"/>
        <v>9.2994620388094518</v>
      </c>
      <c r="P47" s="935">
        <v>90468</v>
      </c>
      <c r="Q47" s="119"/>
      <c r="R47" s="224">
        <v>70156</v>
      </c>
      <c r="S47" s="439">
        <v>371.1</v>
      </c>
      <c r="T47" s="232">
        <f t="shared" si="3"/>
        <v>2375.0400000000004</v>
      </c>
      <c r="U47" s="474">
        <f t="shared" si="4"/>
        <v>1.1000000000000227</v>
      </c>
      <c r="W47" s="119"/>
      <c r="X47" s="844">
        <v>46140</v>
      </c>
      <c r="Y47" s="842">
        <v>7</v>
      </c>
      <c r="Z47" s="843">
        <v>6</v>
      </c>
      <c r="AA47" s="842">
        <v>14.7</v>
      </c>
      <c r="AB47" s="973">
        <v>374.7</v>
      </c>
      <c r="AC47" s="975">
        <f t="shared" si="5"/>
        <v>3.5999999999999659</v>
      </c>
    </row>
    <row r="48" spans="1:29" hidden="1">
      <c r="A48" s="430">
        <v>46079</v>
      </c>
      <c r="B48" s="440" t="s">
        <v>350</v>
      </c>
      <c r="C48" s="441" t="s">
        <v>311</v>
      </c>
      <c r="D48" s="441" t="s">
        <v>1046</v>
      </c>
      <c r="E48" s="442" t="s">
        <v>45</v>
      </c>
      <c r="F48" s="443">
        <v>15</v>
      </c>
      <c r="G48" s="443"/>
      <c r="H48" s="443"/>
      <c r="I48" s="434">
        <f t="shared" si="7"/>
        <v>900</v>
      </c>
      <c r="J48" s="435">
        <f t="shared" si="2"/>
        <v>15</v>
      </c>
      <c r="K48" s="444" t="s">
        <v>54</v>
      </c>
      <c r="L48" s="444" t="s">
        <v>354</v>
      </c>
      <c r="M48" s="137"/>
      <c r="N48" s="445">
        <v>300</v>
      </c>
      <c r="O48" s="438">
        <f t="shared" si="1"/>
        <v>-8.8442543386161674</v>
      </c>
      <c r="P48" s="935">
        <v>90468</v>
      </c>
      <c r="Q48" s="119"/>
      <c r="R48" s="224">
        <v>70157</v>
      </c>
      <c r="S48" s="439">
        <v>904.1</v>
      </c>
      <c r="T48" s="232">
        <f t="shared" si="3"/>
        <v>5424.5999999999995</v>
      </c>
      <c r="U48" s="474">
        <f t="shared" si="4"/>
        <v>4.1000000000000227</v>
      </c>
      <c r="W48" s="119"/>
      <c r="X48" s="844">
        <v>46140</v>
      </c>
      <c r="Y48" s="842">
        <v>15</v>
      </c>
      <c r="Z48" s="843">
        <v>15</v>
      </c>
      <c r="AA48" s="842">
        <v>12.5</v>
      </c>
      <c r="AB48" s="973">
        <v>912.5</v>
      </c>
      <c r="AC48" s="975">
        <f t="shared" si="5"/>
        <v>8.3999999999999773</v>
      </c>
    </row>
    <row r="49" spans="1:29" hidden="1">
      <c r="A49" s="430">
        <v>46079</v>
      </c>
      <c r="B49" s="440" t="s">
        <v>350</v>
      </c>
      <c r="C49" s="441" t="s">
        <v>360</v>
      </c>
      <c r="D49" s="441" t="s">
        <v>233</v>
      </c>
      <c r="E49" s="442" t="s">
        <v>42</v>
      </c>
      <c r="F49" s="443">
        <v>45</v>
      </c>
      <c r="G49" s="443">
        <v>34</v>
      </c>
      <c r="H49" s="443"/>
      <c r="I49" s="434">
        <f t="shared" si="7"/>
        <v>2734</v>
      </c>
      <c r="J49" s="435">
        <f t="shared" si="2"/>
        <v>45.56666666666667</v>
      </c>
      <c r="K49" s="444" t="s">
        <v>89</v>
      </c>
      <c r="L49" s="444" t="s">
        <v>351</v>
      </c>
      <c r="M49" s="137"/>
      <c r="N49" s="445">
        <v>370</v>
      </c>
      <c r="O49" s="438">
        <f t="shared" si="1"/>
        <v>54.658752982373471</v>
      </c>
      <c r="P49" s="935">
        <v>90502</v>
      </c>
      <c r="Q49" s="119"/>
      <c r="R49" s="224">
        <v>70158</v>
      </c>
      <c r="S49" s="439">
        <v>2752.5</v>
      </c>
      <c r="T49" s="232">
        <f t="shared" si="3"/>
        <v>20368.5</v>
      </c>
      <c r="U49" s="474">
        <f t="shared" si="4"/>
        <v>18.5</v>
      </c>
      <c r="W49" s="119"/>
      <c r="X49" s="844">
        <v>46140</v>
      </c>
      <c r="Y49" s="842">
        <v>46</v>
      </c>
      <c r="Z49" s="843">
        <v>46</v>
      </c>
      <c r="AA49" s="842">
        <v>13.6</v>
      </c>
      <c r="AB49" s="973">
        <v>2773.6</v>
      </c>
      <c r="AC49" s="975">
        <f t="shared" si="5"/>
        <v>21.099999999999909</v>
      </c>
    </row>
    <row r="50" spans="1:29" hidden="1">
      <c r="A50" s="430">
        <v>46079</v>
      </c>
      <c r="B50" s="440" t="s">
        <v>350</v>
      </c>
      <c r="C50" s="441" t="s">
        <v>360</v>
      </c>
      <c r="D50" s="441" t="s">
        <v>233</v>
      </c>
      <c r="E50" s="442" t="s">
        <v>43</v>
      </c>
      <c r="F50" s="443">
        <v>56</v>
      </c>
      <c r="G50" s="443">
        <v>45</v>
      </c>
      <c r="H50" s="443"/>
      <c r="I50" s="434">
        <f t="shared" si="7"/>
        <v>3405</v>
      </c>
      <c r="J50" s="435">
        <f t="shared" si="2"/>
        <v>56.75</v>
      </c>
      <c r="K50" s="444" t="s">
        <v>89</v>
      </c>
      <c r="L50" s="444" t="s">
        <v>351</v>
      </c>
      <c r="M50" s="137"/>
      <c r="N50" s="437">
        <v>355</v>
      </c>
      <c r="O50" s="438">
        <f t="shared" si="1"/>
        <v>41.050965699304186</v>
      </c>
      <c r="P50" s="935">
        <v>90502</v>
      </c>
      <c r="Q50" s="119"/>
      <c r="R50" s="224">
        <v>70159</v>
      </c>
      <c r="S50" s="439">
        <v>3425.8</v>
      </c>
      <c r="T50" s="232">
        <f t="shared" si="3"/>
        <v>24323.180000000004</v>
      </c>
      <c r="U50" s="474">
        <f t="shared" si="4"/>
        <v>20.800000000000182</v>
      </c>
      <c r="W50" s="119"/>
      <c r="X50" s="844">
        <v>46140</v>
      </c>
      <c r="Y50" s="842">
        <v>57</v>
      </c>
      <c r="Z50" s="843">
        <v>57</v>
      </c>
      <c r="AA50" s="842">
        <v>30.7</v>
      </c>
      <c r="AB50" s="973">
        <v>3450.7</v>
      </c>
      <c r="AC50" s="975">
        <f t="shared" si="5"/>
        <v>24.899999999999636</v>
      </c>
    </row>
    <row r="51" spans="1:29" hidden="1">
      <c r="A51" s="430">
        <v>46079</v>
      </c>
      <c r="B51" s="440" t="s">
        <v>350</v>
      </c>
      <c r="C51" s="441" t="s">
        <v>360</v>
      </c>
      <c r="D51" s="441" t="s">
        <v>233</v>
      </c>
      <c r="E51" s="442" t="s">
        <v>45</v>
      </c>
      <c r="F51" s="443">
        <v>13</v>
      </c>
      <c r="G51" s="443"/>
      <c r="H51" s="443"/>
      <c r="I51" s="434">
        <f t="shared" si="7"/>
        <v>780</v>
      </c>
      <c r="J51" s="435">
        <f t="shared" si="2"/>
        <v>13</v>
      </c>
      <c r="K51" s="444" t="s">
        <v>54</v>
      </c>
      <c r="L51" s="444" t="s">
        <v>354</v>
      </c>
      <c r="M51" s="137"/>
      <c r="N51" s="445">
        <v>300</v>
      </c>
      <c r="O51" s="438">
        <f t="shared" si="1"/>
        <v>-8.8442543386161674</v>
      </c>
      <c r="P51" s="935">
        <v>90468</v>
      </c>
      <c r="Q51" s="119"/>
      <c r="R51" s="224">
        <v>70160</v>
      </c>
      <c r="S51" s="439">
        <v>781.3</v>
      </c>
      <c r="T51" s="232">
        <f t="shared" si="3"/>
        <v>4687.8</v>
      </c>
      <c r="U51" s="474">
        <f t="shared" si="4"/>
        <v>1.2999999999999545</v>
      </c>
      <c r="W51" s="119"/>
      <c r="X51" s="844">
        <v>46140</v>
      </c>
      <c r="Y51" s="842">
        <v>13</v>
      </c>
      <c r="Z51" s="843">
        <v>13</v>
      </c>
      <c r="AA51" s="842">
        <v>12.3</v>
      </c>
      <c r="AB51" s="973">
        <v>792.3</v>
      </c>
      <c r="AC51" s="975">
        <f t="shared" si="5"/>
        <v>11</v>
      </c>
    </row>
    <row r="52" spans="1:29" hidden="1">
      <c r="A52" s="430"/>
      <c r="B52" s="440"/>
      <c r="C52" s="441"/>
      <c r="D52" s="441"/>
      <c r="E52" s="442"/>
      <c r="F52" s="443"/>
      <c r="G52" s="443"/>
      <c r="H52" s="443"/>
      <c r="I52" s="1048">
        <f>SUM(I42:I51)</f>
        <v>11482</v>
      </c>
      <c r="J52" s="435"/>
      <c r="K52" s="444"/>
      <c r="L52" s="444"/>
      <c r="M52" s="137"/>
      <c r="N52" s="445"/>
      <c r="O52" s="438"/>
      <c r="P52" s="935"/>
      <c r="Q52" s="119"/>
      <c r="R52" s="224"/>
      <c r="S52" s="439"/>
      <c r="T52" s="232"/>
      <c r="U52" s="474"/>
      <c r="V52" s="116">
        <f>SUM(V42:V51)</f>
        <v>0</v>
      </c>
      <c r="W52" s="119"/>
      <c r="X52" s="844"/>
      <c r="Y52" s="842"/>
      <c r="Z52" s="843"/>
      <c r="AA52" s="842"/>
      <c r="AB52" s="973"/>
      <c r="AC52" s="975"/>
    </row>
    <row r="53" spans="1:29" hidden="1">
      <c r="A53" s="430"/>
      <c r="B53" s="440"/>
      <c r="C53" s="441"/>
      <c r="D53" s="441"/>
      <c r="E53" s="442"/>
      <c r="F53" s="443"/>
      <c r="G53" s="443"/>
      <c r="H53" s="443"/>
      <c r="I53" s="1048">
        <f>I52/60</f>
        <v>191.36666666666667</v>
      </c>
      <c r="J53" s="435"/>
      <c r="K53" s="444"/>
      <c r="L53" s="444"/>
      <c r="M53" s="137"/>
      <c r="N53" s="445"/>
      <c r="O53" s="438"/>
      <c r="P53" s="935"/>
      <c r="Q53" s="119"/>
      <c r="R53" s="224"/>
      <c r="S53" s="439"/>
      <c r="T53" s="232"/>
      <c r="U53" s="474"/>
      <c r="W53" s="119"/>
      <c r="X53" s="844"/>
      <c r="Y53" s="842"/>
      <c r="Z53" s="843"/>
      <c r="AA53" s="842"/>
      <c r="AB53" s="973"/>
      <c r="AC53" s="975"/>
    </row>
    <row r="54" spans="1:29" hidden="1">
      <c r="A54" s="430">
        <v>46079</v>
      </c>
      <c r="B54" s="440" t="s">
        <v>350</v>
      </c>
      <c r="C54" s="441" t="s">
        <v>211</v>
      </c>
      <c r="D54" s="441" t="s">
        <v>235</v>
      </c>
      <c r="E54" s="442" t="s">
        <v>45</v>
      </c>
      <c r="F54" s="443">
        <v>12</v>
      </c>
      <c r="G54" s="443">
        <v>65</v>
      </c>
      <c r="H54" s="443"/>
      <c r="I54" s="434">
        <f>F54*60+G54</f>
        <v>785</v>
      </c>
      <c r="J54" s="435">
        <f>+I54/60</f>
        <v>13.083333333333334</v>
      </c>
      <c r="K54" s="444" t="s">
        <v>54</v>
      </c>
      <c r="L54" s="444" t="s">
        <v>354</v>
      </c>
      <c r="M54" s="137"/>
      <c r="N54" s="445">
        <v>300</v>
      </c>
      <c r="O54" s="438">
        <f>(N54/50/2.20462)*100-$Q$1</f>
        <v>-8.8442543386161674</v>
      </c>
      <c r="P54" s="935">
        <v>90468</v>
      </c>
      <c r="Q54" s="119"/>
      <c r="R54" s="224">
        <v>70152</v>
      </c>
      <c r="S54" s="439">
        <v>785.4</v>
      </c>
      <c r="T54" s="232">
        <f>(S54/60*N54)*1.2</f>
        <v>4712.3999999999996</v>
      </c>
      <c r="U54" s="474">
        <f>S54-I54</f>
        <v>0.39999999999997726</v>
      </c>
      <c r="W54" s="119"/>
      <c r="X54" s="844">
        <v>46140</v>
      </c>
      <c r="Y54" s="842">
        <v>13</v>
      </c>
      <c r="Z54" s="843">
        <v>13</v>
      </c>
      <c r="AA54" s="842">
        <v>18.3</v>
      </c>
      <c r="AB54" s="973">
        <v>798.3</v>
      </c>
      <c r="AC54" s="975">
        <f>AB54-S54</f>
        <v>12.899999999999977</v>
      </c>
    </row>
    <row r="55" spans="1:29" hidden="1">
      <c r="A55" s="430">
        <v>46079</v>
      </c>
      <c r="B55" s="440" t="s">
        <v>350</v>
      </c>
      <c r="C55" s="441" t="s">
        <v>207</v>
      </c>
      <c r="D55" s="441" t="s">
        <v>1032</v>
      </c>
      <c r="E55" s="442" t="s">
        <v>42</v>
      </c>
      <c r="F55" s="443">
        <v>103</v>
      </c>
      <c r="G55" s="443">
        <v>29</v>
      </c>
      <c r="H55" s="443"/>
      <c r="I55" s="434">
        <f>F55*60+G55</f>
        <v>6209</v>
      </c>
      <c r="J55" s="435">
        <f>+I55/60</f>
        <v>103.48333333333333</v>
      </c>
      <c r="K55" s="444" t="s">
        <v>94</v>
      </c>
      <c r="L55" s="444" t="s">
        <v>351</v>
      </c>
      <c r="M55" s="137"/>
      <c r="N55" s="445">
        <v>370</v>
      </c>
      <c r="O55" s="438">
        <f>(N55/50/2.20462)*100-$Q$1</f>
        <v>54.658752982373471</v>
      </c>
      <c r="P55" s="935">
        <v>90502</v>
      </c>
      <c r="Q55" s="119"/>
      <c r="R55" s="224">
        <v>70153</v>
      </c>
      <c r="S55" s="439">
        <v>6214.9</v>
      </c>
      <c r="T55" s="232">
        <f>(S55/60*N55)*1.2</f>
        <v>45990.26</v>
      </c>
      <c r="U55" s="474">
        <f>S55-I55</f>
        <v>5.8999999999996362</v>
      </c>
      <c r="W55" s="119"/>
      <c r="X55" s="844">
        <v>46136</v>
      </c>
      <c r="Y55" s="842">
        <v>104</v>
      </c>
      <c r="Z55" s="843">
        <v>104</v>
      </c>
      <c r="AA55" s="842">
        <v>28.4</v>
      </c>
      <c r="AB55" s="973">
        <v>6268.4</v>
      </c>
      <c r="AC55" s="975">
        <f>AB55-S55</f>
        <v>53.5</v>
      </c>
    </row>
    <row r="56" spans="1:29" hidden="1">
      <c r="A56" s="430">
        <v>46079</v>
      </c>
      <c r="B56" s="440" t="s">
        <v>350</v>
      </c>
      <c r="C56" s="441" t="s">
        <v>308</v>
      </c>
      <c r="D56" s="441" t="s">
        <v>361</v>
      </c>
      <c r="E56" s="442" t="s">
        <v>45</v>
      </c>
      <c r="F56" s="443">
        <v>10</v>
      </c>
      <c r="G56" s="443">
        <v>15</v>
      </c>
      <c r="H56" s="443"/>
      <c r="I56" s="1048">
        <f>SUM(I54:I55)</f>
        <v>6994</v>
      </c>
      <c r="J56" s="435">
        <f t="shared" si="2"/>
        <v>116.56666666666666</v>
      </c>
      <c r="K56" s="444" t="s">
        <v>60</v>
      </c>
      <c r="L56" s="444" t="s">
        <v>1030</v>
      </c>
      <c r="M56" s="137"/>
      <c r="N56" s="445">
        <v>300</v>
      </c>
      <c r="O56" s="438">
        <f t="shared" si="1"/>
        <v>-8.8442543386161674</v>
      </c>
      <c r="P56" s="935">
        <v>90510</v>
      </c>
      <c r="Q56" s="119"/>
      <c r="R56" s="224">
        <v>70163</v>
      </c>
      <c r="S56" s="439">
        <v>615.4</v>
      </c>
      <c r="T56" s="232">
        <f t="shared" si="3"/>
        <v>3692.3999999999996</v>
      </c>
      <c r="U56" s="474">
        <f t="shared" si="4"/>
        <v>-6378.6</v>
      </c>
      <c r="V56" s="116">
        <f>SUM(V54:V55)</f>
        <v>0</v>
      </c>
      <c r="W56" s="119"/>
      <c r="X56" s="844">
        <v>46140</v>
      </c>
      <c r="Y56" s="842">
        <v>11</v>
      </c>
      <c r="Z56" s="843">
        <v>10</v>
      </c>
      <c r="AA56" s="842">
        <v>15.1</v>
      </c>
      <c r="AB56" s="973">
        <v>615.1</v>
      </c>
      <c r="AC56" s="975">
        <f t="shared" si="5"/>
        <v>-0.29999999999995453</v>
      </c>
    </row>
    <row r="57" spans="1:29" hidden="1">
      <c r="A57" s="430">
        <v>46079</v>
      </c>
      <c r="B57" s="446" t="s">
        <v>350</v>
      </c>
      <c r="C57" s="205" t="s">
        <v>362</v>
      </c>
      <c r="D57" s="204" t="s">
        <v>271</v>
      </c>
      <c r="E57" s="447" t="s">
        <v>45</v>
      </c>
      <c r="F57" s="448">
        <v>24</v>
      </c>
      <c r="G57" s="448">
        <v>39</v>
      </c>
      <c r="H57" s="448"/>
      <c r="I57" s="1057">
        <f>I56/60</f>
        <v>116.56666666666666</v>
      </c>
      <c r="J57" s="435">
        <f t="shared" si="2"/>
        <v>1.9427777777777777</v>
      </c>
      <c r="K57" s="449" t="s">
        <v>54</v>
      </c>
      <c r="L57" s="450" t="s">
        <v>354</v>
      </c>
      <c r="M57" s="451"/>
      <c r="N57" s="445">
        <v>300</v>
      </c>
      <c r="O57" s="438">
        <f t="shared" si="1"/>
        <v>-8.8442543386161674</v>
      </c>
      <c r="P57" s="935">
        <v>90468</v>
      </c>
      <c r="Q57" s="119"/>
      <c r="R57" s="224">
        <v>70164</v>
      </c>
      <c r="S57" s="439">
        <v>1472.8</v>
      </c>
      <c r="T57" s="232">
        <f t="shared" si="3"/>
        <v>8836.7999999999993</v>
      </c>
      <c r="U57" s="474">
        <f t="shared" si="4"/>
        <v>1356.2333333333333</v>
      </c>
      <c r="W57" s="119"/>
      <c r="X57" s="844">
        <v>46140</v>
      </c>
      <c r="Y57" s="842">
        <v>25</v>
      </c>
      <c r="Z57" s="843">
        <v>24</v>
      </c>
      <c r="AA57" s="842">
        <v>43.5</v>
      </c>
      <c r="AB57" s="973">
        <v>1483.5</v>
      </c>
      <c r="AC57" s="975">
        <f t="shared" si="5"/>
        <v>10.700000000000045</v>
      </c>
    </row>
    <row r="58" spans="1:29" hidden="1">
      <c r="A58" s="430">
        <v>46079</v>
      </c>
      <c r="B58" s="446" t="s">
        <v>350</v>
      </c>
      <c r="C58" s="205" t="s">
        <v>362</v>
      </c>
      <c r="D58" s="204" t="s">
        <v>271</v>
      </c>
      <c r="E58" s="447" t="s">
        <v>43</v>
      </c>
      <c r="F58" s="448">
        <v>110</v>
      </c>
      <c r="G58" s="448">
        <v>16</v>
      </c>
      <c r="H58" s="448"/>
      <c r="I58" s="434">
        <f>F58*60+G58</f>
        <v>6616</v>
      </c>
      <c r="J58" s="435">
        <f t="shared" si="2"/>
        <v>110.26666666666667</v>
      </c>
      <c r="K58" s="449" t="s">
        <v>94</v>
      </c>
      <c r="L58" s="450" t="s">
        <v>351</v>
      </c>
      <c r="M58" s="451"/>
      <c r="N58" s="437">
        <v>355</v>
      </c>
      <c r="O58" s="438">
        <f t="shared" si="1"/>
        <v>41.050965699304186</v>
      </c>
      <c r="P58" s="935">
        <v>90502</v>
      </c>
      <c r="Q58" s="119"/>
      <c r="R58" s="224">
        <v>70165</v>
      </c>
      <c r="S58" s="439">
        <v>6614</v>
      </c>
      <c r="T58" s="232">
        <f t="shared" si="3"/>
        <v>46959.4</v>
      </c>
      <c r="U58" s="474">
        <f t="shared" si="4"/>
        <v>-2</v>
      </c>
      <c r="W58" s="119"/>
      <c r="X58" s="844">
        <v>46140</v>
      </c>
      <c r="Y58" s="842">
        <v>111</v>
      </c>
      <c r="Z58" s="843">
        <v>110</v>
      </c>
      <c r="AA58" s="842">
        <v>31.1</v>
      </c>
      <c r="AB58" s="973">
        <v>6631.1</v>
      </c>
      <c r="AC58" s="975">
        <f t="shared" si="5"/>
        <v>17.100000000000364</v>
      </c>
    </row>
    <row r="59" spans="1:29" hidden="1">
      <c r="A59" s="430">
        <v>46079</v>
      </c>
      <c r="B59" s="440" t="s">
        <v>350</v>
      </c>
      <c r="C59" s="452" t="s">
        <v>362</v>
      </c>
      <c r="D59" s="453" t="s">
        <v>271</v>
      </c>
      <c r="E59" s="454" t="s">
        <v>44</v>
      </c>
      <c r="F59" s="455">
        <v>14</v>
      </c>
      <c r="G59" s="455">
        <v>41</v>
      </c>
      <c r="H59" s="455"/>
      <c r="I59" s="434">
        <f>F59*60+G59</f>
        <v>881</v>
      </c>
      <c r="J59" s="435">
        <f t="shared" si="2"/>
        <v>14.683333333333334</v>
      </c>
      <c r="K59" s="449" t="s">
        <v>94</v>
      </c>
      <c r="L59" s="450" t="s">
        <v>351</v>
      </c>
      <c r="M59" s="456"/>
      <c r="N59" s="437">
        <v>355</v>
      </c>
      <c r="O59" s="438">
        <f t="shared" si="1"/>
        <v>41.050965699304186</v>
      </c>
      <c r="P59" s="935">
        <v>90502</v>
      </c>
      <c r="Q59" s="119"/>
      <c r="R59" s="224">
        <v>70166</v>
      </c>
      <c r="S59" s="439">
        <v>873</v>
      </c>
      <c r="T59" s="232">
        <f t="shared" si="3"/>
        <v>6198.3</v>
      </c>
      <c r="U59" s="474">
        <f t="shared" si="4"/>
        <v>-8</v>
      </c>
      <c r="W59" s="119"/>
      <c r="X59" s="844">
        <v>46140</v>
      </c>
      <c r="Y59" s="842">
        <v>15</v>
      </c>
      <c r="Z59" s="843">
        <v>14</v>
      </c>
      <c r="AA59" s="842">
        <v>39.5</v>
      </c>
      <c r="AB59" s="973">
        <v>879.5</v>
      </c>
      <c r="AC59" s="975">
        <f t="shared" si="5"/>
        <v>6.5</v>
      </c>
    </row>
    <row r="60" spans="1:29" hidden="1">
      <c r="A60" s="430">
        <v>46079</v>
      </c>
      <c r="B60" s="440" t="s">
        <v>350</v>
      </c>
      <c r="C60" s="452" t="s">
        <v>362</v>
      </c>
      <c r="D60" s="453" t="s">
        <v>271</v>
      </c>
      <c r="E60" s="454" t="s">
        <v>42</v>
      </c>
      <c r="F60" s="455">
        <v>96</v>
      </c>
      <c r="G60" s="1077">
        <v>28</v>
      </c>
      <c r="H60" s="1077"/>
      <c r="I60" s="1078">
        <f>F60*60+G60</f>
        <v>5788</v>
      </c>
      <c r="J60" s="1079">
        <f t="shared" si="2"/>
        <v>96.466666666666669</v>
      </c>
      <c r="K60" s="1080" t="s">
        <v>94</v>
      </c>
      <c r="L60" s="450" t="s">
        <v>351</v>
      </c>
      <c r="M60" s="456"/>
      <c r="N60" s="445">
        <v>370</v>
      </c>
      <c r="O60" s="438">
        <f t="shared" si="1"/>
        <v>54.658752982373471</v>
      </c>
      <c r="P60" s="935">
        <v>90502</v>
      </c>
      <c r="Q60" s="119"/>
      <c r="R60" s="224">
        <v>70167</v>
      </c>
      <c r="S60" s="439">
        <v>5794.6</v>
      </c>
      <c r="T60" s="232">
        <f t="shared" si="3"/>
        <v>42880.04</v>
      </c>
      <c r="U60" s="474">
        <f t="shared" si="4"/>
        <v>6.6000000000003638</v>
      </c>
      <c r="W60" s="119"/>
      <c r="X60" s="844">
        <v>46136</v>
      </c>
      <c r="Y60" s="842">
        <v>97</v>
      </c>
      <c r="Z60" s="843">
        <v>97</v>
      </c>
      <c r="AA60" s="842">
        <v>10.7</v>
      </c>
      <c r="AB60" s="973">
        <v>5830.7</v>
      </c>
      <c r="AC60" s="975">
        <f t="shared" si="5"/>
        <v>36.099999999999454</v>
      </c>
    </row>
    <row r="61" spans="1:29" hidden="1">
      <c r="A61" s="430">
        <v>46079</v>
      </c>
      <c r="B61" s="440" t="s">
        <v>350</v>
      </c>
      <c r="C61" s="441" t="s">
        <v>362</v>
      </c>
      <c r="D61" s="441" t="s">
        <v>236</v>
      </c>
      <c r="E61" s="442" t="s">
        <v>46</v>
      </c>
      <c r="F61" s="1062">
        <v>3</v>
      </c>
      <c r="G61" s="444">
        <v>38</v>
      </c>
      <c r="H61" s="444"/>
      <c r="I61" s="436" t="s">
        <v>1372</v>
      </c>
      <c r="J61" s="1107" t="s">
        <v>1373</v>
      </c>
      <c r="K61" s="444" t="s">
        <v>1374</v>
      </c>
      <c r="L61" s="1070" t="s">
        <v>354</v>
      </c>
      <c r="M61" s="137"/>
      <c r="N61" s="137">
        <v>242</v>
      </c>
      <c r="O61" s="438">
        <f t="shared" si="1"/>
        <v>-61.461031833150372</v>
      </c>
      <c r="P61" s="935">
        <v>90468</v>
      </c>
      <c r="Q61" s="119"/>
      <c r="R61" s="224">
        <v>70168</v>
      </c>
      <c r="S61" s="439">
        <v>210.9</v>
      </c>
      <c r="T61" s="232">
        <f t="shared" si="3"/>
        <v>1020.756</v>
      </c>
      <c r="U61" s="474" t="e">
        <f t="shared" si="4"/>
        <v>#VALUE!</v>
      </c>
      <c r="W61" s="119"/>
      <c r="X61" s="844">
        <v>46140</v>
      </c>
      <c r="Y61" s="842">
        <v>4</v>
      </c>
      <c r="Z61" s="843">
        <v>3</v>
      </c>
      <c r="AA61" s="842">
        <v>32.4</v>
      </c>
      <c r="AB61" s="973">
        <v>212.4</v>
      </c>
      <c r="AC61" s="975">
        <f t="shared" si="5"/>
        <v>1.5</v>
      </c>
    </row>
    <row r="62" spans="1:29" hidden="1">
      <c r="A62" s="430">
        <v>46079</v>
      </c>
      <c r="B62" s="446" t="s">
        <v>350</v>
      </c>
      <c r="C62" s="205" t="s">
        <v>307</v>
      </c>
      <c r="D62" s="204" t="s">
        <v>265</v>
      </c>
      <c r="E62" s="447" t="s">
        <v>45</v>
      </c>
      <c r="F62" s="1063">
        <v>30</v>
      </c>
      <c r="G62" s="208" t="s">
        <v>354</v>
      </c>
      <c r="H62" s="208"/>
      <c r="I62" s="436">
        <v>30087</v>
      </c>
      <c r="J62" s="1107">
        <v>30223.7</v>
      </c>
      <c r="K62" s="449">
        <v>30163</v>
      </c>
      <c r="L62" s="1071" t="s">
        <v>354</v>
      </c>
      <c r="M62" s="451"/>
      <c r="N62" s="445">
        <v>300</v>
      </c>
      <c r="O62" s="438">
        <f t="shared" si="1"/>
        <v>-8.8442543386161674</v>
      </c>
      <c r="P62" s="935">
        <v>90468</v>
      </c>
      <c r="Q62" s="119"/>
      <c r="R62" s="224">
        <v>70169</v>
      </c>
      <c r="S62" s="439">
        <v>1824.6</v>
      </c>
      <c r="T62" s="232">
        <f t="shared" si="3"/>
        <v>10947.6</v>
      </c>
      <c r="U62" s="474">
        <f t="shared" si="4"/>
        <v>-28262.400000000001</v>
      </c>
      <c r="W62" s="119"/>
      <c r="X62" s="844">
        <v>46140</v>
      </c>
      <c r="Y62" s="842">
        <v>31</v>
      </c>
      <c r="Z62" s="843">
        <v>30</v>
      </c>
      <c r="AA62" s="842">
        <v>39.1</v>
      </c>
      <c r="AB62" s="973">
        <v>1839.1</v>
      </c>
      <c r="AC62" s="975">
        <f t="shared" si="5"/>
        <v>14.5</v>
      </c>
    </row>
    <row r="63" spans="1:29" hidden="1">
      <c r="A63" s="430">
        <v>46079</v>
      </c>
      <c r="B63" s="440" t="s">
        <v>350</v>
      </c>
      <c r="C63" s="452" t="s">
        <v>307</v>
      </c>
      <c r="D63" s="453" t="s">
        <v>265</v>
      </c>
      <c r="E63" s="454" t="s">
        <v>44</v>
      </c>
      <c r="F63" s="1064">
        <v>14</v>
      </c>
      <c r="G63" s="1108" t="s">
        <v>856</v>
      </c>
      <c r="H63" s="1108"/>
      <c r="I63" s="436">
        <v>88</v>
      </c>
      <c r="J63" s="1107">
        <v>88</v>
      </c>
      <c r="K63" s="449">
        <v>89</v>
      </c>
      <c r="L63" s="1071" t="s">
        <v>351</v>
      </c>
      <c r="M63" s="456"/>
      <c r="N63" s="437">
        <v>355</v>
      </c>
      <c r="O63" s="438">
        <f t="shared" si="1"/>
        <v>41.050965699304186</v>
      </c>
      <c r="P63" s="935">
        <v>90502</v>
      </c>
      <c r="Q63" s="119"/>
      <c r="R63" s="224">
        <v>70171</v>
      </c>
      <c r="S63" s="439">
        <v>878.9</v>
      </c>
      <c r="T63" s="232">
        <f t="shared" si="3"/>
        <v>6240.1900000000005</v>
      </c>
      <c r="U63" s="474">
        <f t="shared" si="4"/>
        <v>790.9</v>
      </c>
      <c r="W63" s="119"/>
      <c r="X63" s="844">
        <v>46154</v>
      </c>
      <c r="Y63" s="845">
        <v>15</v>
      </c>
      <c r="Z63" s="845">
        <v>14</v>
      </c>
      <c r="AA63" s="845">
        <v>49.5</v>
      </c>
      <c r="AB63" s="974">
        <v>889.5</v>
      </c>
      <c r="AC63" s="975">
        <f t="shared" si="5"/>
        <v>10.600000000000023</v>
      </c>
    </row>
    <row r="64" spans="1:29" hidden="1">
      <c r="A64" s="430">
        <v>46079</v>
      </c>
      <c r="B64" s="440" t="s">
        <v>350</v>
      </c>
      <c r="C64" s="441" t="s">
        <v>307</v>
      </c>
      <c r="D64" s="441" t="s">
        <v>1048</v>
      </c>
      <c r="E64" s="442" t="s">
        <v>46</v>
      </c>
      <c r="F64" s="443">
        <v>3</v>
      </c>
      <c r="G64" s="1091">
        <v>53</v>
      </c>
      <c r="H64" s="1091"/>
      <c r="I64" s="1092">
        <f>F64*60+G64</f>
        <v>233</v>
      </c>
      <c r="J64" s="1093">
        <f t="shared" si="2"/>
        <v>3.8833333333333333</v>
      </c>
      <c r="K64" s="1094" t="s">
        <v>356</v>
      </c>
      <c r="L64" s="444" t="s">
        <v>354</v>
      </c>
      <c r="M64" s="137"/>
      <c r="N64" s="137">
        <v>242</v>
      </c>
      <c r="O64" s="438">
        <f t="shared" si="1"/>
        <v>-61.461031833150372</v>
      </c>
      <c r="P64" s="935">
        <v>90468</v>
      </c>
      <c r="Q64" s="119"/>
      <c r="R64" s="224">
        <v>70173</v>
      </c>
      <c r="S64" s="439">
        <v>232.4</v>
      </c>
      <c r="T64" s="232">
        <f t="shared" si="3"/>
        <v>1124.816</v>
      </c>
      <c r="U64" s="474">
        <f t="shared" si="4"/>
        <v>-0.59999999999999432</v>
      </c>
      <c r="W64" s="119"/>
      <c r="X64" s="844">
        <v>46140</v>
      </c>
      <c r="Y64" s="842">
        <v>4</v>
      </c>
      <c r="Z64" s="843">
        <v>3</v>
      </c>
      <c r="AA64" s="842">
        <v>51.4</v>
      </c>
      <c r="AB64" s="973">
        <v>231.4</v>
      </c>
      <c r="AC64" s="975">
        <f t="shared" si="5"/>
        <v>-1</v>
      </c>
    </row>
    <row r="65" spans="1:29" hidden="1">
      <c r="A65" s="430">
        <v>46079</v>
      </c>
      <c r="B65" s="440" t="s">
        <v>350</v>
      </c>
      <c r="C65" s="441" t="s">
        <v>306</v>
      </c>
      <c r="D65" s="441" t="s">
        <v>235</v>
      </c>
      <c r="E65" s="442" t="s">
        <v>45</v>
      </c>
      <c r="F65" s="443">
        <v>9</v>
      </c>
      <c r="G65" s="443">
        <v>13</v>
      </c>
      <c r="H65" s="443"/>
      <c r="I65" s="434">
        <f>F65*60+G65</f>
        <v>553</v>
      </c>
      <c r="J65" s="435">
        <f t="shared" si="2"/>
        <v>9.2166666666666668</v>
      </c>
      <c r="K65" s="444" t="s">
        <v>56</v>
      </c>
      <c r="L65" s="444" t="s">
        <v>354</v>
      </c>
      <c r="M65" s="137"/>
      <c r="N65" s="445">
        <v>300</v>
      </c>
      <c r="O65" s="438">
        <f t="shared" si="1"/>
        <v>-8.8442543386161674</v>
      </c>
      <c r="P65" s="935">
        <v>90468</v>
      </c>
      <c r="Q65" s="119"/>
      <c r="R65" s="224">
        <v>70174</v>
      </c>
      <c r="S65" s="439">
        <v>551.29999999999995</v>
      </c>
      <c r="T65" s="232">
        <f t="shared" si="3"/>
        <v>3307.7999999999997</v>
      </c>
      <c r="U65" s="474">
        <f t="shared" si="4"/>
        <v>-1.7000000000000455</v>
      </c>
      <c r="W65" s="119"/>
      <c r="X65" s="844">
        <v>46140</v>
      </c>
      <c r="Y65" s="842">
        <v>10</v>
      </c>
      <c r="Z65" s="843">
        <v>9</v>
      </c>
      <c r="AA65" s="842">
        <v>16</v>
      </c>
      <c r="AB65" s="973">
        <v>556</v>
      </c>
      <c r="AC65" s="975">
        <f t="shared" si="5"/>
        <v>4.7000000000000455</v>
      </c>
    </row>
    <row r="66" spans="1:29" hidden="1">
      <c r="A66" s="430">
        <v>46079</v>
      </c>
      <c r="B66" s="431" t="s">
        <v>350</v>
      </c>
      <c r="C66" s="432" t="s">
        <v>306</v>
      </c>
      <c r="D66" s="432" t="s">
        <v>235</v>
      </c>
      <c r="E66" s="433" t="s">
        <v>44</v>
      </c>
      <c r="F66" s="434">
        <v>6</v>
      </c>
      <c r="G66" s="434">
        <v>13</v>
      </c>
      <c r="H66" s="434"/>
      <c r="I66" s="434">
        <f>F66*60+G66</f>
        <v>373</v>
      </c>
      <c r="J66" s="435">
        <f t="shared" si="2"/>
        <v>6.2166666666666668</v>
      </c>
      <c r="K66" s="436" t="s">
        <v>45</v>
      </c>
      <c r="L66" s="436" t="s">
        <v>354</v>
      </c>
      <c r="M66" s="119"/>
      <c r="N66" s="437">
        <v>320</v>
      </c>
      <c r="O66" s="438">
        <f t="shared" ref="O66:O129" si="8">(N66/50/2.20462)*100-$Q$1</f>
        <v>9.2994620388094518</v>
      </c>
      <c r="P66" s="935">
        <v>90468</v>
      </c>
      <c r="Q66" s="119"/>
      <c r="R66" s="224">
        <v>70175</v>
      </c>
      <c r="S66" s="439">
        <v>407.9</v>
      </c>
      <c r="T66" s="232">
        <f t="shared" si="3"/>
        <v>2610.56</v>
      </c>
      <c r="U66" s="474">
        <f t="shared" si="4"/>
        <v>34.899999999999977</v>
      </c>
      <c r="W66" s="119"/>
      <c r="X66" s="844">
        <v>46140</v>
      </c>
      <c r="Y66" s="842">
        <v>7</v>
      </c>
      <c r="Z66" s="843">
        <v>6</v>
      </c>
      <c r="AA66" s="842">
        <v>51.7</v>
      </c>
      <c r="AB66" s="973">
        <v>411.7</v>
      </c>
      <c r="AC66" s="975">
        <f t="shared" si="5"/>
        <v>3.8000000000000114</v>
      </c>
    </row>
    <row r="67" spans="1:29" hidden="1">
      <c r="A67" s="430">
        <v>46079</v>
      </c>
      <c r="B67" s="446" t="s">
        <v>350</v>
      </c>
      <c r="C67" s="205" t="s">
        <v>363</v>
      </c>
      <c r="D67" s="204" t="s">
        <v>1049</v>
      </c>
      <c r="E67" s="447" t="s">
        <v>43</v>
      </c>
      <c r="F67" s="448">
        <v>10</v>
      </c>
      <c r="G67" s="448">
        <v>7</v>
      </c>
      <c r="H67" s="448"/>
      <c r="I67" s="434">
        <f t="shared" ref="I67:I130" si="9">F67*60+G67</f>
        <v>607</v>
      </c>
      <c r="J67" s="435">
        <f t="shared" ref="J67:J130" si="10">+I67/60</f>
        <v>10.116666666666667</v>
      </c>
      <c r="K67" s="449" t="s">
        <v>57</v>
      </c>
      <c r="L67" s="450" t="s">
        <v>354</v>
      </c>
      <c r="M67" s="451"/>
      <c r="N67" s="437">
        <v>320</v>
      </c>
      <c r="O67" s="438">
        <f t="shared" si="8"/>
        <v>9.2994620388094518</v>
      </c>
      <c r="P67" s="935">
        <v>90468</v>
      </c>
      <c r="Q67" s="119"/>
      <c r="R67" s="224">
        <v>70176</v>
      </c>
      <c r="S67" s="439">
        <v>604.20000000000005</v>
      </c>
      <c r="T67" s="232">
        <f t="shared" ref="T67:T130" si="11">(S67/60*N67)*1.2</f>
        <v>3866.88</v>
      </c>
      <c r="U67" s="474">
        <f t="shared" ref="U67:U130" si="12">S67-I67</f>
        <v>-2.7999999999999545</v>
      </c>
      <c r="W67" s="119"/>
      <c r="X67" s="844">
        <v>46154</v>
      </c>
      <c r="Y67" s="845">
        <v>10</v>
      </c>
      <c r="Z67" s="845">
        <v>10</v>
      </c>
      <c r="AA67" s="845">
        <v>10</v>
      </c>
      <c r="AB67" s="974">
        <v>610</v>
      </c>
      <c r="AC67" s="975">
        <f t="shared" ref="AC67:AC130" si="13">AB67-S67</f>
        <v>5.7999999999999545</v>
      </c>
    </row>
    <row r="68" spans="1:29" hidden="1">
      <c r="A68" s="430">
        <v>46079</v>
      </c>
      <c r="B68" s="440" t="s">
        <v>350</v>
      </c>
      <c r="C68" s="452" t="s">
        <v>363</v>
      </c>
      <c r="D68" s="453" t="s">
        <v>1049</v>
      </c>
      <c r="E68" s="454" t="s">
        <v>42</v>
      </c>
      <c r="F68" s="455">
        <v>11</v>
      </c>
      <c r="G68" s="455">
        <v>42</v>
      </c>
      <c r="H68" s="455"/>
      <c r="I68" s="434">
        <f t="shared" si="9"/>
        <v>702</v>
      </c>
      <c r="J68" s="435">
        <f t="shared" si="10"/>
        <v>11.7</v>
      </c>
      <c r="K68" s="449" t="s">
        <v>57</v>
      </c>
      <c r="L68" s="450" t="s">
        <v>354</v>
      </c>
      <c r="M68" s="456"/>
      <c r="N68" s="457">
        <v>332</v>
      </c>
      <c r="O68" s="438">
        <f t="shared" si="8"/>
        <v>20.185691865264744</v>
      </c>
      <c r="P68" s="935">
        <v>90468</v>
      </c>
      <c r="Q68" s="119"/>
      <c r="R68" s="224">
        <v>70177</v>
      </c>
      <c r="S68" s="439">
        <v>700.9</v>
      </c>
      <c r="T68" s="232">
        <f t="shared" si="11"/>
        <v>4653.9759999999997</v>
      </c>
      <c r="U68" s="474">
        <f t="shared" si="12"/>
        <v>-1.1000000000000227</v>
      </c>
      <c r="W68" s="119"/>
      <c r="X68" s="844">
        <v>46140</v>
      </c>
      <c r="Y68" s="842">
        <v>12</v>
      </c>
      <c r="Z68" s="843">
        <v>11</v>
      </c>
      <c r="AA68" s="842">
        <v>45.2</v>
      </c>
      <c r="AB68" s="973">
        <v>705.2</v>
      </c>
      <c r="AC68" s="975">
        <f t="shared" si="13"/>
        <v>4.3000000000000682</v>
      </c>
    </row>
    <row r="69" spans="1:29" hidden="1">
      <c r="A69" s="430">
        <v>46079</v>
      </c>
      <c r="B69" s="431" t="s">
        <v>350</v>
      </c>
      <c r="C69" s="432" t="s">
        <v>363</v>
      </c>
      <c r="D69" s="432" t="s">
        <v>1050</v>
      </c>
      <c r="E69" s="433" t="s">
        <v>45</v>
      </c>
      <c r="F69" s="434">
        <v>3</v>
      </c>
      <c r="G69" s="434">
        <v>13</v>
      </c>
      <c r="H69" s="434"/>
      <c r="I69" s="434">
        <f t="shared" si="9"/>
        <v>193</v>
      </c>
      <c r="J69" s="435">
        <f t="shared" si="10"/>
        <v>3.2166666666666668</v>
      </c>
      <c r="K69" s="436" t="s">
        <v>59</v>
      </c>
      <c r="L69" s="444" t="s">
        <v>1030</v>
      </c>
      <c r="M69" s="119"/>
      <c r="N69" s="445">
        <v>300</v>
      </c>
      <c r="O69" s="438">
        <f t="shared" si="8"/>
        <v>-8.8442543386161674</v>
      </c>
      <c r="P69" s="935">
        <v>90510</v>
      </c>
      <c r="Q69" s="119"/>
      <c r="R69" s="224">
        <v>70178</v>
      </c>
      <c r="S69" s="439">
        <v>192.9</v>
      </c>
      <c r="T69" s="232">
        <f t="shared" si="11"/>
        <v>1157.4000000000001</v>
      </c>
      <c r="U69" s="474">
        <f t="shared" si="12"/>
        <v>-9.9999999999994316E-2</v>
      </c>
      <c r="W69" s="119"/>
      <c r="X69" s="844">
        <v>46154</v>
      </c>
      <c r="Y69" s="845">
        <v>4</v>
      </c>
      <c r="Z69" s="845">
        <v>3</v>
      </c>
      <c r="AA69" s="845">
        <v>16.399999999999999</v>
      </c>
      <c r="AB69" s="974">
        <v>196.4</v>
      </c>
      <c r="AC69" s="975">
        <f t="shared" si="13"/>
        <v>3.5</v>
      </c>
    </row>
    <row r="70" spans="1:29" hidden="1">
      <c r="A70" s="430">
        <v>46079</v>
      </c>
      <c r="B70" s="431" t="s">
        <v>350</v>
      </c>
      <c r="C70" s="432" t="s">
        <v>304</v>
      </c>
      <c r="D70" s="432" t="s">
        <v>241</v>
      </c>
      <c r="E70" s="433" t="s">
        <v>45</v>
      </c>
      <c r="F70" s="434">
        <v>10</v>
      </c>
      <c r="G70" s="434">
        <v>42</v>
      </c>
      <c r="H70" s="434"/>
      <c r="I70" s="434">
        <f t="shared" si="9"/>
        <v>642</v>
      </c>
      <c r="J70" s="435">
        <f t="shared" si="10"/>
        <v>10.7</v>
      </c>
      <c r="K70" s="436" t="s">
        <v>56</v>
      </c>
      <c r="L70" s="436" t="s">
        <v>354</v>
      </c>
      <c r="M70" s="119"/>
      <c r="N70" s="445">
        <v>300</v>
      </c>
      <c r="O70" s="438">
        <f t="shared" si="8"/>
        <v>-8.8442543386161674</v>
      </c>
      <c r="P70" s="935">
        <v>90468</v>
      </c>
      <c r="Q70" s="119"/>
      <c r="R70" s="224">
        <v>70181</v>
      </c>
      <c r="S70" s="439">
        <v>637</v>
      </c>
      <c r="T70" s="232">
        <f t="shared" si="11"/>
        <v>3822</v>
      </c>
      <c r="U70" s="474">
        <f t="shared" si="12"/>
        <v>-5</v>
      </c>
      <c r="W70" s="119"/>
      <c r="X70" s="844">
        <v>46140</v>
      </c>
      <c r="Y70" s="842">
        <v>11</v>
      </c>
      <c r="Z70" s="843">
        <v>10</v>
      </c>
      <c r="AA70" s="842">
        <v>36.1</v>
      </c>
      <c r="AB70" s="973">
        <v>636.1</v>
      </c>
      <c r="AC70" s="975">
        <f t="shared" si="13"/>
        <v>-0.89999999999997726</v>
      </c>
    </row>
    <row r="71" spans="1:29" hidden="1">
      <c r="A71" s="430">
        <v>46079</v>
      </c>
      <c r="B71" s="446" t="s">
        <v>350</v>
      </c>
      <c r="C71" s="205" t="s">
        <v>364</v>
      </c>
      <c r="D71" s="204" t="s">
        <v>271</v>
      </c>
      <c r="E71" s="447" t="s">
        <v>45</v>
      </c>
      <c r="F71" s="448">
        <v>23</v>
      </c>
      <c r="G71" s="448">
        <v>30</v>
      </c>
      <c r="H71" s="448"/>
      <c r="I71" s="434">
        <f t="shared" si="9"/>
        <v>1410</v>
      </c>
      <c r="J71" s="435">
        <f t="shared" si="10"/>
        <v>23.5</v>
      </c>
      <c r="K71" s="449" t="s">
        <v>54</v>
      </c>
      <c r="L71" s="450" t="s">
        <v>354</v>
      </c>
      <c r="M71" s="451"/>
      <c r="N71" s="445">
        <v>300</v>
      </c>
      <c r="O71" s="438">
        <f t="shared" si="8"/>
        <v>-8.8442543386161674</v>
      </c>
      <c r="P71" s="935">
        <v>90468</v>
      </c>
      <c r="Q71" s="119"/>
      <c r="R71" s="224">
        <v>70182</v>
      </c>
      <c r="S71" s="439">
        <v>1401</v>
      </c>
      <c r="T71" s="232">
        <f t="shared" si="11"/>
        <v>8406</v>
      </c>
      <c r="U71" s="474">
        <f t="shared" si="12"/>
        <v>-9</v>
      </c>
      <c r="W71" s="119"/>
      <c r="X71" s="844">
        <v>46140</v>
      </c>
      <c r="Y71" s="842">
        <v>24</v>
      </c>
      <c r="Z71" s="843">
        <v>23</v>
      </c>
      <c r="AA71" s="842">
        <v>29.4</v>
      </c>
      <c r="AB71" s="973">
        <v>1409.4</v>
      </c>
      <c r="AC71" s="975">
        <f t="shared" si="13"/>
        <v>8.4000000000000909</v>
      </c>
    </row>
    <row r="72" spans="1:29" hidden="1">
      <c r="A72" s="430">
        <v>46079</v>
      </c>
      <c r="B72" s="440" t="s">
        <v>350</v>
      </c>
      <c r="C72" s="452" t="s">
        <v>364</v>
      </c>
      <c r="D72" s="453" t="s">
        <v>271</v>
      </c>
      <c r="E72" s="454" t="s">
        <v>43</v>
      </c>
      <c r="F72" s="455">
        <v>92</v>
      </c>
      <c r="G72" s="455">
        <v>12</v>
      </c>
      <c r="H72" s="455"/>
      <c r="I72" s="434">
        <f t="shared" si="9"/>
        <v>5532</v>
      </c>
      <c r="J72" s="435">
        <f t="shared" si="10"/>
        <v>92.2</v>
      </c>
      <c r="K72" s="449" t="s">
        <v>56</v>
      </c>
      <c r="L72" s="450" t="s">
        <v>354</v>
      </c>
      <c r="M72" s="456" t="s">
        <v>1051</v>
      </c>
      <c r="N72" s="437">
        <v>320</v>
      </c>
      <c r="O72" s="438">
        <f t="shared" si="8"/>
        <v>9.2994620388094518</v>
      </c>
      <c r="P72" s="935">
        <v>90468</v>
      </c>
      <c r="Q72" s="119"/>
      <c r="R72" s="224">
        <v>70183</v>
      </c>
      <c r="S72" s="439">
        <v>5485.1</v>
      </c>
      <c r="T72" s="232">
        <f t="shared" si="11"/>
        <v>35104.639999999999</v>
      </c>
      <c r="U72" s="474">
        <f t="shared" si="12"/>
        <v>-46.899999999999636</v>
      </c>
      <c r="W72" s="119"/>
      <c r="X72" s="844">
        <v>46140</v>
      </c>
      <c r="Y72" s="842">
        <v>93</v>
      </c>
      <c r="Z72" s="843">
        <v>92</v>
      </c>
      <c r="AA72" s="842">
        <v>7.3</v>
      </c>
      <c r="AB72" s="973">
        <v>5527.3</v>
      </c>
      <c r="AC72" s="975">
        <f t="shared" si="13"/>
        <v>42.199999999999818</v>
      </c>
    </row>
    <row r="73" spans="1:29">
      <c r="A73" s="430">
        <v>46079</v>
      </c>
      <c r="B73" s="440" t="s">
        <v>350</v>
      </c>
      <c r="C73" s="452" t="s">
        <v>364</v>
      </c>
      <c r="D73" s="453" t="s">
        <v>271</v>
      </c>
      <c r="E73" s="454" t="s">
        <v>44</v>
      </c>
      <c r="F73" s="455">
        <v>5</v>
      </c>
      <c r="G73" s="455">
        <v>54</v>
      </c>
      <c r="H73" s="455"/>
      <c r="I73" s="434">
        <f t="shared" si="9"/>
        <v>354</v>
      </c>
      <c r="J73" s="435">
        <f t="shared" si="10"/>
        <v>5.9</v>
      </c>
      <c r="K73" s="449" t="s">
        <v>94</v>
      </c>
      <c r="L73" s="450" t="s">
        <v>351</v>
      </c>
      <c r="M73" s="456"/>
      <c r="N73" s="437">
        <v>355</v>
      </c>
      <c r="O73" s="438">
        <f t="shared" si="8"/>
        <v>41.050965699304186</v>
      </c>
      <c r="P73" s="935">
        <v>90502</v>
      </c>
      <c r="Q73" s="119"/>
      <c r="R73" s="224">
        <v>70184</v>
      </c>
      <c r="S73" s="439">
        <v>349.6</v>
      </c>
      <c r="T73" s="232">
        <f t="shared" si="11"/>
        <v>2482.16</v>
      </c>
      <c r="U73" s="474">
        <f t="shared" si="12"/>
        <v>-4.3999999999999773</v>
      </c>
      <c r="W73" s="119"/>
      <c r="X73" s="844">
        <v>46140</v>
      </c>
      <c r="Y73" s="842">
        <v>6</v>
      </c>
      <c r="Z73" s="843">
        <v>5</v>
      </c>
      <c r="AA73" s="842">
        <v>51.6</v>
      </c>
      <c r="AB73" s="973">
        <v>351.6</v>
      </c>
      <c r="AC73" s="975">
        <f t="shared" si="13"/>
        <v>2</v>
      </c>
    </row>
    <row r="74" spans="1:29">
      <c r="A74" s="430">
        <v>46079</v>
      </c>
      <c r="B74" s="440" t="s">
        <v>350</v>
      </c>
      <c r="C74" s="452" t="s">
        <v>364</v>
      </c>
      <c r="D74" s="453" t="s">
        <v>271</v>
      </c>
      <c r="E74" s="454" t="s">
        <v>42</v>
      </c>
      <c r="F74" s="455">
        <v>72</v>
      </c>
      <c r="G74" s="455">
        <v>54</v>
      </c>
      <c r="H74" s="455"/>
      <c r="I74" s="434">
        <f t="shared" si="9"/>
        <v>4374</v>
      </c>
      <c r="J74" s="435">
        <f t="shared" si="10"/>
        <v>72.900000000000006</v>
      </c>
      <c r="K74" s="449" t="s">
        <v>94</v>
      </c>
      <c r="L74" s="450" t="s">
        <v>351</v>
      </c>
      <c r="M74" s="456"/>
      <c r="N74" s="445">
        <v>370</v>
      </c>
      <c r="O74" s="438">
        <f t="shared" si="8"/>
        <v>54.658752982373471</v>
      </c>
      <c r="P74" s="935">
        <v>90502</v>
      </c>
      <c r="Q74" s="119"/>
      <c r="R74" s="224">
        <v>70185</v>
      </c>
      <c r="S74" s="439">
        <v>4331.5</v>
      </c>
      <c r="T74" s="232">
        <f t="shared" si="11"/>
        <v>32053.099999999995</v>
      </c>
      <c r="U74" s="474">
        <f t="shared" si="12"/>
        <v>-42.5</v>
      </c>
      <c r="W74" s="119"/>
      <c r="X74" s="844">
        <v>46140</v>
      </c>
      <c r="Y74" s="842">
        <v>73</v>
      </c>
      <c r="Z74" s="843">
        <v>72</v>
      </c>
      <c r="AA74" s="842">
        <v>37.299999999999997</v>
      </c>
      <c r="AB74" s="973">
        <v>4357.3</v>
      </c>
      <c r="AC74" s="975">
        <f t="shared" si="13"/>
        <v>25.800000000000182</v>
      </c>
    </row>
    <row r="75" spans="1:29" hidden="1">
      <c r="A75" s="430">
        <v>46079</v>
      </c>
      <c r="B75" s="431" t="s">
        <v>350</v>
      </c>
      <c r="C75" s="432" t="s">
        <v>301</v>
      </c>
      <c r="D75" s="432" t="s">
        <v>239</v>
      </c>
      <c r="E75" s="433" t="s">
        <v>45</v>
      </c>
      <c r="F75" s="434">
        <v>19</v>
      </c>
      <c r="G75" s="434">
        <v>31</v>
      </c>
      <c r="H75" s="434"/>
      <c r="I75" s="434">
        <f t="shared" si="9"/>
        <v>1171</v>
      </c>
      <c r="J75" s="435">
        <f t="shared" si="10"/>
        <v>19.516666666666666</v>
      </c>
      <c r="K75" s="436" t="s">
        <v>54</v>
      </c>
      <c r="L75" s="436" t="s">
        <v>354</v>
      </c>
      <c r="M75" s="119"/>
      <c r="N75" s="445">
        <v>300</v>
      </c>
      <c r="O75" s="438">
        <f t="shared" si="8"/>
        <v>-8.8442543386161674</v>
      </c>
      <c r="P75" s="935">
        <v>90468</v>
      </c>
      <c r="Q75" s="119"/>
      <c r="R75" s="224">
        <v>70186</v>
      </c>
      <c r="S75" s="439">
        <v>1177.9000000000001</v>
      </c>
      <c r="T75" s="232">
        <f t="shared" si="11"/>
        <v>7067.4</v>
      </c>
      <c r="U75" s="474">
        <f t="shared" si="12"/>
        <v>6.9000000000000909</v>
      </c>
      <c r="W75" s="119"/>
      <c r="X75" s="844">
        <v>46140</v>
      </c>
      <c r="Y75" s="842">
        <v>20</v>
      </c>
      <c r="Z75" s="843">
        <v>19</v>
      </c>
      <c r="AA75" s="842">
        <v>55</v>
      </c>
      <c r="AB75" s="973">
        <v>1195</v>
      </c>
      <c r="AC75" s="975">
        <f t="shared" si="13"/>
        <v>17.099999999999909</v>
      </c>
    </row>
    <row r="76" spans="1:29" hidden="1">
      <c r="A76" s="430">
        <v>46079</v>
      </c>
      <c r="B76" s="458" t="s">
        <v>350</v>
      </c>
      <c r="C76" s="205" t="s">
        <v>365</v>
      </c>
      <c r="D76" s="459" t="s">
        <v>273</v>
      </c>
      <c r="E76" s="447" t="s">
        <v>45</v>
      </c>
      <c r="F76" s="448">
        <v>10</v>
      </c>
      <c r="G76" s="448">
        <v>65</v>
      </c>
      <c r="H76" s="1118"/>
      <c r="I76" s="460">
        <f t="shared" si="9"/>
        <v>665</v>
      </c>
      <c r="J76" s="461">
        <f t="shared" si="10"/>
        <v>11.083333333333334</v>
      </c>
      <c r="K76" s="449" t="s">
        <v>59</v>
      </c>
      <c r="L76" s="462" t="s">
        <v>1030</v>
      </c>
      <c r="M76" s="451"/>
      <c r="N76" s="463">
        <v>300</v>
      </c>
      <c r="O76" s="464">
        <f t="shared" si="8"/>
        <v>-8.8442543386161674</v>
      </c>
      <c r="P76" s="935">
        <v>90510</v>
      </c>
      <c r="Q76" s="119"/>
      <c r="R76" s="224">
        <v>70188</v>
      </c>
      <c r="S76" s="439">
        <v>661.2</v>
      </c>
      <c r="T76" s="232">
        <f t="shared" si="11"/>
        <v>3967.2000000000003</v>
      </c>
      <c r="U76" s="474">
        <f t="shared" si="12"/>
        <v>-3.7999999999999545</v>
      </c>
      <c r="W76" s="119"/>
      <c r="X76" s="844">
        <v>46140</v>
      </c>
      <c r="Y76" s="842">
        <v>11</v>
      </c>
      <c r="Z76" s="843">
        <v>11</v>
      </c>
      <c r="AA76" s="842">
        <v>2.1</v>
      </c>
      <c r="AB76" s="973">
        <v>662.1</v>
      </c>
      <c r="AC76" s="975">
        <f t="shared" si="13"/>
        <v>0.89999999999997726</v>
      </c>
    </row>
    <row r="77" spans="1:29" hidden="1">
      <c r="A77" s="430">
        <v>46079</v>
      </c>
      <c r="B77" s="465" t="s">
        <v>350</v>
      </c>
      <c r="C77" s="452" t="s">
        <v>365</v>
      </c>
      <c r="D77" s="466" t="s">
        <v>273</v>
      </c>
      <c r="E77" s="454" t="s">
        <v>43</v>
      </c>
      <c r="F77" s="455">
        <v>43</v>
      </c>
      <c r="G77" s="455">
        <v>66</v>
      </c>
      <c r="H77" s="1119"/>
      <c r="I77" s="460">
        <f t="shared" si="9"/>
        <v>2646</v>
      </c>
      <c r="J77" s="461">
        <f t="shared" si="10"/>
        <v>44.1</v>
      </c>
      <c r="K77" s="449" t="s">
        <v>45</v>
      </c>
      <c r="L77" s="450" t="s">
        <v>354</v>
      </c>
      <c r="M77" s="456"/>
      <c r="N77" s="467">
        <v>320</v>
      </c>
      <c r="O77" s="464">
        <f t="shared" si="8"/>
        <v>9.2994620388094518</v>
      </c>
      <c r="P77" s="935">
        <v>90468</v>
      </c>
      <c r="Q77" s="119"/>
      <c r="R77" s="224">
        <v>70189</v>
      </c>
      <c r="S77" s="439">
        <v>2629</v>
      </c>
      <c r="T77" s="232">
        <f t="shared" si="11"/>
        <v>16825.599999999999</v>
      </c>
      <c r="U77" s="474">
        <f t="shared" si="12"/>
        <v>-17</v>
      </c>
      <c r="W77" s="119"/>
      <c r="X77" s="844">
        <v>46140</v>
      </c>
      <c r="Y77" s="842">
        <v>44</v>
      </c>
      <c r="Z77" s="843">
        <v>44</v>
      </c>
      <c r="AA77" s="842">
        <v>7.4</v>
      </c>
      <c r="AB77" s="973">
        <v>2647.4</v>
      </c>
      <c r="AC77" s="975">
        <f t="shared" si="13"/>
        <v>18.400000000000091</v>
      </c>
    </row>
    <row r="78" spans="1:29" hidden="1">
      <c r="A78" s="430">
        <v>46079</v>
      </c>
      <c r="B78" s="465" t="s">
        <v>350</v>
      </c>
      <c r="C78" s="452" t="s">
        <v>365</v>
      </c>
      <c r="D78" s="466" t="s">
        <v>273</v>
      </c>
      <c r="E78" s="454" t="s">
        <v>42</v>
      </c>
      <c r="F78" s="455">
        <v>55</v>
      </c>
      <c r="G78" s="455">
        <v>57</v>
      </c>
      <c r="H78" s="1119"/>
      <c r="I78" s="460">
        <f t="shared" si="9"/>
        <v>3357</v>
      </c>
      <c r="J78" s="461">
        <f t="shared" si="10"/>
        <v>55.95</v>
      </c>
      <c r="K78" s="449" t="s">
        <v>45</v>
      </c>
      <c r="L78" s="450" t="s">
        <v>354</v>
      </c>
      <c r="M78" s="456"/>
      <c r="N78" s="457">
        <v>332</v>
      </c>
      <c r="O78" s="464">
        <f t="shared" si="8"/>
        <v>20.185691865264744</v>
      </c>
      <c r="P78" s="935">
        <v>90468</v>
      </c>
      <c r="Q78" s="119"/>
      <c r="R78" s="224">
        <v>70190</v>
      </c>
      <c r="S78" s="439">
        <v>3333.7</v>
      </c>
      <c r="T78" s="232">
        <f t="shared" si="11"/>
        <v>22135.767999999996</v>
      </c>
      <c r="U78" s="474">
        <f t="shared" si="12"/>
        <v>-23.300000000000182</v>
      </c>
      <c r="W78" s="119"/>
      <c r="X78" s="844">
        <v>46136</v>
      </c>
      <c r="Y78" s="842">
        <v>56</v>
      </c>
      <c r="Z78" s="843">
        <v>55</v>
      </c>
      <c r="AA78" s="842">
        <v>49.6</v>
      </c>
      <c r="AB78" s="973">
        <v>3349.6</v>
      </c>
      <c r="AC78" s="975">
        <f t="shared" si="13"/>
        <v>15.900000000000091</v>
      </c>
    </row>
    <row r="79" spans="1:29" hidden="1">
      <c r="A79" s="430">
        <v>46079</v>
      </c>
      <c r="B79" s="468" t="s">
        <v>350</v>
      </c>
      <c r="C79" s="432" t="s">
        <v>365</v>
      </c>
      <c r="D79" s="469" t="s">
        <v>235</v>
      </c>
      <c r="E79" s="433" t="s">
        <v>44</v>
      </c>
      <c r="F79" s="434">
        <v>6</v>
      </c>
      <c r="G79" s="434">
        <v>44</v>
      </c>
      <c r="H79" s="460"/>
      <c r="I79" s="460">
        <f t="shared" si="9"/>
        <v>404</v>
      </c>
      <c r="J79" s="461">
        <f t="shared" si="10"/>
        <v>6.7333333333333334</v>
      </c>
      <c r="K79" s="436" t="s">
        <v>45</v>
      </c>
      <c r="L79" s="436" t="s">
        <v>354</v>
      </c>
      <c r="M79" s="119"/>
      <c r="N79" s="467">
        <v>320</v>
      </c>
      <c r="O79" s="464">
        <f t="shared" si="8"/>
        <v>9.2994620388094518</v>
      </c>
      <c r="P79" s="935">
        <v>90468</v>
      </c>
      <c r="Q79" s="119"/>
      <c r="R79" s="224">
        <v>70191</v>
      </c>
      <c r="S79" s="439">
        <v>401.4</v>
      </c>
      <c r="T79" s="232">
        <f t="shared" si="11"/>
        <v>2568.9599999999996</v>
      </c>
      <c r="U79" s="474">
        <f t="shared" si="12"/>
        <v>-2.6000000000000227</v>
      </c>
      <c r="W79" s="119"/>
      <c r="X79" s="844">
        <v>46140</v>
      </c>
      <c r="Y79" s="842">
        <v>7</v>
      </c>
      <c r="Z79" s="843">
        <v>6</v>
      </c>
      <c r="AA79" s="842">
        <v>41.7</v>
      </c>
      <c r="AB79" s="973">
        <v>401.7</v>
      </c>
      <c r="AC79" s="975">
        <f t="shared" si="13"/>
        <v>0.30000000000001137</v>
      </c>
    </row>
    <row r="80" spans="1:29" hidden="1">
      <c r="A80" s="430">
        <v>46079</v>
      </c>
      <c r="B80" s="458" t="s">
        <v>350</v>
      </c>
      <c r="C80" s="205" t="s">
        <v>366</v>
      </c>
      <c r="D80" s="459" t="s">
        <v>279</v>
      </c>
      <c r="E80" s="447" t="s">
        <v>45</v>
      </c>
      <c r="F80" s="448">
        <v>13</v>
      </c>
      <c r="G80" s="448">
        <v>58</v>
      </c>
      <c r="H80" s="1118"/>
      <c r="I80" s="460">
        <f t="shared" si="9"/>
        <v>838</v>
      </c>
      <c r="J80" s="461">
        <f t="shared" si="10"/>
        <v>13.966666666666667</v>
      </c>
      <c r="K80" s="449" t="s">
        <v>54</v>
      </c>
      <c r="L80" s="450" t="s">
        <v>354</v>
      </c>
      <c r="M80" s="451"/>
      <c r="N80" s="463">
        <v>300</v>
      </c>
      <c r="O80" s="464">
        <f t="shared" si="8"/>
        <v>-8.8442543386161674</v>
      </c>
      <c r="P80" s="935">
        <v>90468</v>
      </c>
      <c r="Q80" s="119"/>
      <c r="R80" s="224">
        <v>70192</v>
      </c>
      <c r="S80" s="439">
        <v>835.5</v>
      </c>
      <c r="T80" s="232">
        <f t="shared" si="11"/>
        <v>5013</v>
      </c>
      <c r="U80" s="474">
        <f t="shared" si="12"/>
        <v>-2.5</v>
      </c>
      <c r="W80" s="119"/>
      <c r="X80" s="844">
        <v>46140</v>
      </c>
      <c r="Y80" s="842">
        <v>14</v>
      </c>
      <c r="Z80" s="843">
        <v>14</v>
      </c>
      <c r="AA80" s="842">
        <v>0.4</v>
      </c>
      <c r="AB80" s="973">
        <v>840.4</v>
      </c>
      <c r="AC80" s="975">
        <f t="shared" si="13"/>
        <v>4.8999999999999773</v>
      </c>
    </row>
    <row r="81" spans="1:29">
      <c r="A81" s="430">
        <v>46079</v>
      </c>
      <c r="B81" s="465" t="s">
        <v>350</v>
      </c>
      <c r="C81" s="452" t="s">
        <v>366</v>
      </c>
      <c r="D81" s="466" t="s">
        <v>279</v>
      </c>
      <c r="E81" s="454" t="s">
        <v>43</v>
      </c>
      <c r="F81" s="455">
        <v>58</v>
      </c>
      <c r="G81" s="455">
        <v>24</v>
      </c>
      <c r="H81" s="1119"/>
      <c r="I81" s="460">
        <f t="shared" si="9"/>
        <v>3504</v>
      </c>
      <c r="J81" s="461">
        <f t="shared" si="10"/>
        <v>58.4</v>
      </c>
      <c r="K81" s="449" t="s">
        <v>94</v>
      </c>
      <c r="L81" s="450" t="s">
        <v>351</v>
      </c>
      <c r="M81" s="456"/>
      <c r="N81" s="467">
        <v>355</v>
      </c>
      <c r="O81" s="464">
        <f t="shared" si="8"/>
        <v>41.050965699304186</v>
      </c>
      <c r="P81" s="935">
        <v>90502</v>
      </c>
      <c r="Q81" s="119"/>
      <c r="R81" s="224">
        <v>70193</v>
      </c>
      <c r="S81" s="439">
        <v>3490.6</v>
      </c>
      <c r="T81" s="232">
        <f t="shared" si="11"/>
        <v>24783.259999999995</v>
      </c>
      <c r="U81" s="474">
        <f t="shared" si="12"/>
        <v>-13.400000000000091</v>
      </c>
      <c r="W81" s="119"/>
      <c r="X81" s="844">
        <v>46140</v>
      </c>
      <c r="Y81" s="842">
        <v>59</v>
      </c>
      <c r="Z81" s="843">
        <v>58</v>
      </c>
      <c r="AA81" s="842">
        <v>7.9</v>
      </c>
      <c r="AB81" s="973">
        <v>3487.9</v>
      </c>
      <c r="AC81" s="975">
        <f t="shared" si="13"/>
        <v>-2.6999999999998181</v>
      </c>
    </row>
    <row r="82" spans="1:29">
      <c r="A82" s="430">
        <v>46079</v>
      </c>
      <c r="B82" s="458" t="s">
        <v>350</v>
      </c>
      <c r="C82" s="205" t="s">
        <v>366</v>
      </c>
      <c r="D82" s="459" t="s">
        <v>279</v>
      </c>
      <c r="E82" s="447" t="s">
        <v>44</v>
      </c>
      <c r="F82" s="448">
        <v>7</v>
      </c>
      <c r="G82" s="448">
        <v>42</v>
      </c>
      <c r="H82" s="1118"/>
      <c r="I82" s="460">
        <f t="shared" si="9"/>
        <v>462</v>
      </c>
      <c r="J82" s="461">
        <f t="shared" si="10"/>
        <v>7.7</v>
      </c>
      <c r="K82" s="449" t="s">
        <v>94</v>
      </c>
      <c r="L82" s="450" t="s">
        <v>351</v>
      </c>
      <c r="M82" s="451"/>
      <c r="N82" s="467">
        <v>355</v>
      </c>
      <c r="O82" s="464">
        <f t="shared" si="8"/>
        <v>41.050965699304186</v>
      </c>
      <c r="P82" s="935">
        <v>90502</v>
      </c>
      <c r="Q82" s="119"/>
      <c r="R82" s="224">
        <v>70194</v>
      </c>
      <c r="S82" s="439">
        <v>459.5</v>
      </c>
      <c r="T82" s="232">
        <f t="shared" si="11"/>
        <v>3262.4500000000003</v>
      </c>
      <c r="U82" s="474">
        <f t="shared" si="12"/>
        <v>-2.5</v>
      </c>
      <c r="W82" s="119"/>
      <c r="X82" s="844">
        <v>46140</v>
      </c>
      <c r="Y82" s="842">
        <v>8</v>
      </c>
      <c r="Z82" s="843">
        <v>7</v>
      </c>
      <c r="AA82" s="842">
        <v>42.8</v>
      </c>
      <c r="AB82" s="973">
        <v>462.8</v>
      </c>
      <c r="AC82" s="975">
        <f t="shared" si="13"/>
        <v>3.3000000000000114</v>
      </c>
    </row>
    <row r="83" spans="1:29">
      <c r="A83" s="430">
        <v>46079</v>
      </c>
      <c r="B83" s="465" t="s">
        <v>350</v>
      </c>
      <c r="C83" s="452" t="s">
        <v>366</v>
      </c>
      <c r="D83" s="466" t="s">
        <v>279</v>
      </c>
      <c r="E83" s="454" t="s">
        <v>42</v>
      </c>
      <c r="F83" s="455">
        <v>45</v>
      </c>
      <c r="G83" s="455">
        <v>32</v>
      </c>
      <c r="H83" s="1119"/>
      <c r="I83" s="460">
        <f t="shared" si="9"/>
        <v>2732</v>
      </c>
      <c r="J83" s="461">
        <f t="shared" si="10"/>
        <v>45.533333333333331</v>
      </c>
      <c r="K83" s="449" t="s">
        <v>94</v>
      </c>
      <c r="L83" s="450" t="s">
        <v>351</v>
      </c>
      <c r="M83" s="456"/>
      <c r="N83" s="463">
        <v>370</v>
      </c>
      <c r="O83" s="464">
        <f t="shared" si="8"/>
        <v>54.658752982373471</v>
      </c>
      <c r="P83" s="935">
        <v>90502</v>
      </c>
      <c r="Q83" s="119"/>
      <c r="R83" s="224">
        <v>70195</v>
      </c>
      <c r="S83" s="439">
        <v>2716.6</v>
      </c>
      <c r="T83" s="232">
        <f t="shared" si="11"/>
        <v>20102.839999999997</v>
      </c>
      <c r="U83" s="474">
        <f t="shared" si="12"/>
        <v>-15.400000000000091</v>
      </c>
      <c r="W83" s="119"/>
      <c r="X83" s="844">
        <v>46140</v>
      </c>
      <c r="Y83" s="842">
        <v>46</v>
      </c>
      <c r="Z83" s="843">
        <v>45</v>
      </c>
      <c r="AA83" s="842">
        <v>33.6</v>
      </c>
      <c r="AB83" s="973">
        <v>2733.6</v>
      </c>
      <c r="AC83" s="975">
        <f t="shared" si="13"/>
        <v>17</v>
      </c>
    </row>
    <row r="84" spans="1:29" hidden="1">
      <c r="A84" s="430">
        <v>46079</v>
      </c>
      <c r="B84" s="468" t="s">
        <v>350</v>
      </c>
      <c r="C84" s="432" t="s">
        <v>298</v>
      </c>
      <c r="D84" s="469" t="s">
        <v>233</v>
      </c>
      <c r="E84" s="433" t="s">
        <v>45</v>
      </c>
      <c r="F84" s="434">
        <v>11</v>
      </c>
      <c r="G84" s="434">
        <v>58</v>
      </c>
      <c r="H84" s="460"/>
      <c r="I84" s="460">
        <f t="shared" si="9"/>
        <v>718</v>
      </c>
      <c r="J84" s="461">
        <f t="shared" si="10"/>
        <v>11.966666666666667</v>
      </c>
      <c r="K84" s="436" t="s">
        <v>54</v>
      </c>
      <c r="L84" s="436" t="s">
        <v>354</v>
      </c>
      <c r="M84" s="119"/>
      <c r="N84" s="463">
        <v>300</v>
      </c>
      <c r="O84" s="464">
        <f t="shared" si="8"/>
        <v>-8.8442543386161674</v>
      </c>
      <c r="P84" s="935">
        <v>90468</v>
      </c>
      <c r="Q84" s="119"/>
      <c r="R84" s="224">
        <v>70196</v>
      </c>
      <c r="S84" s="439">
        <v>721.1</v>
      </c>
      <c r="T84" s="232">
        <f t="shared" si="11"/>
        <v>4326.6000000000004</v>
      </c>
      <c r="U84" s="474">
        <f t="shared" si="12"/>
        <v>3.1000000000000227</v>
      </c>
      <c r="W84" s="119"/>
      <c r="X84" s="844">
        <v>46140</v>
      </c>
      <c r="Y84" s="842">
        <v>12</v>
      </c>
      <c r="Z84" s="843">
        <v>12</v>
      </c>
      <c r="AA84" s="842">
        <v>13.2</v>
      </c>
      <c r="AB84" s="973">
        <v>733.2</v>
      </c>
      <c r="AC84" s="975">
        <f t="shared" si="13"/>
        <v>12.100000000000023</v>
      </c>
    </row>
    <row r="85" spans="1:29" hidden="1">
      <c r="A85" s="430">
        <v>46079</v>
      </c>
      <c r="B85" s="468" t="s">
        <v>350</v>
      </c>
      <c r="C85" s="432" t="s">
        <v>297</v>
      </c>
      <c r="D85" s="469" t="s">
        <v>235</v>
      </c>
      <c r="E85" s="433" t="s">
        <v>45</v>
      </c>
      <c r="F85" s="434">
        <v>13</v>
      </c>
      <c r="G85" s="434">
        <v>12</v>
      </c>
      <c r="H85" s="460"/>
      <c r="I85" s="460">
        <f t="shared" si="9"/>
        <v>792</v>
      </c>
      <c r="J85" s="461">
        <f t="shared" si="10"/>
        <v>13.2</v>
      </c>
      <c r="K85" s="436" t="s">
        <v>54</v>
      </c>
      <c r="L85" s="436" t="s">
        <v>354</v>
      </c>
      <c r="M85" s="119"/>
      <c r="N85" s="463">
        <v>300</v>
      </c>
      <c r="O85" s="464">
        <f t="shared" si="8"/>
        <v>-8.8442543386161674</v>
      </c>
      <c r="P85" s="935">
        <v>90468</v>
      </c>
      <c r="Q85" s="119"/>
      <c r="R85" s="224">
        <v>70197</v>
      </c>
      <c r="S85" s="439">
        <v>795.5</v>
      </c>
      <c r="T85" s="232">
        <f t="shared" si="11"/>
        <v>4773</v>
      </c>
      <c r="U85" s="474">
        <f t="shared" si="12"/>
        <v>3.5</v>
      </c>
      <c r="W85" s="119"/>
      <c r="X85" s="844">
        <v>46140</v>
      </c>
      <c r="Y85" s="842">
        <v>14</v>
      </c>
      <c r="Z85" s="843">
        <v>13</v>
      </c>
      <c r="AA85" s="842">
        <v>22.4</v>
      </c>
      <c r="AB85" s="973">
        <v>802.4</v>
      </c>
      <c r="AC85" s="975">
        <f t="shared" si="13"/>
        <v>6.8999999999999773</v>
      </c>
    </row>
    <row r="86" spans="1:29" hidden="1">
      <c r="A86" s="430">
        <v>46079</v>
      </c>
      <c r="B86" s="458" t="s">
        <v>350</v>
      </c>
      <c r="C86" s="205" t="s">
        <v>296</v>
      </c>
      <c r="D86" s="459" t="s">
        <v>262</v>
      </c>
      <c r="E86" s="447" t="s">
        <v>45</v>
      </c>
      <c r="F86" s="448">
        <v>15</v>
      </c>
      <c r="G86" s="448">
        <v>50</v>
      </c>
      <c r="H86" s="1118"/>
      <c r="I86" s="460">
        <f t="shared" si="9"/>
        <v>950</v>
      </c>
      <c r="J86" s="461">
        <f t="shared" si="10"/>
        <v>15.833333333333334</v>
      </c>
      <c r="K86" s="449" t="s">
        <v>54</v>
      </c>
      <c r="L86" s="450" t="s">
        <v>354</v>
      </c>
      <c r="M86" s="451"/>
      <c r="N86" s="463">
        <v>300</v>
      </c>
      <c r="O86" s="464">
        <f t="shared" si="8"/>
        <v>-8.8442543386161674</v>
      </c>
      <c r="P86" s="935">
        <v>90468</v>
      </c>
      <c r="Q86" s="119"/>
      <c r="R86" s="224">
        <v>70198</v>
      </c>
      <c r="S86" s="439">
        <v>944.9</v>
      </c>
      <c r="T86" s="232">
        <f t="shared" si="11"/>
        <v>5669.4</v>
      </c>
      <c r="U86" s="474">
        <f t="shared" si="12"/>
        <v>-5.1000000000000227</v>
      </c>
      <c r="W86" s="119"/>
      <c r="X86" s="844">
        <v>46140</v>
      </c>
      <c r="Y86" s="842">
        <v>16</v>
      </c>
      <c r="Z86" s="843">
        <v>15</v>
      </c>
      <c r="AA86" s="842">
        <v>56.6</v>
      </c>
      <c r="AB86" s="973">
        <v>956.6</v>
      </c>
      <c r="AC86" s="975">
        <f t="shared" si="13"/>
        <v>11.700000000000045</v>
      </c>
    </row>
    <row r="87" spans="1:29" hidden="1">
      <c r="A87" s="430">
        <v>46079</v>
      </c>
      <c r="B87" s="458" t="s">
        <v>350</v>
      </c>
      <c r="C87" s="205" t="s">
        <v>296</v>
      </c>
      <c r="D87" s="459" t="s">
        <v>262</v>
      </c>
      <c r="E87" s="447" t="s">
        <v>44</v>
      </c>
      <c r="F87" s="448">
        <v>9</v>
      </c>
      <c r="G87" s="448">
        <v>33</v>
      </c>
      <c r="H87" s="1118"/>
      <c r="I87" s="460">
        <f t="shared" si="9"/>
        <v>573</v>
      </c>
      <c r="J87" s="461">
        <f t="shared" si="10"/>
        <v>9.5500000000000007</v>
      </c>
      <c r="K87" s="449" t="s">
        <v>45</v>
      </c>
      <c r="L87" s="450" t="s">
        <v>354</v>
      </c>
      <c r="M87" s="451"/>
      <c r="N87" s="467">
        <v>320</v>
      </c>
      <c r="O87" s="464">
        <f t="shared" si="8"/>
        <v>9.2994620388094518</v>
      </c>
      <c r="P87" s="935">
        <v>90468</v>
      </c>
      <c r="Q87" s="119"/>
      <c r="R87" s="224">
        <v>70200</v>
      </c>
      <c r="S87" s="439">
        <v>567.5</v>
      </c>
      <c r="T87" s="232">
        <f t="shared" si="11"/>
        <v>3632.0000000000005</v>
      </c>
      <c r="U87" s="474">
        <f t="shared" si="12"/>
        <v>-5.5</v>
      </c>
      <c r="W87" s="119"/>
      <c r="X87" s="844">
        <v>46140</v>
      </c>
      <c r="Y87" s="842">
        <v>10</v>
      </c>
      <c r="Z87" s="843">
        <v>9</v>
      </c>
      <c r="AA87" s="842">
        <v>37</v>
      </c>
      <c r="AB87" s="973">
        <v>577</v>
      </c>
      <c r="AC87" s="975">
        <f t="shared" si="13"/>
        <v>9.5</v>
      </c>
    </row>
    <row r="88" spans="1:29" hidden="1">
      <c r="A88" s="430">
        <v>46079</v>
      </c>
      <c r="B88" s="465" t="s">
        <v>350</v>
      </c>
      <c r="C88" s="452" t="s">
        <v>1018</v>
      </c>
      <c r="D88" s="466" t="s">
        <v>288</v>
      </c>
      <c r="E88" s="454" t="s">
        <v>45</v>
      </c>
      <c r="F88" s="455">
        <v>19</v>
      </c>
      <c r="G88" s="455">
        <v>21</v>
      </c>
      <c r="H88" s="1119"/>
      <c r="I88" s="460">
        <f t="shared" si="9"/>
        <v>1161</v>
      </c>
      <c r="J88" s="461">
        <f t="shared" si="10"/>
        <v>19.350000000000001</v>
      </c>
      <c r="K88" s="449" t="s">
        <v>54</v>
      </c>
      <c r="L88" s="450" t="s">
        <v>354</v>
      </c>
      <c r="M88" s="456"/>
      <c r="N88" s="463">
        <v>300</v>
      </c>
      <c r="O88" s="464">
        <f t="shared" si="8"/>
        <v>-8.8442543386161674</v>
      </c>
      <c r="P88" s="935">
        <v>90468</v>
      </c>
      <c r="Q88" s="119"/>
      <c r="R88" s="224">
        <v>70202</v>
      </c>
      <c r="S88" s="439">
        <v>1151.0999999999999</v>
      </c>
      <c r="T88" s="232">
        <f t="shared" si="11"/>
        <v>6906.5999999999995</v>
      </c>
      <c r="U88" s="474">
        <f t="shared" si="12"/>
        <v>-9.9000000000000909</v>
      </c>
      <c r="W88" s="119"/>
      <c r="X88" s="844">
        <v>46140</v>
      </c>
      <c r="Y88" s="842">
        <v>20</v>
      </c>
      <c r="Z88" s="843">
        <v>19</v>
      </c>
      <c r="AA88" s="842">
        <v>18</v>
      </c>
      <c r="AB88" s="973">
        <v>1158</v>
      </c>
      <c r="AC88" s="975">
        <f t="shared" si="13"/>
        <v>6.9000000000000909</v>
      </c>
    </row>
    <row r="89" spans="1:29" hidden="1">
      <c r="A89" s="430">
        <v>46079</v>
      </c>
      <c r="B89" s="465" t="s">
        <v>350</v>
      </c>
      <c r="C89" s="452" t="s">
        <v>1018</v>
      </c>
      <c r="D89" s="466" t="s">
        <v>288</v>
      </c>
      <c r="E89" s="454" t="s">
        <v>43</v>
      </c>
      <c r="F89" s="455">
        <v>72</v>
      </c>
      <c r="G89" s="455">
        <v>58</v>
      </c>
      <c r="H89" s="1119"/>
      <c r="I89" s="460">
        <f t="shared" si="9"/>
        <v>4378</v>
      </c>
      <c r="J89" s="461">
        <f t="shared" si="10"/>
        <v>72.966666666666669</v>
      </c>
      <c r="K89" s="449" t="s">
        <v>45</v>
      </c>
      <c r="L89" s="450" t="s">
        <v>354</v>
      </c>
      <c r="M89" s="456"/>
      <c r="N89" s="467">
        <v>320</v>
      </c>
      <c r="O89" s="464">
        <f t="shared" si="8"/>
        <v>9.2994620388094518</v>
      </c>
      <c r="P89" s="935">
        <v>90468</v>
      </c>
      <c r="Q89" s="119"/>
      <c r="R89" s="224">
        <v>70203</v>
      </c>
      <c r="S89" s="439">
        <v>4351</v>
      </c>
      <c r="T89" s="232">
        <f t="shared" si="11"/>
        <v>27846.399999999998</v>
      </c>
      <c r="U89" s="474">
        <f t="shared" si="12"/>
        <v>-27</v>
      </c>
      <c r="W89" s="119"/>
      <c r="X89" s="844">
        <v>46140</v>
      </c>
      <c r="Y89" s="842">
        <v>73</v>
      </c>
      <c r="Z89" s="843">
        <v>72</v>
      </c>
      <c r="AA89" s="842">
        <v>42.3</v>
      </c>
      <c r="AB89" s="973">
        <v>4362.3</v>
      </c>
      <c r="AC89" s="975">
        <f t="shared" si="13"/>
        <v>11.300000000000182</v>
      </c>
    </row>
    <row r="90" spans="1:29" hidden="1">
      <c r="A90" s="430">
        <v>46079</v>
      </c>
      <c r="B90" s="465" t="s">
        <v>350</v>
      </c>
      <c r="C90" s="452" t="s">
        <v>1018</v>
      </c>
      <c r="D90" s="466" t="s">
        <v>288</v>
      </c>
      <c r="E90" s="454" t="s">
        <v>44</v>
      </c>
      <c r="F90" s="455">
        <v>8</v>
      </c>
      <c r="G90" s="455">
        <v>23</v>
      </c>
      <c r="H90" s="1119"/>
      <c r="I90" s="460">
        <f t="shared" si="9"/>
        <v>503</v>
      </c>
      <c r="J90" s="461">
        <f t="shared" si="10"/>
        <v>8.3833333333333329</v>
      </c>
      <c r="K90" s="449" t="s">
        <v>45</v>
      </c>
      <c r="L90" s="450" t="s">
        <v>354</v>
      </c>
      <c r="M90" s="456"/>
      <c r="N90" s="467">
        <v>320</v>
      </c>
      <c r="O90" s="464">
        <f t="shared" si="8"/>
        <v>9.2994620388094518</v>
      </c>
      <c r="P90" s="935">
        <v>90468</v>
      </c>
      <c r="Q90" s="119"/>
      <c r="R90" s="224">
        <v>70204</v>
      </c>
      <c r="S90" s="439">
        <v>500.8</v>
      </c>
      <c r="T90" s="232">
        <f t="shared" si="11"/>
        <v>3205.12</v>
      </c>
      <c r="U90" s="474">
        <f t="shared" si="12"/>
        <v>-2.1999999999999886</v>
      </c>
      <c r="W90" s="119"/>
      <c r="X90" s="844">
        <v>46140</v>
      </c>
      <c r="Y90" s="842">
        <v>9</v>
      </c>
      <c r="Z90" s="843">
        <v>8</v>
      </c>
      <c r="AA90" s="842">
        <v>25.9</v>
      </c>
      <c r="AB90" s="973">
        <v>505.9</v>
      </c>
      <c r="AC90" s="975">
        <f t="shared" si="13"/>
        <v>5.0999999999999659</v>
      </c>
    </row>
    <row r="91" spans="1:29" hidden="1">
      <c r="A91" s="430">
        <v>46079</v>
      </c>
      <c r="B91" s="465" t="s">
        <v>350</v>
      </c>
      <c r="C91" s="452" t="s">
        <v>1018</v>
      </c>
      <c r="D91" s="466" t="s">
        <v>288</v>
      </c>
      <c r="E91" s="454" t="s">
        <v>42</v>
      </c>
      <c r="F91" s="455">
        <v>46</v>
      </c>
      <c r="G91" s="455">
        <v>53</v>
      </c>
      <c r="H91" s="1119"/>
      <c r="I91" s="460">
        <f t="shared" si="9"/>
        <v>2813</v>
      </c>
      <c r="J91" s="461">
        <f t="shared" si="10"/>
        <v>46.883333333333333</v>
      </c>
      <c r="K91" s="449" t="s">
        <v>45</v>
      </c>
      <c r="L91" s="450" t="s">
        <v>354</v>
      </c>
      <c r="M91" s="456"/>
      <c r="N91" s="457">
        <v>332</v>
      </c>
      <c r="O91" s="464">
        <f t="shared" si="8"/>
        <v>20.185691865264744</v>
      </c>
      <c r="P91" s="935">
        <v>90468</v>
      </c>
      <c r="Q91" s="119"/>
      <c r="R91" s="224">
        <v>70205</v>
      </c>
      <c r="S91" s="439">
        <v>2810</v>
      </c>
      <c r="T91" s="232">
        <f t="shared" si="11"/>
        <v>18658.400000000001</v>
      </c>
      <c r="U91" s="474">
        <f t="shared" si="12"/>
        <v>-3</v>
      </c>
      <c r="W91" s="119"/>
      <c r="X91" s="844">
        <v>46140</v>
      </c>
      <c r="Y91" s="842">
        <v>47</v>
      </c>
      <c r="Z91" s="843">
        <v>46</v>
      </c>
      <c r="AA91" s="842">
        <v>57.7</v>
      </c>
      <c r="AB91" s="973">
        <v>2817.7</v>
      </c>
      <c r="AC91" s="975">
        <f t="shared" si="13"/>
        <v>7.6999999999998181</v>
      </c>
    </row>
    <row r="92" spans="1:29" hidden="1">
      <c r="A92" s="430">
        <v>46079</v>
      </c>
      <c r="B92" s="465" t="s">
        <v>350</v>
      </c>
      <c r="C92" s="452" t="s">
        <v>294</v>
      </c>
      <c r="D92" s="466" t="s">
        <v>273</v>
      </c>
      <c r="E92" s="454" t="s">
        <v>44</v>
      </c>
      <c r="F92" s="455">
        <v>12</v>
      </c>
      <c r="G92" s="455">
        <v>45</v>
      </c>
      <c r="H92" s="1119"/>
      <c r="I92" s="460">
        <f t="shared" si="9"/>
        <v>765</v>
      </c>
      <c r="J92" s="461">
        <f t="shared" si="10"/>
        <v>12.75</v>
      </c>
      <c r="K92" s="449" t="s">
        <v>356</v>
      </c>
      <c r="L92" s="450" t="s">
        <v>354</v>
      </c>
      <c r="M92" s="456"/>
      <c r="N92" s="467">
        <v>320</v>
      </c>
      <c r="O92" s="464">
        <f t="shared" si="8"/>
        <v>9.2994620388094518</v>
      </c>
      <c r="P92" s="935">
        <v>90468</v>
      </c>
      <c r="Q92" s="119"/>
      <c r="R92" s="224">
        <v>70206</v>
      </c>
      <c r="S92" s="439">
        <v>761.4</v>
      </c>
      <c r="T92" s="232">
        <f t="shared" si="11"/>
        <v>4872.9599999999991</v>
      </c>
      <c r="U92" s="474">
        <f t="shared" si="12"/>
        <v>-3.6000000000000227</v>
      </c>
      <c r="W92" s="119"/>
      <c r="X92" s="844">
        <v>46140</v>
      </c>
      <c r="Y92" s="842">
        <v>13</v>
      </c>
      <c r="Z92" s="843">
        <v>13</v>
      </c>
      <c r="AA92" s="842">
        <v>3.3</v>
      </c>
      <c r="AB92" s="973">
        <v>783.3</v>
      </c>
      <c r="AC92" s="975">
        <f t="shared" si="13"/>
        <v>21.899999999999977</v>
      </c>
    </row>
    <row r="93" spans="1:29" hidden="1">
      <c r="A93" s="430">
        <v>46079</v>
      </c>
      <c r="B93" s="468" t="s">
        <v>350</v>
      </c>
      <c r="C93" s="432" t="s">
        <v>294</v>
      </c>
      <c r="D93" s="469" t="s">
        <v>367</v>
      </c>
      <c r="E93" s="433" t="s">
        <v>60</v>
      </c>
      <c r="F93" s="434">
        <v>3</v>
      </c>
      <c r="G93" s="434">
        <v>35</v>
      </c>
      <c r="H93" s="460"/>
      <c r="I93" s="460">
        <f t="shared" si="9"/>
        <v>215</v>
      </c>
      <c r="J93" s="461">
        <f t="shared" si="10"/>
        <v>3.5833333333333335</v>
      </c>
      <c r="K93" s="436" t="s">
        <v>59</v>
      </c>
      <c r="L93" s="462" t="s">
        <v>1030</v>
      </c>
      <c r="M93" s="119"/>
      <c r="N93" s="470">
        <v>242</v>
      </c>
      <c r="O93" s="464">
        <f t="shared" si="8"/>
        <v>-61.461031833150372</v>
      </c>
      <c r="P93" s="935">
        <v>90510</v>
      </c>
      <c r="Q93" s="119"/>
      <c r="R93" s="224">
        <v>70207</v>
      </c>
      <c r="S93" s="439">
        <v>214.2</v>
      </c>
      <c r="T93" s="232">
        <f t="shared" si="11"/>
        <v>1036.7279999999998</v>
      </c>
      <c r="U93" s="474">
        <f t="shared" si="12"/>
        <v>-0.80000000000001137</v>
      </c>
      <c r="W93" s="119"/>
      <c r="X93" s="844">
        <v>46140</v>
      </c>
      <c r="Y93" s="842">
        <v>4</v>
      </c>
      <c r="Z93" s="843">
        <v>3</v>
      </c>
      <c r="AA93" s="842">
        <v>36.4</v>
      </c>
      <c r="AB93" s="973">
        <v>216.4</v>
      </c>
      <c r="AC93" s="975">
        <f t="shared" si="13"/>
        <v>2.2000000000000171</v>
      </c>
    </row>
    <row r="94" spans="1:29" hidden="1">
      <c r="A94" s="430">
        <v>46079</v>
      </c>
      <c r="B94" s="468" t="s">
        <v>350</v>
      </c>
      <c r="C94" s="432" t="s">
        <v>294</v>
      </c>
      <c r="D94" s="469" t="s">
        <v>367</v>
      </c>
      <c r="E94" s="433" t="s">
        <v>47</v>
      </c>
      <c r="F94" s="434">
        <v>6</v>
      </c>
      <c r="G94" s="434">
        <v>18</v>
      </c>
      <c r="H94" s="460"/>
      <c r="I94" s="460">
        <f t="shared" si="9"/>
        <v>378</v>
      </c>
      <c r="J94" s="461">
        <f t="shared" si="10"/>
        <v>6.3</v>
      </c>
      <c r="K94" s="436" t="s">
        <v>62</v>
      </c>
      <c r="L94" s="462" t="s">
        <v>1030</v>
      </c>
      <c r="M94" s="119"/>
      <c r="N94" s="470">
        <v>242</v>
      </c>
      <c r="O94" s="464">
        <f t="shared" si="8"/>
        <v>-61.461031833150372</v>
      </c>
      <c r="P94" s="935">
        <v>90510</v>
      </c>
      <c r="Q94" s="119"/>
      <c r="R94" s="224">
        <v>70208</v>
      </c>
      <c r="S94" s="439">
        <v>377.6</v>
      </c>
      <c r="T94" s="232">
        <f t="shared" si="11"/>
        <v>1827.5840000000003</v>
      </c>
      <c r="U94" s="474">
        <f t="shared" si="12"/>
        <v>-0.39999999999997726</v>
      </c>
      <c r="W94" s="119"/>
      <c r="X94" s="844">
        <v>46140</v>
      </c>
      <c r="Y94" s="842">
        <v>7</v>
      </c>
      <c r="Z94" s="843">
        <v>6</v>
      </c>
      <c r="AA94" s="842">
        <v>22.7</v>
      </c>
      <c r="AB94" s="973">
        <v>382.7</v>
      </c>
      <c r="AC94" s="975">
        <f t="shared" si="13"/>
        <v>5.0999999999999659</v>
      </c>
    </row>
    <row r="95" spans="1:29" hidden="1">
      <c r="A95" s="430">
        <v>46079</v>
      </c>
      <c r="B95" s="468" t="s">
        <v>350</v>
      </c>
      <c r="C95" s="432" t="s">
        <v>294</v>
      </c>
      <c r="D95" s="469" t="s">
        <v>367</v>
      </c>
      <c r="E95" s="433" t="s">
        <v>46</v>
      </c>
      <c r="F95" s="434">
        <v>7</v>
      </c>
      <c r="G95" s="434">
        <v>35</v>
      </c>
      <c r="H95" s="460"/>
      <c r="I95" s="460">
        <f t="shared" si="9"/>
        <v>455</v>
      </c>
      <c r="J95" s="461">
        <f t="shared" si="10"/>
        <v>7.583333333333333</v>
      </c>
      <c r="K95" s="436" t="s">
        <v>60</v>
      </c>
      <c r="L95" s="462" t="s">
        <v>1030</v>
      </c>
      <c r="M95" s="119"/>
      <c r="N95" s="470">
        <v>242</v>
      </c>
      <c r="O95" s="464">
        <f t="shared" si="8"/>
        <v>-61.461031833150372</v>
      </c>
      <c r="P95" s="935">
        <v>90510</v>
      </c>
      <c r="Q95" s="119"/>
      <c r="R95" s="224">
        <v>70209</v>
      </c>
      <c r="S95" s="439">
        <v>454.6</v>
      </c>
      <c r="T95" s="232">
        <f t="shared" si="11"/>
        <v>2200.2640000000001</v>
      </c>
      <c r="U95" s="474">
        <f t="shared" si="12"/>
        <v>-0.39999999999997726</v>
      </c>
      <c r="W95" s="119"/>
      <c r="X95" s="844">
        <v>46140</v>
      </c>
      <c r="Y95" s="842">
        <v>8</v>
      </c>
      <c r="Z95" s="843">
        <v>7</v>
      </c>
      <c r="AA95" s="842">
        <v>40.799999999999997</v>
      </c>
      <c r="AB95" s="973">
        <v>460.8</v>
      </c>
      <c r="AC95" s="975">
        <f t="shared" si="13"/>
        <v>6.1999999999999886</v>
      </c>
    </row>
    <row r="96" spans="1:29" hidden="1">
      <c r="A96" s="430">
        <v>46079</v>
      </c>
      <c r="B96" s="468" t="s">
        <v>350</v>
      </c>
      <c r="C96" s="432" t="s">
        <v>293</v>
      </c>
      <c r="D96" s="469" t="s">
        <v>1052</v>
      </c>
      <c r="E96" s="433" t="s">
        <v>45</v>
      </c>
      <c r="F96" s="434">
        <v>22</v>
      </c>
      <c r="G96" s="434">
        <v>27</v>
      </c>
      <c r="H96" s="460"/>
      <c r="I96" s="460">
        <f t="shared" si="9"/>
        <v>1347</v>
      </c>
      <c r="J96" s="461">
        <f t="shared" si="10"/>
        <v>22.45</v>
      </c>
      <c r="K96" s="436" t="s">
        <v>54</v>
      </c>
      <c r="L96" s="436" t="s">
        <v>354</v>
      </c>
      <c r="M96" s="119"/>
      <c r="N96" s="463">
        <v>300</v>
      </c>
      <c r="O96" s="464">
        <f t="shared" si="8"/>
        <v>-8.8442543386161674</v>
      </c>
      <c r="P96" s="935">
        <v>90468</v>
      </c>
      <c r="Q96" s="119"/>
      <c r="R96" s="224">
        <v>70210</v>
      </c>
      <c r="S96" s="439">
        <v>1348.1</v>
      </c>
      <c r="T96" s="232">
        <f t="shared" si="11"/>
        <v>8088.5999999999985</v>
      </c>
      <c r="U96" s="474">
        <f t="shared" si="12"/>
        <v>1.0999999999999091</v>
      </c>
      <c r="W96" s="119"/>
      <c r="X96" s="844">
        <v>46140</v>
      </c>
      <c r="Y96" s="842">
        <v>23</v>
      </c>
      <c r="Z96" s="843">
        <v>22</v>
      </c>
      <c r="AA96" s="842">
        <v>33.299999999999997</v>
      </c>
      <c r="AB96" s="973">
        <v>1353.3</v>
      </c>
      <c r="AC96" s="975">
        <f t="shared" si="13"/>
        <v>5.2000000000000455</v>
      </c>
    </row>
    <row r="97" spans="1:29">
      <c r="A97" s="430">
        <v>46079</v>
      </c>
      <c r="B97" s="468" t="s">
        <v>350</v>
      </c>
      <c r="C97" s="432" t="s">
        <v>293</v>
      </c>
      <c r="D97" s="469" t="s">
        <v>1052</v>
      </c>
      <c r="E97" s="433" t="s">
        <v>44</v>
      </c>
      <c r="F97" s="434">
        <v>11</v>
      </c>
      <c r="G97" s="434">
        <v>65</v>
      </c>
      <c r="H97" s="460"/>
      <c r="I97" s="460">
        <f t="shared" si="9"/>
        <v>725</v>
      </c>
      <c r="J97" s="461">
        <f t="shared" si="10"/>
        <v>12.083333333333334</v>
      </c>
      <c r="K97" s="436" t="s">
        <v>94</v>
      </c>
      <c r="L97" s="436" t="s">
        <v>351</v>
      </c>
      <c r="M97" s="119"/>
      <c r="N97" s="467">
        <v>355</v>
      </c>
      <c r="O97" s="464">
        <f t="shared" si="8"/>
        <v>41.050965699304186</v>
      </c>
      <c r="P97" s="935">
        <v>90502</v>
      </c>
      <c r="Q97" s="119"/>
      <c r="R97" s="224">
        <v>70211</v>
      </c>
      <c r="S97" s="439">
        <v>725.6</v>
      </c>
      <c r="T97" s="232">
        <f t="shared" si="11"/>
        <v>5151.7599999999993</v>
      </c>
      <c r="U97" s="474">
        <f t="shared" si="12"/>
        <v>0.60000000000002274</v>
      </c>
      <c r="W97" s="119"/>
      <c r="X97" s="844">
        <v>46140</v>
      </c>
      <c r="Y97" s="842">
        <v>12</v>
      </c>
      <c r="Z97" s="843">
        <v>12</v>
      </c>
      <c r="AA97" s="842">
        <v>7.2</v>
      </c>
      <c r="AB97" s="973">
        <v>727.2</v>
      </c>
      <c r="AC97" s="975">
        <f t="shared" si="13"/>
        <v>1.6000000000000227</v>
      </c>
    </row>
    <row r="98" spans="1:29">
      <c r="A98" s="430">
        <v>46079</v>
      </c>
      <c r="B98" s="468" t="s">
        <v>350</v>
      </c>
      <c r="C98" s="432" t="s">
        <v>231</v>
      </c>
      <c r="D98" s="469" t="s">
        <v>239</v>
      </c>
      <c r="E98" s="433" t="s">
        <v>44</v>
      </c>
      <c r="F98" s="434">
        <v>8</v>
      </c>
      <c r="G98" s="434">
        <v>42</v>
      </c>
      <c r="H98" s="460"/>
      <c r="I98" s="460">
        <f t="shared" si="9"/>
        <v>522</v>
      </c>
      <c r="J98" s="461">
        <f t="shared" si="10"/>
        <v>8.6999999999999993</v>
      </c>
      <c r="K98" s="436" t="s">
        <v>94</v>
      </c>
      <c r="L98" s="436" t="s">
        <v>351</v>
      </c>
      <c r="M98" s="119"/>
      <c r="N98" s="467">
        <v>355</v>
      </c>
      <c r="O98" s="464">
        <f t="shared" si="8"/>
        <v>41.050965699304186</v>
      </c>
      <c r="P98" s="935">
        <v>90502</v>
      </c>
      <c r="Q98" s="119"/>
      <c r="R98" s="224">
        <v>70212</v>
      </c>
      <c r="S98" s="439">
        <v>514.6</v>
      </c>
      <c r="T98" s="232">
        <f t="shared" si="11"/>
        <v>3653.66</v>
      </c>
      <c r="U98" s="474">
        <f t="shared" si="12"/>
        <v>-7.3999999999999773</v>
      </c>
      <c r="W98" s="119"/>
      <c r="X98" s="844">
        <v>46140</v>
      </c>
      <c r="Y98" s="842">
        <v>9</v>
      </c>
      <c r="Z98" s="843">
        <v>8</v>
      </c>
      <c r="AA98" s="842">
        <v>51.9</v>
      </c>
      <c r="AB98" s="973">
        <v>531.9</v>
      </c>
      <c r="AC98" s="975">
        <f t="shared" si="13"/>
        <v>17.299999999999955</v>
      </c>
    </row>
    <row r="99" spans="1:29" hidden="1">
      <c r="A99" s="430">
        <v>46079</v>
      </c>
      <c r="B99" s="468" t="s">
        <v>350</v>
      </c>
      <c r="C99" s="432" t="s">
        <v>292</v>
      </c>
      <c r="D99" s="469" t="s">
        <v>243</v>
      </c>
      <c r="E99" s="433" t="s">
        <v>45</v>
      </c>
      <c r="F99" s="434">
        <v>11</v>
      </c>
      <c r="G99" s="434">
        <v>39</v>
      </c>
      <c r="H99" s="460"/>
      <c r="I99" s="460">
        <f t="shared" si="9"/>
        <v>699</v>
      </c>
      <c r="J99" s="461">
        <f t="shared" si="10"/>
        <v>11.65</v>
      </c>
      <c r="K99" s="436" t="s">
        <v>356</v>
      </c>
      <c r="L99" s="436" t="s">
        <v>354</v>
      </c>
      <c r="M99" s="119"/>
      <c r="N99" s="463">
        <v>300</v>
      </c>
      <c r="O99" s="464">
        <f t="shared" si="8"/>
        <v>-8.8442543386161674</v>
      </c>
      <c r="P99" s="935">
        <v>90468</v>
      </c>
      <c r="Q99" s="119"/>
      <c r="R99" s="224">
        <v>70213</v>
      </c>
      <c r="S99" s="439">
        <v>695.3</v>
      </c>
      <c r="T99" s="232">
        <f t="shared" si="11"/>
        <v>4171.8</v>
      </c>
      <c r="U99" s="474">
        <f t="shared" si="12"/>
        <v>-3.7000000000000455</v>
      </c>
      <c r="W99" s="119"/>
      <c r="X99" s="844">
        <v>46140</v>
      </c>
      <c r="Y99" s="842">
        <v>12</v>
      </c>
      <c r="Z99" s="843">
        <v>11</v>
      </c>
      <c r="AA99" s="842">
        <v>39.200000000000003</v>
      </c>
      <c r="AB99" s="973">
        <v>699.2</v>
      </c>
      <c r="AC99" s="975">
        <f t="shared" si="13"/>
        <v>3.9000000000000909</v>
      </c>
    </row>
    <row r="100" spans="1:29" hidden="1">
      <c r="A100" s="430">
        <v>46079</v>
      </c>
      <c r="B100" s="468" t="s">
        <v>350</v>
      </c>
      <c r="C100" s="432" t="s">
        <v>292</v>
      </c>
      <c r="D100" s="469" t="s">
        <v>243</v>
      </c>
      <c r="E100" s="433" t="s">
        <v>44</v>
      </c>
      <c r="F100" s="434">
        <v>7</v>
      </c>
      <c r="G100" s="434">
        <v>27</v>
      </c>
      <c r="H100" s="460"/>
      <c r="I100" s="460">
        <f t="shared" si="9"/>
        <v>447</v>
      </c>
      <c r="J100" s="461">
        <f t="shared" si="10"/>
        <v>7.45</v>
      </c>
      <c r="K100" s="436" t="s">
        <v>54</v>
      </c>
      <c r="L100" s="436" t="s">
        <v>354</v>
      </c>
      <c r="M100" s="119"/>
      <c r="N100" s="467">
        <v>320</v>
      </c>
      <c r="O100" s="464">
        <f t="shared" si="8"/>
        <v>9.2994620388094518</v>
      </c>
      <c r="P100" s="935">
        <v>90468</v>
      </c>
      <c r="Q100" s="119"/>
      <c r="R100" s="224">
        <v>70214</v>
      </c>
      <c r="S100" s="439">
        <v>445.3</v>
      </c>
      <c r="T100" s="232">
        <f t="shared" si="11"/>
        <v>2849.92</v>
      </c>
      <c r="U100" s="474">
        <f t="shared" si="12"/>
        <v>-1.6999999999999886</v>
      </c>
      <c r="W100" s="119"/>
      <c r="X100" s="844">
        <v>46140</v>
      </c>
      <c r="Y100" s="842">
        <v>8</v>
      </c>
      <c r="Z100" s="843">
        <v>7</v>
      </c>
      <c r="AA100" s="842">
        <v>25.8</v>
      </c>
      <c r="AB100" s="973">
        <v>445.8</v>
      </c>
      <c r="AC100" s="975">
        <f t="shared" si="13"/>
        <v>0.5</v>
      </c>
    </row>
    <row r="101" spans="1:29" hidden="1">
      <c r="A101" s="430">
        <v>46079</v>
      </c>
      <c r="B101" s="468" t="s">
        <v>350</v>
      </c>
      <c r="C101" s="432" t="s">
        <v>291</v>
      </c>
      <c r="D101" s="469" t="s">
        <v>238</v>
      </c>
      <c r="E101" s="433" t="s">
        <v>45</v>
      </c>
      <c r="F101" s="434">
        <v>14</v>
      </c>
      <c r="G101" s="434">
        <v>40</v>
      </c>
      <c r="H101" s="460"/>
      <c r="I101" s="460">
        <f t="shared" si="9"/>
        <v>880</v>
      </c>
      <c r="J101" s="461">
        <f t="shared" si="10"/>
        <v>14.666666666666666</v>
      </c>
      <c r="K101" s="436" t="s">
        <v>54</v>
      </c>
      <c r="L101" s="436" t="s">
        <v>354</v>
      </c>
      <c r="M101" s="119"/>
      <c r="N101" s="463">
        <v>300</v>
      </c>
      <c r="O101" s="464">
        <f t="shared" si="8"/>
        <v>-8.8442543386161674</v>
      </c>
      <c r="P101" s="935">
        <v>90468</v>
      </c>
      <c r="Q101" s="119"/>
      <c r="R101" s="224">
        <v>70215</v>
      </c>
      <c r="S101" s="439">
        <v>871.8</v>
      </c>
      <c r="T101" s="232">
        <f t="shared" si="11"/>
        <v>5230.8</v>
      </c>
      <c r="U101" s="474">
        <f t="shared" si="12"/>
        <v>-8.2000000000000455</v>
      </c>
      <c r="W101" s="119"/>
      <c r="X101" s="844">
        <v>46140</v>
      </c>
      <c r="Y101" s="842">
        <v>15</v>
      </c>
      <c r="Z101" s="843">
        <v>14</v>
      </c>
      <c r="AA101" s="842">
        <v>38.5</v>
      </c>
      <c r="AB101" s="973">
        <v>878.5</v>
      </c>
      <c r="AC101" s="975">
        <f t="shared" si="13"/>
        <v>6.7000000000000455</v>
      </c>
    </row>
    <row r="102" spans="1:29">
      <c r="A102" s="430">
        <v>46079</v>
      </c>
      <c r="B102" s="468" t="s">
        <v>350</v>
      </c>
      <c r="C102" s="432" t="s">
        <v>291</v>
      </c>
      <c r="D102" s="469" t="s">
        <v>238</v>
      </c>
      <c r="E102" s="433" t="s">
        <v>44</v>
      </c>
      <c r="F102" s="434">
        <v>8</v>
      </c>
      <c r="G102" s="434">
        <v>12</v>
      </c>
      <c r="H102" s="460"/>
      <c r="I102" s="460">
        <f t="shared" si="9"/>
        <v>492</v>
      </c>
      <c r="J102" s="461">
        <f t="shared" si="10"/>
        <v>8.1999999999999993</v>
      </c>
      <c r="K102" s="436" t="s">
        <v>94</v>
      </c>
      <c r="L102" s="436" t="s">
        <v>351</v>
      </c>
      <c r="M102" s="119"/>
      <c r="N102" s="467">
        <v>355</v>
      </c>
      <c r="O102" s="464">
        <f t="shared" si="8"/>
        <v>41.050965699304186</v>
      </c>
      <c r="P102" s="935">
        <v>90502</v>
      </c>
      <c r="Q102" s="119"/>
      <c r="R102" s="224">
        <v>70216</v>
      </c>
      <c r="S102" s="439">
        <v>488</v>
      </c>
      <c r="T102" s="232">
        <f t="shared" si="11"/>
        <v>3464.7999999999997</v>
      </c>
      <c r="U102" s="474">
        <f t="shared" si="12"/>
        <v>-4</v>
      </c>
      <c r="W102" s="119"/>
      <c r="X102" s="844">
        <v>46140</v>
      </c>
      <c r="Y102" s="842">
        <v>9</v>
      </c>
      <c r="Z102" s="843">
        <v>8</v>
      </c>
      <c r="AA102" s="842">
        <v>13.9</v>
      </c>
      <c r="AB102" s="973">
        <v>493.9</v>
      </c>
      <c r="AC102" s="975">
        <f t="shared" si="13"/>
        <v>5.8999999999999773</v>
      </c>
    </row>
    <row r="103" spans="1:29" hidden="1">
      <c r="A103" s="430">
        <v>46079</v>
      </c>
      <c r="B103" s="468" t="s">
        <v>350</v>
      </c>
      <c r="C103" s="432" t="s">
        <v>291</v>
      </c>
      <c r="D103" s="469" t="s">
        <v>243</v>
      </c>
      <c r="E103" s="433" t="s">
        <v>46</v>
      </c>
      <c r="F103" s="434">
        <v>1</v>
      </c>
      <c r="G103" s="434">
        <v>46</v>
      </c>
      <c r="H103" s="460"/>
      <c r="I103" s="460">
        <f t="shared" si="9"/>
        <v>106</v>
      </c>
      <c r="J103" s="461">
        <f t="shared" si="10"/>
        <v>1.7666666666666666</v>
      </c>
      <c r="K103" s="436" t="s">
        <v>356</v>
      </c>
      <c r="L103" s="436" t="s">
        <v>354</v>
      </c>
      <c r="M103" s="119"/>
      <c r="N103" s="470">
        <v>242</v>
      </c>
      <c r="O103" s="464">
        <f t="shared" si="8"/>
        <v>-61.461031833150372</v>
      </c>
      <c r="P103" s="935">
        <v>90468</v>
      </c>
      <c r="Q103" s="119"/>
      <c r="R103" s="224">
        <v>70217</v>
      </c>
      <c r="S103" s="439">
        <v>106.1</v>
      </c>
      <c r="T103" s="232">
        <f t="shared" si="11"/>
        <v>513.524</v>
      </c>
      <c r="U103" s="474">
        <f t="shared" si="12"/>
        <v>9.9999999999994316E-2</v>
      </c>
      <c r="W103" s="119"/>
      <c r="X103" s="844">
        <v>46140</v>
      </c>
      <c r="Y103" s="842">
        <v>2</v>
      </c>
      <c r="Z103" s="843">
        <v>1</v>
      </c>
      <c r="AA103" s="842">
        <v>46.2</v>
      </c>
      <c r="AB103" s="973">
        <v>106.2</v>
      </c>
      <c r="AC103" s="975">
        <f t="shared" si="13"/>
        <v>0.10000000000000853</v>
      </c>
    </row>
    <row r="104" spans="1:29" hidden="1">
      <c r="A104" s="430">
        <v>46079</v>
      </c>
      <c r="B104" s="468" t="s">
        <v>350</v>
      </c>
      <c r="C104" s="432" t="s">
        <v>290</v>
      </c>
      <c r="D104" s="469" t="s">
        <v>1047</v>
      </c>
      <c r="E104" s="433" t="s">
        <v>45</v>
      </c>
      <c r="F104" s="434">
        <v>9</v>
      </c>
      <c r="G104" s="434">
        <v>44</v>
      </c>
      <c r="H104" s="460"/>
      <c r="I104" s="460">
        <f t="shared" si="9"/>
        <v>584</v>
      </c>
      <c r="J104" s="461">
        <f t="shared" si="10"/>
        <v>9.7333333333333325</v>
      </c>
      <c r="K104" s="436" t="s">
        <v>54</v>
      </c>
      <c r="L104" s="436" t="s">
        <v>354</v>
      </c>
      <c r="M104" s="119"/>
      <c r="N104" s="463">
        <v>300</v>
      </c>
      <c r="O104" s="464">
        <f t="shared" si="8"/>
        <v>-8.8442543386161674</v>
      </c>
      <c r="P104" s="935">
        <v>90468</v>
      </c>
      <c r="Q104" s="119"/>
      <c r="R104" s="224">
        <v>70218</v>
      </c>
      <c r="S104" s="439">
        <v>589</v>
      </c>
      <c r="T104" s="232">
        <f t="shared" si="11"/>
        <v>3534</v>
      </c>
      <c r="U104" s="474">
        <f t="shared" si="12"/>
        <v>5</v>
      </c>
      <c r="W104" s="119"/>
      <c r="X104" s="844">
        <v>46140</v>
      </c>
      <c r="Y104" s="842">
        <v>10</v>
      </c>
      <c r="Z104" s="843">
        <v>9</v>
      </c>
      <c r="AA104" s="842">
        <v>52</v>
      </c>
      <c r="AB104" s="973">
        <v>592</v>
      </c>
      <c r="AC104" s="975">
        <f t="shared" si="13"/>
        <v>3</v>
      </c>
    </row>
    <row r="105" spans="1:29">
      <c r="A105" s="430">
        <v>46079</v>
      </c>
      <c r="B105" s="468" t="s">
        <v>350</v>
      </c>
      <c r="C105" s="432" t="s">
        <v>290</v>
      </c>
      <c r="D105" s="469" t="s">
        <v>1047</v>
      </c>
      <c r="E105" s="433" t="s">
        <v>44</v>
      </c>
      <c r="F105" s="434">
        <v>4</v>
      </c>
      <c r="G105" s="434">
        <v>57</v>
      </c>
      <c r="H105" s="460"/>
      <c r="I105" s="460">
        <f t="shared" si="9"/>
        <v>297</v>
      </c>
      <c r="J105" s="461">
        <f t="shared" si="10"/>
        <v>4.95</v>
      </c>
      <c r="K105" s="436" t="s">
        <v>94</v>
      </c>
      <c r="L105" s="436" t="s">
        <v>351</v>
      </c>
      <c r="M105" s="119"/>
      <c r="N105" s="467">
        <v>355</v>
      </c>
      <c r="O105" s="464">
        <f t="shared" si="8"/>
        <v>41.050965699304186</v>
      </c>
      <c r="P105" s="935">
        <v>90502</v>
      </c>
      <c r="Q105" s="119"/>
      <c r="R105" s="224">
        <v>70219</v>
      </c>
      <c r="S105" s="439">
        <v>286.5</v>
      </c>
      <c r="T105" s="232">
        <f t="shared" si="11"/>
        <v>2034.15</v>
      </c>
      <c r="U105" s="474">
        <f t="shared" si="12"/>
        <v>-10.5</v>
      </c>
      <c r="W105" s="119"/>
      <c r="X105" s="844">
        <v>46140</v>
      </c>
      <c r="Y105" s="842">
        <v>5</v>
      </c>
      <c r="Z105" s="843">
        <v>4</v>
      </c>
      <c r="AA105" s="842">
        <v>45.5</v>
      </c>
      <c r="AB105" s="973">
        <v>285.5</v>
      </c>
      <c r="AC105" s="975">
        <f t="shared" si="13"/>
        <v>-1</v>
      </c>
    </row>
    <row r="106" spans="1:29" hidden="1">
      <c r="A106" s="430">
        <v>46079</v>
      </c>
      <c r="B106" s="468" t="s">
        <v>350</v>
      </c>
      <c r="C106" s="432" t="s">
        <v>289</v>
      </c>
      <c r="D106" s="469" t="s">
        <v>1039</v>
      </c>
      <c r="E106" s="433" t="s">
        <v>45</v>
      </c>
      <c r="F106" s="434">
        <v>11</v>
      </c>
      <c r="G106" s="434">
        <v>19</v>
      </c>
      <c r="H106" s="460"/>
      <c r="I106" s="460">
        <f t="shared" si="9"/>
        <v>679</v>
      </c>
      <c r="J106" s="461">
        <f t="shared" si="10"/>
        <v>11.316666666666666</v>
      </c>
      <c r="K106" s="436" t="s">
        <v>54</v>
      </c>
      <c r="L106" s="436" t="s">
        <v>354</v>
      </c>
      <c r="M106" s="119"/>
      <c r="N106" s="463">
        <v>300</v>
      </c>
      <c r="O106" s="464">
        <f t="shared" si="8"/>
        <v>-8.8442543386161674</v>
      </c>
      <c r="P106" s="935">
        <v>90468</v>
      </c>
      <c r="Q106" s="119"/>
      <c r="R106" s="224">
        <v>70220</v>
      </c>
      <c r="S106" s="439">
        <v>680.7</v>
      </c>
      <c r="T106" s="232">
        <f t="shared" si="11"/>
        <v>4084.2</v>
      </c>
      <c r="U106" s="474">
        <f t="shared" si="12"/>
        <v>1.7000000000000455</v>
      </c>
      <c r="W106" s="119"/>
      <c r="X106" s="844">
        <v>46140</v>
      </c>
      <c r="Y106" s="842">
        <v>12</v>
      </c>
      <c r="Z106" s="843">
        <v>11</v>
      </c>
      <c r="AA106" s="842">
        <v>21.2</v>
      </c>
      <c r="AB106" s="973">
        <v>681.2</v>
      </c>
      <c r="AC106" s="975">
        <f t="shared" si="13"/>
        <v>0.5</v>
      </c>
    </row>
    <row r="107" spans="1:29">
      <c r="A107" s="430">
        <v>46079</v>
      </c>
      <c r="B107" s="468" t="s">
        <v>350</v>
      </c>
      <c r="C107" s="432" t="s">
        <v>289</v>
      </c>
      <c r="D107" s="469" t="s">
        <v>358</v>
      </c>
      <c r="E107" s="433" t="s">
        <v>44</v>
      </c>
      <c r="F107" s="434">
        <v>6</v>
      </c>
      <c r="G107" s="434">
        <v>56</v>
      </c>
      <c r="H107" s="460"/>
      <c r="I107" s="460">
        <f t="shared" si="9"/>
        <v>416</v>
      </c>
      <c r="J107" s="461">
        <f t="shared" si="10"/>
        <v>6.9333333333333336</v>
      </c>
      <c r="K107" s="436" t="s">
        <v>94</v>
      </c>
      <c r="L107" s="436" t="s">
        <v>351</v>
      </c>
      <c r="M107" s="119"/>
      <c r="N107" s="467">
        <v>355</v>
      </c>
      <c r="O107" s="464">
        <f t="shared" si="8"/>
        <v>41.050965699304186</v>
      </c>
      <c r="P107" s="935">
        <v>90502</v>
      </c>
      <c r="Q107" s="119"/>
      <c r="R107" s="224">
        <v>70221</v>
      </c>
      <c r="S107" s="439">
        <v>416.9</v>
      </c>
      <c r="T107" s="232">
        <f t="shared" si="11"/>
        <v>2959.99</v>
      </c>
      <c r="U107" s="474">
        <f t="shared" si="12"/>
        <v>0.89999999999997726</v>
      </c>
      <c r="W107" s="119"/>
      <c r="X107" s="844">
        <v>46140</v>
      </c>
      <c r="Y107" s="842">
        <v>7</v>
      </c>
      <c r="Z107" s="843">
        <v>6</v>
      </c>
      <c r="AA107" s="842">
        <v>58.7</v>
      </c>
      <c r="AB107" s="973">
        <v>418.7</v>
      </c>
      <c r="AC107" s="975">
        <f t="shared" si="13"/>
        <v>1.8000000000000114</v>
      </c>
    </row>
    <row r="108" spans="1:29">
      <c r="A108" s="430">
        <v>46079</v>
      </c>
      <c r="B108" s="468" t="s">
        <v>350</v>
      </c>
      <c r="C108" s="432" t="s">
        <v>287</v>
      </c>
      <c r="D108" s="469" t="s">
        <v>1048</v>
      </c>
      <c r="E108" s="433" t="s">
        <v>44</v>
      </c>
      <c r="F108" s="434">
        <v>12</v>
      </c>
      <c r="G108" s="434">
        <v>63</v>
      </c>
      <c r="H108" s="460"/>
      <c r="I108" s="460">
        <f t="shared" si="9"/>
        <v>783</v>
      </c>
      <c r="J108" s="461">
        <f t="shared" si="10"/>
        <v>13.05</v>
      </c>
      <c r="K108" s="436" t="s">
        <v>94</v>
      </c>
      <c r="L108" s="436" t="s">
        <v>351</v>
      </c>
      <c r="M108" s="119"/>
      <c r="N108" s="467">
        <v>355</v>
      </c>
      <c r="O108" s="464">
        <f t="shared" si="8"/>
        <v>41.050965699304186</v>
      </c>
      <c r="P108" s="935">
        <v>90502</v>
      </c>
      <c r="Q108" s="119"/>
      <c r="R108" s="224">
        <v>70222</v>
      </c>
      <c r="S108" s="439">
        <v>785.1</v>
      </c>
      <c r="T108" s="232">
        <f t="shared" si="11"/>
        <v>5574.21</v>
      </c>
      <c r="U108" s="474">
        <f t="shared" si="12"/>
        <v>2.1000000000000227</v>
      </c>
      <c r="W108" s="119"/>
      <c r="X108" s="844">
        <v>46140</v>
      </c>
      <c r="Y108" s="842">
        <v>13</v>
      </c>
      <c r="Z108" s="843">
        <v>13</v>
      </c>
      <c r="AA108" s="842">
        <v>14.3</v>
      </c>
      <c r="AB108" s="973">
        <v>794.3</v>
      </c>
      <c r="AC108" s="975">
        <f t="shared" si="13"/>
        <v>9.1999999999999318</v>
      </c>
    </row>
    <row r="109" spans="1:29" hidden="1">
      <c r="A109" s="430">
        <v>46079</v>
      </c>
      <c r="B109" s="468" t="s">
        <v>350</v>
      </c>
      <c r="C109" s="432" t="s">
        <v>282</v>
      </c>
      <c r="D109" s="469" t="s">
        <v>238</v>
      </c>
      <c r="E109" s="433" t="s">
        <v>45</v>
      </c>
      <c r="F109" s="434">
        <v>11</v>
      </c>
      <c r="G109" s="434">
        <v>38</v>
      </c>
      <c r="H109" s="460"/>
      <c r="I109" s="460">
        <f t="shared" si="9"/>
        <v>698</v>
      </c>
      <c r="J109" s="461">
        <f t="shared" si="10"/>
        <v>11.633333333333333</v>
      </c>
      <c r="K109" s="436" t="s">
        <v>356</v>
      </c>
      <c r="L109" s="436" t="s">
        <v>354</v>
      </c>
      <c r="M109" s="119"/>
      <c r="N109" s="463">
        <v>300</v>
      </c>
      <c r="O109" s="464">
        <f t="shared" si="8"/>
        <v>-8.8442543386161674</v>
      </c>
      <c r="P109" s="935">
        <v>90468</v>
      </c>
      <c r="Q109" s="119"/>
      <c r="R109" s="224">
        <v>70223</v>
      </c>
      <c r="S109" s="439">
        <v>694.9</v>
      </c>
      <c r="T109" s="232">
        <f t="shared" si="11"/>
        <v>4169.3999999999996</v>
      </c>
      <c r="U109" s="474">
        <f t="shared" si="12"/>
        <v>-3.1000000000000227</v>
      </c>
      <c r="W109" s="119"/>
      <c r="X109" s="844">
        <v>46140</v>
      </c>
      <c r="Y109" s="842">
        <v>12</v>
      </c>
      <c r="Z109" s="843">
        <v>11</v>
      </c>
      <c r="AA109" s="842">
        <v>37.200000000000003</v>
      </c>
      <c r="AB109" s="973">
        <v>697.2</v>
      </c>
      <c r="AC109" s="975">
        <f t="shared" si="13"/>
        <v>2.3000000000000682</v>
      </c>
    </row>
    <row r="110" spans="1:29" hidden="1">
      <c r="A110" s="430">
        <v>46079</v>
      </c>
      <c r="B110" s="468" t="s">
        <v>350</v>
      </c>
      <c r="C110" s="432" t="s">
        <v>282</v>
      </c>
      <c r="D110" s="469" t="s">
        <v>238</v>
      </c>
      <c r="E110" s="433" t="s">
        <v>44</v>
      </c>
      <c r="F110" s="434">
        <v>7</v>
      </c>
      <c r="G110" s="434">
        <v>25</v>
      </c>
      <c r="H110" s="460"/>
      <c r="I110" s="460">
        <f t="shared" si="9"/>
        <v>445</v>
      </c>
      <c r="J110" s="461">
        <f t="shared" si="10"/>
        <v>7.416666666666667</v>
      </c>
      <c r="K110" s="436" t="s">
        <v>57</v>
      </c>
      <c r="L110" s="436" t="s">
        <v>354</v>
      </c>
      <c r="M110" s="119"/>
      <c r="N110" s="467">
        <v>320</v>
      </c>
      <c r="O110" s="464">
        <f t="shared" si="8"/>
        <v>9.2994620388094518</v>
      </c>
      <c r="P110" s="935">
        <v>90468</v>
      </c>
      <c r="Q110" s="119"/>
      <c r="R110" s="224">
        <v>70224</v>
      </c>
      <c r="S110" s="439">
        <v>445.5</v>
      </c>
      <c r="T110" s="232">
        <f t="shared" si="11"/>
        <v>2851.2</v>
      </c>
      <c r="U110" s="474">
        <f t="shared" si="12"/>
        <v>0.5</v>
      </c>
      <c r="W110" s="119"/>
      <c r="X110" s="844">
        <v>46140</v>
      </c>
      <c r="Y110" s="842">
        <v>8</v>
      </c>
      <c r="Z110" s="843">
        <v>7</v>
      </c>
      <c r="AA110" s="842">
        <v>25.8</v>
      </c>
      <c r="AB110" s="973">
        <v>445.8</v>
      </c>
      <c r="AC110" s="975">
        <f t="shared" si="13"/>
        <v>0.30000000000001137</v>
      </c>
    </row>
    <row r="111" spans="1:29" hidden="1">
      <c r="A111" s="430">
        <v>46079</v>
      </c>
      <c r="B111" s="468" t="s">
        <v>350</v>
      </c>
      <c r="C111" s="432" t="s">
        <v>282</v>
      </c>
      <c r="D111" s="469" t="s">
        <v>238</v>
      </c>
      <c r="E111" s="433" t="s">
        <v>46</v>
      </c>
      <c r="F111" s="434">
        <v>5</v>
      </c>
      <c r="G111" s="434">
        <v>57</v>
      </c>
      <c r="H111" s="460"/>
      <c r="I111" s="460">
        <f t="shared" si="9"/>
        <v>357</v>
      </c>
      <c r="J111" s="461">
        <f t="shared" si="10"/>
        <v>5.95</v>
      </c>
      <c r="K111" s="436" t="s">
        <v>60</v>
      </c>
      <c r="L111" s="462" t="s">
        <v>1030</v>
      </c>
      <c r="M111" s="119"/>
      <c r="N111" s="470">
        <v>242</v>
      </c>
      <c r="O111" s="464">
        <f t="shared" si="8"/>
        <v>-61.461031833150372</v>
      </c>
      <c r="P111" s="935">
        <v>90510</v>
      </c>
      <c r="Q111" s="119"/>
      <c r="R111" s="224">
        <v>70225</v>
      </c>
      <c r="S111" s="439">
        <v>356.1</v>
      </c>
      <c r="T111" s="232">
        <f t="shared" si="11"/>
        <v>1723.5240000000001</v>
      </c>
      <c r="U111" s="474">
        <f t="shared" si="12"/>
        <v>-0.89999999999997726</v>
      </c>
      <c r="W111" s="119"/>
      <c r="X111" s="844">
        <v>46140</v>
      </c>
      <c r="Y111" s="842">
        <v>6</v>
      </c>
      <c r="Z111" s="843">
        <v>5</v>
      </c>
      <c r="AA111" s="842">
        <v>58.6</v>
      </c>
      <c r="AB111" s="973">
        <v>358.6</v>
      </c>
      <c r="AC111" s="975">
        <f t="shared" si="13"/>
        <v>2.5</v>
      </c>
    </row>
    <row r="112" spans="1:29">
      <c r="A112" s="430">
        <v>46079</v>
      </c>
      <c r="B112" s="468" t="s">
        <v>350</v>
      </c>
      <c r="C112" s="432" t="s">
        <v>210</v>
      </c>
      <c r="D112" s="469" t="s">
        <v>233</v>
      </c>
      <c r="E112" s="433" t="s">
        <v>44</v>
      </c>
      <c r="F112" s="434">
        <v>9</v>
      </c>
      <c r="G112" s="434">
        <v>9</v>
      </c>
      <c r="H112" s="460"/>
      <c r="I112" s="460">
        <f t="shared" si="9"/>
        <v>549</v>
      </c>
      <c r="J112" s="461">
        <f t="shared" si="10"/>
        <v>9.15</v>
      </c>
      <c r="K112" s="436" t="s">
        <v>89</v>
      </c>
      <c r="L112" s="436" t="s">
        <v>351</v>
      </c>
      <c r="M112" s="119"/>
      <c r="N112" s="467">
        <v>355</v>
      </c>
      <c r="O112" s="464">
        <f t="shared" si="8"/>
        <v>41.050965699304186</v>
      </c>
      <c r="P112" s="935">
        <v>90502</v>
      </c>
      <c r="Q112" s="119"/>
      <c r="R112" s="224">
        <v>70228</v>
      </c>
      <c r="S112" s="439">
        <v>547.20000000000005</v>
      </c>
      <c r="T112" s="232">
        <f t="shared" si="11"/>
        <v>3885.1200000000003</v>
      </c>
      <c r="U112" s="474">
        <f t="shared" si="12"/>
        <v>-1.7999999999999545</v>
      </c>
      <c r="W112" s="119"/>
      <c r="X112" s="844">
        <v>46140</v>
      </c>
      <c r="Y112" s="842">
        <v>10</v>
      </c>
      <c r="Z112" s="843">
        <v>9</v>
      </c>
      <c r="AA112" s="842">
        <v>9</v>
      </c>
      <c r="AB112" s="973">
        <v>549</v>
      </c>
      <c r="AC112" s="975">
        <f t="shared" si="13"/>
        <v>1.7999999999999545</v>
      </c>
    </row>
    <row r="113" spans="1:29" hidden="1">
      <c r="A113" s="430">
        <v>46079</v>
      </c>
      <c r="B113" s="468" t="s">
        <v>350</v>
      </c>
      <c r="C113" s="432" t="s">
        <v>274</v>
      </c>
      <c r="D113" s="469" t="s">
        <v>1053</v>
      </c>
      <c r="E113" s="433" t="s">
        <v>45</v>
      </c>
      <c r="F113" s="434">
        <v>6</v>
      </c>
      <c r="G113" s="434">
        <v>62</v>
      </c>
      <c r="H113" s="460"/>
      <c r="I113" s="460">
        <f t="shared" si="9"/>
        <v>422</v>
      </c>
      <c r="J113" s="461">
        <f t="shared" si="10"/>
        <v>7.0333333333333332</v>
      </c>
      <c r="K113" s="436" t="s">
        <v>356</v>
      </c>
      <c r="L113" s="436" t="s">
        <v>354</v>
      </c>
      <c r="M113" s="119"/>
      <c r="N113" s="463">
        <v>300</v>
      </c>
      <c r="O113" s="464">
        <f t="shared" si="8"/>
        <v>-8.8442543386161674</v>
      </c>
      <c r="P113" s="935">
        <v>90468</v>
      </c>
      <c r="Q113" s="119"/>
      <c r="R113" s="224">
        <v>70229</v>
      </c>
      <c r="S113" s="439">
        <v>413.6</v>
      </c>
      <c r="T113" s="232">
        <f t="shared" si="11"/>
        <v>2481.6</v>
      </c>
      <c r="U113" s="474">
        <f t="shared" si="12"/>
        <v>-8.3999999999999773</v>
      </c>
      <c r="W113" s="119"/>
      <c r="X113" s="844">
        <v>46140</v>
      </c>
      <c r="Y113" s="842">
        <v>7</v>
      </c>
      <c r="Z113" s="843">
        <v>6</v>
      </c>
      <c r="AA113" s="842">
        <v>58.7</v>
      </c>
      <c r="AB113" s="973">
        <v>418.7</v>
      </c>
      <c r="AC113" s="975">
        <f t="shared" si="13"/>
        <v>5.0999999999999659</v>
      </c>
    </row>
    <row r="114" spans="1:29" hidden="1">
      <c r="A114" s="430">
        <v>46079</v>
      </c>
      <c r="B114" s="468" t="s">
        <v>350</v>
      </c>
      <c r="C114" s="432" t="s">
        <v>274</v>
      </c>
      <c r="D114" s="469" t="s">
        <v>1053</v>
      </c>
      <c r="E114" s="433" t="s">
        <v>44</v>
      </c>
      <c r="F114" s="434">
        <v>3</v>
      </c>
      <c r="G114" s="434">
        <v>33</v>
      </c>
      <c r="H114" s="460"/>
      <c r="I114" s="460">
        <f t="shared" si="9"/>
        <v>213</v>
      </c>
      <c r="J114" s="461">
        <f t="shared" si="10"/>
        <v>3.55</v>
      </c>
      <c r="K114" s="436" t="s">
        <v>57</v>
      </c>
      <c r="L114" s="436" t="s">
        <v>354</v>
      </c>
      <c r="M114" s="119"/>
      <c r="N114" s="467">
        <v>320</v>
      </c>
      <c r="O114" s="464">
        <f t="shared" si="8"/>
        <v>9.2994620388094518</v>
      </c>
      <c r="P114" s="935">
        <v>90468</v>
      </c>
      <c r="Q114" s="119"/>
      <c r="R114" s="224">
        <v>70230</v>
      </c>
      <c r="S114" s="439">
        <v>204.3</v>
      </c>
      <c r="T114" s="232">
        <f t="shared" si="11"/>
        <v>1307.5200000000002</v>
      </c>
      <c r="U114" s="474">
        <f t="shared" si="12"/>
        <v>-8.6999999999999886</v>
      </c>
      <c r="W114" s="119"/>
      <c r="X114" s="844">
        <v>46140</v>
      </c>
      <c r="Y114" s="842">
        <v>4</v>
      </c>
      <c r="Z114" s="843">
        <v>3</v>
      </c>
      <c r="AA114" s="842">
        <v>27.4</v>
      </c>
      <c r="AB114" s="973">
        <v>207.4</v>
      </c>
      <c r="AC114" s="975">
        <f t="shared" si="13"/>
        <v>3.0999999999999943</v>
      </c>
    </row>
    <row r="115" spans="1:29" hidden="1">
      <c r="A115" s="430">
        <v>46079</v>
      </c>
      <c r="B115" s="468" t="s">
        <v>350</v>
      </c>
      <c r="C115" s="432" t="s">
        <v>955</v>
      </c>
      <c r="D115" s="469" t="s">
        <v>240</v>
      </c>
      <c r="E115" s="433" t="s">
        <v>42</v>
      </c>
      <c r="F115" s="434">
        <v>20</v>
      </c>
      <c r="G115" s="434">
        <v>63</v>
      </c>
      <c r="H115" s="460"/>
      <c r="I115" s="460">
        <f t="shared" si="9"/>
        <v>1263</v>
      </c>
      <c r="J115" s="461">
        <f t="shared" si="10"/>
        <v>21.05</v>
      </c>
      <c r="K115" s="436" t="s">
        <v>54</v>
      </c>
      <c r="L115" s="436" t="s">
        <v>354</v>
      </c>
      <c r="M115" s="119"/>
      <c r="N115" s="457">
        <v>332</v>
      </c>
      <c r="O115" s="464">
        <f t="shared" si="8"/>
        <v>20.185691865264744</v>
      </c>
      <c r="P115" s="935">
        <v>90468</v>
      </c>
      <c r="Q115" s="119"/>
      <c r="R115" s="224">
        <v>70231</v>
      </c>
      <c r="S115" s="439">
        <v>1260.8</v>
      </c>
      <c r="T115" s="232">
        <f t="shared" si="11"/>
        <v>8371.7119999999995</v>
      </c>
      <c r="U115" s="474">
        <f t="shared" si="12"/>
        <v>-2.2000000000000455</v>
      </c>
      <c r="W115" s="119"/>
      <c r="X115" s="844">
        <v>46154</v>
      </c>
      <c r="Y115" s="845">
        <v>21</v>
      </c>
      <c r="Z115" s="845">
        <v>21</v>
      </c>
      <c r="AA115" s="845">
        <v>9.1</v>
      </c>
      <c r="AB115" s="974">
        <v>1269.0999999999999</v>
      </c>
      <c r="AC115" s="975">
        <f t="shared" si="13"/>
        <v>8.2999999999999545</v>
      </c>
    </row>
    <row r="116" spans="1:29" hidden="1">
      <c r="A116" s="430">
        <v>46079</v>
      </c>
      <c r="B116" s="468" t="s">
        <v>350</v>
      </c>
      <c r="C116" s="432" t="s">
        <v>955</v>
      </c>
      <c r="D116" s="469" t="s">
        <v>240</v>
      </c>
      <c r="E116" s="433" t="s">
        <v>45</v>
      </c>
      <c r="F116" s="434">
        <v>5</v>
      </c>
      <c r="G116" s="434">
        <v>66</v>
      </c>
      <c r="H116" s="460"/>
      <c r="I116" s="460">
        <f t="shared" si="9"/>
        <v>366</v>
      </c>
      <c r="J116" s="461">
        <f t="shared" si="10"/>
        <v>6.1</v>
      </c>
      <c r="K116" s="436" t="s">
        <v>57</v>
      </c>
      <c r="L116" s="436" t="s">
        <v>354</v>
      </c>
      <c r="M116" s="119"/>
      <c r="N116" s="463">
        <v>300</v>
      </c>
      <c r="O116" s="464">
        <f t="shared" si="8"/>
        <v>-8.8442543386161674</v>
      </c>
      <c r="P116" s="935">
        <v>90468</v>
      </c>
      <c r="Q116" s="119"/>
      <c r="R116" s="224">
        <v>70232</v>
      </c>
      <c r="S116" s="439">
        <v>366.2</v>
      </c>
      <c r="T116" s="232">
        <f t="shared" si="11"/>
        <v>2197.1999999999998</v>
      </c>
      <c r="U116" s="474">
        <f t="shared" si="12"/>
        <v>0.19999999999998863</v>
      </c>
      <c r="W116" s="119"/>
      <c r="X116" s="651">
        <v>46140</v>
      </c>
      <c r="Y116" s="842">
        <v>6</v>
      </c>
      <c r="Z116" s="843">
        <v>6</v>
      </c>
      <c r="AA116" s="842">
        <v>7.6</v>
      </c>
      <c r="AB116" s="973">
        <v>367.6</v>
      </c>
      <c r="AC116" s="975">
        <f t="shared" si="13"/>
        <v>1.4000000000000341</v>
      </c>
    </row>
    <row r="117" spans="1:29" hidden="1">
      <c r="A117" s="430">
        <v>46079</v>
      </c>
      <c r="B117" s="468" t="s">
        <v>350</v>
      </c>
      <c r="C117" s="432" t="s">
        <v>955</v>
      </c>
      <c r="D117" s="469" t="s">
        <v>240</v>
      </c>
      <c r="E117" s="433" t="s">
        <v>44</v>
      </c>
      <c r="F117" s="434">
        <v>3</v>
      </c>
      <c r="G117" s="434">
        <v>14</v>
      </c>
      <c r="H117" s="460"/>
      <c r="I117" s="460">
        <f t="shared" si="9"/>
        <v>194</v>
      </c>
      <c r="J117" s="461">
        <f t="shared" si="10"/>
        <v>3.2333333333333334</v>
      </c>
      <c r="K117" s="436" t="s">
        <v>54</v>
      </c>
      <c r="L117" s="436" t="s">
        <v>354</v>
      </c>
      <c r="M117" s="119"/>
      <c r="N117" s="467">
        <v>320</v>
      </c>
      <c r="O117" s="464">
        <f t="shared" si="8"/>
        <v>9.2994620388094518</v>
      </c>
      <c r="P117" s="935">
        <v>90468</v>
      </c>
      <c r="Q117" s="119"/>
      <c r="R117" s="224">
        <v>70233</v>
      </c>
      <c r="S117" s="439">
        <v>191.8</v>
      </c>
      <c r="T117" s="232">
        <f t="shared" si="11"/>
        <v>1227.52</v>
      </c>
      <c r="U117" s="474">
        <f t="shared" si="12"/>
        <v>-2.1999999999999886</v>
      </c>
      <c r="W117" s="119"/>
      <c r="X117" s="651">
        <v>46141</v>
      </c>
      <c r="Y117" s="842">
        <v>4</v>
      </c>
      <c r="Z117" s="843">
        <v>3</v>
      </c>
      <c r="AA117" s="842">
        <v>16.399999999999999</v>
      </c>
      <c r="AB117" s="973">
        <v>196.4</v>
      </c>
      <c r="AC117" s="975">
        <f t="shared" si="13"/>
        <v>4.5999999999999943</v>
      </c>
    </row>
    <row r="118" spans="1:29" hidden="1">
      <c r="A118" s="430">
        <v>46079</v>
      </c>
      <c r="B118" s="468" t="s">
        <v>350</v>
      </c>
      <c r="C118" s="432" t="s">
        <v>272</v>
      </c>
      <c r="D118" s="469" t="s">
        <v>236</v>
      </c>
      <c r="E118" s="433" t="s">
        <v>45</v>
      </c>
      <c r="F118" s="434">
        <v>18</v>
      </c>
      <c r="G118" s="434">
        <v>50</v>
      </c>
      <c r="H118" s="460"/>
      <c r="I118" s="460">
        <f t="shared" si="9"/>
        <v>1130</v>
      </c>
      <c r="J118" s="461">
        <f t="shared" si="10"/>
        <v>18.833333333333332</v>
      </c>
      <c r="K118" s="436" t="s">
        <v>56</v>
      </c>
      <c r="L118" s="436" t="s">
        <v>354</v>
      </c>
      <c r="M118" s="119"/>
      <c r="N118" s="463">
        <v>300</v>
      </c>
      <c r="O118" s="464">
        <f t="shared" si="8"/>
        <v>-8.8442543386161674</v>
      </c>
      <c r="P118" s="935">
        <v>90468</v>
      </c>
      <c r="Q118" s="119"/>
      <c r="R118" s="224">
        <v>70234</v>
      </c>
      <c r="S118" s="439">
        <v>1130.4000000000001</v>
      </c>
      <c r="T118" s="232">
        <f t="shared" si="11"/>
        <v>6782.4</v>
      </c>
      <c r="U118" s="474">
        <f t="shared" si="12"/>
        <v>0.40000000000009095</v>
      </c>
      <c r="W118" s="119"/>
      <c r="X118" s="651">
        <v>46140</v>
      </c>
      <c r="Y118" s="842">
        <v>19</v>
      </c>
      <c r="Z118" s="843">
        <v>19</v>
      </c>
      <c r="AA118" s="842">
        <v>4.9000000000000004</v>
      </c>
      <c r="AB118" s="973">
        <v>1144.9000000000001</v>
      </c>
      <c r="AC118" s="975">
        <f t="shared" si="13"/>
        <v>14.5</v>
      </c>
    </row>
    <row r="119" spans="1:29" hidden="1">
      <c r="A119" s="430">
        <v>46079</v>
      </c>
      <c r="B119" s="468" t="s">
        <v>350</v>
      </c>
      <c r="C119" s="432" t="s">
        <v>272</v>
      </c>
      <c r="D119" s="469" t="s">
        <v>236</v>
      </c>
      <c r="E119" s="433" t="s">
        <v>44</v>
      </c>
      <c r="F119" s="434">
        <v>9</v>
      </c>
      <c r="G119" s="434">
        <v>62</v>
      </c>
      <c r="H119" s="460"/>
      <c r="I119" s="460">
        <f t="shared" si="9"/>
        <v>602</v>
      </c>
      <c r="J119" s="461">
        <f t="shared" si="10"/>
        <v>10.033333333333333</v>
      </c>
      <c r="K119" s="436" t="s">
        <v>54</v>
      </c>
      <c r="L119" s="436" t="s">
        <v>354</v>
      </c>
      <c r="M119" s="119"/>
      <c r="N119" s="467">
        <v>320</v>
      </c>
      <c r="O119" s="464">
        <f t="shared" si="8"/>
        <v>9.2994620388094518</v>
      </c>
      <c r="P119" s="935">
        <v>90468</v>
      </c>
      <c r="Q119" s="119"/>
      <c r="R119" s="224">
        <v>70235</v>
      </c>
      <c r="S119" s="439">
        <v>603.20000000000005</v>
      </c>
      <c r="T119" s="232">
        <f t="shared" si="11"/>
        <v>3860.4800000000005</v>
      </c>
      <c r="U119" s="474">
        <f t="shared" si="12"/>
        <v>1.2000000000000455</v>
      </c>
      <c r="W119" s="119"/>
      <c r="X119" s="651">
        <v>46140</v>
      </c>
      <c r="Y119" s="842">
        <v>10</v>
      </c>
      <c r="Z119" s="843">
        <v>10</v>
      </c>
      <c r="AA119" s="842">
        <v>7</v>
      </c>
      <c r="AB119" s="973">
        <v>607</v>
      </c>
      <c r="AC119" s="975">
        <f t="shared" si="13"/>
        <v>3.7999999999999545</v>
      </c>
    </row>
    <row r="120" spans="1:29" hidden="1">
      <c r="A120" s="430">
        <v>46079</v>
      </c>
      <c r="B120" s="468" t="s">
        <v>350</v>
      </c>
      <c r="C120" s="432" t="s">
        <v>266</v>
      </c>
      <c r="D120" s="469" t="s">
        <v>239</v>
      </c>
      <c r="E120" s="433" t="s">
        <v>45</v>
      </c>
      <c r="F120" s="434">
        <v>29</v>
      </c>
      <c r="G120" s="434">
        <v>10</v>
      </c>
      <c r="H120" s="460"/>
      <c r="I120" s="460">
        <f t="shared" si="9"/>
        <v>1750</v>
      </c>
      <c r="J120" s="461">
        <f t="shared" si="10"/>
        <v>29.166666666666668</v>
      </c>
      <c r="K120" s="436" t="s">
        <v>56</v>
      </c>
      <c r="L120" s="436" t="s">
        <v>354</v>
      </c>
      <c r="M120" s="119"/>
      <c r="N120" s="463">
        <v>300</v>
      </c>
      <c r="O120" s="464">
        <f t="shared" si="8"/>
        <v>-8.8442543386161674</v>
      </c>
      <c r="P120" s="935">
        <v>90468</v>
      </c>
      <c r="Q120" s="119"/>
      <c r="R120" s="224">
        <v>70236</v>
      </c>
      <c r="S120" s="439">
        <v>1751.4</v>
      </c>
      <c r="T120" s="232">
        <f t="shared" si="11"/>
        <v>10508.4</v>
      </c>
      <c r="U120" s="474">
        <f t="shared" si="12"/>
        <v>1.4000000000000909</v>
      </c>
      <c r="W120" s="119"/>
      <c r="X120" s="651">
        <v>46140</v>
      </c>
      <c r="Y120" s="842">
        <v>30</v>
      </c>
      <c r="Z120" s="843">
        <v>29</v>
      </c>
      <c r="AA120" s="842">
        <v>28</v>
      </c>
      <c r="AB120" s="973">
        <v>1768</v>
      </c>
      <c r="AC120" s="975">
        <f t="shared" si="13"/>
        <v>16.599999999999909</v>
      </c>
    </row>
    <row r="121" spans="1:29" hidden="1">
      <c r="A121" s="430">
        <v>46079</v>
      </c>
      <c r="B121" s="468" t="s">
        <v>350</v>
      </c>
      <c r="C121" s="432" t="s">
        <v>266</v>
      </c>
      <c r="D121" s="469" t="s">
        <v>239</v>
      </c>
      <c r="E121" s="433" t="s">
        <v>44</v>
      </c>
      <c r="F121" s="434">
        <v>13</v>
      </c>
      <c r="G121" s="434">
        <v>19</v>
      </c>
      <c r="H121" s="460"/>
      <c r="I121" s="460">
        <f t="shared" si="9"/>
        <v>799</v>
      </c>
      <c r="J121" s="461">
        <f t="shared" si="10"/>
        <v>13.316666666666666</v>
      </c>
      <c r="K121" s="436" t="s">
        <v>45</v>
      </c>
      <c r="L121" s="436" t="s">
        <v>354</v>
      </c>
      <c r="M121" s="119"/>
      <c r="N121" s="467">
        <v>320</v>
      </c>
      <c r="O121" s="464">
        <f t="shared" si="8"/>
        <v>9.2994620388094518</v>
      </c>
      <c r="P121" s="935">
        <v>90468</v>
      </c>
      <c r="Q121" s="119"/>
      <c r="R121" s="224">
        <v>70237</v>
      </c>
      <c r="S121" s="439">
        <v>799.2</v>
      </c>
      <c r="T121" s="232">
        <f t="shared" si="11"/>
        <v>5114.8799999999992</v>
      </c>
      <c r="U121" s="474">
        <f t="shared" si="12"/>
        <v>0.20000000000004547</v>
      </c>
      <c r="W121" s="119"/>
      <c r="X121" s="651">
        <v>46140</v>
      </c>
      <c r="Y121" s="842">
        <v>14</v>
      </c>
      <c r="Z121" s="843">
        <v>13</v>
      </c>
      <c r="AA121" s="842">
        <v>26.4</v>
      </c>
      <c r="AB121" s="973">
        <v>806.4</v>
      </c>
      <c r="AC121" s="975">
        <f t="shared" si="13"/>
        <v>7.1999999999999318</v>
      </c>
    </row>
    <row r="122" spans="1:29" hidden="1">
      <c r="A122" s="430">
        <v>46079</v>
      </c>
      <c r="B122" s="468" t="s">
        <v>350</v>
      </c>
      <c r="C122" s="432" t="s">
        <v>266</v>
      </c>
      <c r="D122" s="469" t="s">
        <v>239</v>
      </c>
      <c r="E122" s="433" t="s">
        <v>46</v>
      </c>
      <c r="F122" s="434">
        <v>3</v>
      </c>
      <c r="G122" s="434">
        <v>11</v>
      </c>
      <c r="H122" s="460"/>
      <c r="I122" s="460">
        <f t="shared" si="9"/>
        <v>191</v>
      </c>
      <c r="J122" s="461">
        <f t="shared" si="10"/>
        <v>3.1833333333333331</v>
      </c>
      <c r="K122" s="436" t="s">
        <v>59</v>
      </c>
      <c r="L122" s="462" t="s">
        <v>1030</v>
      </c>
      <c r="M122" s="119"/>
      <c r="N122" s="470">
        <v>242</v>
      </c>
      <c r="O122" s="464">
        <f t="shared" si="8"/>
        <v>-61.461031833150372</v>
      </c>
      <c r="P122" s="935">
        <v>90510</v>
      </c>
      <c r="Q122" s="119"/>
      <c r="R122" s="224">
        <v>70238</v>
      </c>
      <c r="S122" s="439">
        <v>191.1</v>
      </c>
      <c r="T122" s="232">
        <f t="shared" si="11"/>
        <v>924.92399999999998</v>
      </c>
      <c r="U122" s="474">
        <f t="shared" si="12"/>
        <v>9.9999999999994316E-2</v>
      </c>
      <c r="W122" s="119"/>
      <c r="X122" s="651">
        <v>46141</v>
      </c>
      <c r="Y122" s="842">
        <v>4</v>
      </c>
      <c r="Z122" s="843">
        <v>3</v>
      </c>
      <c r="AA122" s="842">
        <v>13.4</v>
      </c>
      <c r="AB122" s="973">
        <v>193.4</v>
      </c>
      <c r="AC122" s="975">
        <f t="shared" si="13"/>
        <v>2.3000000000000114</v>
      </c>
    </row>
    <row r="123" spans="1:29" hidden="1">
      <c r="A123" s="430">
        <v>46079</v>
      </c>
      <c r="B123" s="468" t="s">
        <v>350</v>
      </c>
      <c r="C123" s="432" t="s">
        <v>264</v>
      </c>
      <c r="D123" s="469" t="s">
        <v>233</v>
      </c>
      <c r="E123" s="433" t="s">
        <v>45</v>
      </c>
      <c r="F123" s="434">
        <v>24</v>
      </c>
      <c r="G123" s="434">
        <v>19</v>
      </c>
      <c r="H123" s="460"/>
      <c r="I123" s="460">
        <f t="shared" si="9"/>
        <v>1459</v>
      </c>
      <c r="J123" s="461">
        <f t="shared" si="10"/>
        <v>24.316666666666666</v>
      </c>
      <c r="K123" s="436" t="s">
        <v>54</v>
      </c>
      <c r="L123" s="436" t="s">
        <v>354</v>
      </c>
      <c r="M123" s="119"/>
      <c r="N123" s="463">
        <v>300</v>
      </c>
      <c r="O123" s="464">
        <f t="shared" si="8"/>
        <v>-8.8442543386161674</v>
      </c>
      <c r="P123" s="935">
        <v>90468</v>
      </c>
      <c r="Q123" s="119"/>
      <c r="R123" s="224">
        <v>70239</v>
      </c>
      <c r="S123" s="439">
        <v>1454.4</v>
      </c>
      <c r="T123" s="232">
        <f t="shared" si="11"/>
        <v>8726.4000000000015</v>
      </c>
      <c r="U123" s="474">
        <f t="shared" si="12"/>
        <v>-4.5999999999999091</v>
      </c>
      <c r="W123" s="119"/>
      <c r="X123" s="651">
        <v>46140</v>
      </c>
      <c r="Y123" s="842">
        <v>25</v>
      </c>
      <c r="Z123" s="843">
        <v>24</v>
      </c>
      <c r="AA123" s="842">
        <v>33.5</v>
      </c>
      <c r="AB123" s="973">
        <v>1473.5</v>
      </c>
      <c r="AC123" s="975">
        <f t="shared" si="13"/>
        <v>19.099999999999909</v>
      </c>
    </row>
    <row r="124" spans="1:29">
      <c r="A124" s="430">
        <v>46079</v>
      </c>
      <c r="B124" s="468" t="s">
        <v>350</v>
      </c>
      <c r="C124" s="432" t="s">
        <v>264</v>
      </c>
      <c r="D124" s="469" t="s">
        <v>233</v>
      </c>
      <c r="E124" s="433" t="s">
        <v>44</v>
      </c>
      <c r="F124" s="434">
        <v>8</v>
      </c>
      <c r="G124" s="434">
        <v>35</v>
      </c>
      <c r="H124" s="460"/>
      <c r="I124" s="460">
        <f t="shared" si="9"/>
        <v>515</v>
      </c>
      <c r="J124" s="461">
        <f t="shared" si="10"/>
        <v>8.5833333333333339</v>
      </c>
      <c r="K124" s="436" t="s">
        <v>94</v>
      </c>
      <c r="L124" s="436" t="s">
        <v>351</v>
      </c>
      <c r="M124" s="119"/>
      <c r="N124" s="467">
        <v>355</v>
      </c>
      <c r="O124" s="464">
        <f t="shared" si="8"/>
        <v>41.050965699304186</v>
      </c>
      <c r="P124" s="935">
        <v>90502</v>
      </c>
      <c r="Q124" s="119"/>
      <c r="R124" s="224">
        <v>70240</v>
      </c>
      <c r="S124" s="439">
        <v>514</v>
      </c>
      <c r="T124" s="232">
        <f t="shared" si="11"/>
        <v>3649.3999999999996</v>
      </c>
      <c r="U124" s="474">
        <f t="shared" si="12"/>
        <v>-1</v>
      </c>
      <c r="W124" s="119"/>
      <c r="X124" s="651">
        <v>46140</v>
      </c>
      <c r="Y124" s="842">
        <v>9</v>
      </c>
      <c r="Z124" s="843">
        <v>8</v>
      </c>
      <c r="AA124" s="842">
        <v>37.9</v>
      </c>
      <c r="AB124" s="973">
        <v>517.9</v>
      </c>
      <c r="AC124" s="975">
        <f t="shared" si="13"/>
        <v>3.8999999999999773</v>
      </c>
    </row>
    <row r="125" spans="1:29" hidden="1">
      <c r="A125" s="430">
        <v>46079</v>
      </c>
      <c r="B125" s="468" t="s">
        <v>350</v>
      </c>
      <c r="C125" s="432" t="s">
        <v>263</v>
      </c>
      <c r="D125" s="469" t="s">
        <v>243</v>
      </c>
      <c r="E125" s="433" t="s">
        <v>44</v>
      </c>
      <c r="F125" s="434">
        <v>7</v>
      </c>
      <c r="G125" s="434">
        <v>7</v>
      </c>
      <c r="H125" s="460"/>
      <c r="I125" s="460">
        <f t="shared" si="9"/>
        <v>427</v>
      </c>
      <c r="J125" s="461">
        <f t="shared" si="10"/>
        <v>7.1166666666666663</v>
      </c>
      <c r="K125" s="436" t="s">
        <v>56</v>
      </c>
      <c r="L125" s="436" t="s">
        <v>354</v>
      </c>
      <c r="M125" s="119"/>
      <c r="N125" s="467">
        <v>320</v>
      </c>
      <c r="O125" s="464">
        <f t="shared" si="8"/>
        <v>9.2994620388094518</v>
      </c>
      <c r="P125" s="935">
        <v>90468</v>
      </c>
      <c r="Q125" s="119"/>
      <c r="R125" s="224">
        <v>70241</v>
      </c>
      <c r="S125" s="439">
        <v>427.3</v>
      </c>
      <c r="T125" s="232">
        <f t="shared" si="11"/>
        <v>2734.72</v>
      </c>
      <c r="U125" s="474">
        <f t="shared" si="12"/>
        <v>0.30000000000001137</v>
      </c>
      <c r="W125" s="119"/>
      <c r="X125" s="651">
        <v>46140</v>
      </c>
      <c r="Y125" s="842">
        <v>8</v>
      </c>
      <c r="Z125" s="843">
        <v>7</v>
      </c>
      <c r="AA125" s="842">
        <v>10.8</v>
      </c>
      <c r="AB125" s="973">
        <v>430.8</v>
      </c>
      <c r="AC125" s="975">
        <f t="shared" si="13"/>
        <v>3.5</v>
      </c>
    </row>
    <row r="126" spans="1:29">
      <c r="A126" s="430">
        <v>46079</v>
      </c>
      <c r="B126" s="468" t="s">
        <v>350</v>
      </c>
      <c r="C126" s="432" t="s">
        <v>368</v>
      </c>
      <c r="D126" s="469" t="s">
        <v>237</v>
      </c>
      <c r="E126" s="433" t="s">
        <v>44</v>
      </c>
      <c r="F126" s="434">
        <v>5</v>
      </c>
      <c r="G126" s="434">
        <v>47</v>
      </c>
      <c r="H126" s="460"/>
      <c r="I126" s="460">
        <f t="shared" si="9"/>
        <v>347</v>
      </c>
      <c r="J126" s="461">
        <f t="shared" si="10"/>
        <v>5.7833333333333332</v>
      </c>
      <c r="K126" s="436" t="s">
        <v>94</v>
      </c>
      <c r="L126" s="436" t="s">
        <v>351</v>
      </c>
      <c r="M126" s="119"/>
      <c r="N126" s="467">
        <v>355</v>
      </c>
      <c r="O126" s="464">
        <f t="shared" si="8"/>
        <v>41.050965699304186</v>
      </c>
      <c r="P126" s="935">
        <v>90502</v>
      </c>
      <c r="Q126" s="119"/>
      <c r="R126" s="224">
        <v>70242</v>
      </c>
      <c r="S126" s="439">
        <v>345</v>
      </c>
      <c r="T126" s="232">
        <f t="shared" si="11"/>
        <v>2449.5</v>
      </c>
      <c r="U126" s="474">
        <f t="shared" si="12"/>
        <v>-2</v>
      </c>
      <c r="W126" s="119"/>
      <c r="X126" s="651">
        <v>46140</v>
      </c>
      <c r="Y126" s="842">
        <v>6</v>
      </c>
      <c r="Z126" s="843">
        <v>5</v>
      </c>
      <c r="AA126" s="842">
        <v>46.6</v>
      </c>
      <c r="AB126" s="973">
        <v>346.6</v>
      </c>
      <c r="AC126" s="975">
        <f t="shared" si="13"/>
        <v>1.6000000000000227</v>
      </c>
    </row>
    <row r="127" spans="1:29" hidden="1">
      <c r="A127" s="430">
        <v>46079</v>
      </c>
      <c r="B127" s="465" t="s">
        <v>350</v>
      </c>
      <c r="C127" s="452" t="s">
        <v>369</v>
      </c>
      <c r="D127" s="466" t="s">
        <v>265</v>
      </c>
      <c r="E127" s="454" t="s">
        <v>45</v>
      </c>
      <c r="F127" s="455">
        <v>18</v>
      </c>
      <c r="G127" s="455">
        <v>0</v>
      </c>
      <c r="H127" s="1119"/>
      <c r="I127" s="460">
        <f t="shared" si="9"/>
        <v>1080</v>
      </c>
      <c r="J127" s="461">
        <f t="shared" si="10"/>
        <v>18</v>
      </c>
      <c r="K127" s="449" t="s">
        <v>54</v>
      </c>
      <c r="L127" s="450" t="s">
        <v>354</v>
      </c>
      <c r="M127" s="456"/>
      <c r="N127" s="463">
        <v>300</v>
      </c>
      <c r="O127" s="464">
        <f t="shared" si="8"/>
        <v>-8.8442543386161674</v>
      </c>
      <c r="P127" s="935">
        <v>90468</v>
      </c>
      <c r="Q127" s="119"/>
      <c r="R127" s="224">
        <v>70243</v>
      </c>
      <c r="S127" s="439">
        <v>1072</v>
      </c>
      <c r="T127" s="232">
        <f t="shared" si="11"/>
        <v>6432</v>
      </c>
      <c r="U127" s="474">
        <f t="shared" si="12"/>
        <v>-8</v>
      </c>
      <c r="W127" s="119"/>
      <c r="X127" s="844">
        <v>46140</v>
      </c>
      <c r="Y127" s="845">
        <v>18</v>
      </c>
      <c r="Z127" s="845">
        <v>18</v>
      </c>
      <c r="AA127" s="845">
        <v>1.8</v>
      </c>
      <c r="AB127" s="974">
        <v>1081.8</v>
      </c>
      <c r="AC127" s="975">
        <f t="shared" si="13"/>
        <v>9.7999999999999545</v>
      </c>
    </row>
    <row r="128" spans="1:29" hidden="1">
      <c r="A128" s="430">
        <v>46079</v>
      </c>
      <c r="B128" s="465" t="s">
        <v>350</v>
      </c>
      <c r="C128" s="452" t="s">
        <v>369</v>
      </c>
      <c r="D128" s="466" t="s">
        <v>265</v>
      </c>
      <c r="E128" s="454" t="s">
        <v>43</v>
      </c>
      <c r="F128" s="455">
        <v>81</v>
      </c>
      <c r="G128" s="455">
        <v>57</v>
      </c>
      <c r="H128" s="1119"/>
      <c r="I128" s="460">
        <f t="shared" si="9"/>
        <v>4917</v>
      </c>
      <c r="J128" s="461">
        <f t="shared" si="10"/>
        <v>81.95</v>
      </c>
      <c r="K128" s="449" t="s">
        <v>45</v>
      </c>
      <c r="L128" s="450" t="s">
        <v>354</v>
      </c>
      <c r="M128" s="456"/>
      <c r="N128" s="467">
        <v>320</v>
      </c>
      <c r="O128" s="464">
        <f t="shared" si="8"/>
        <v>9.2994620388094518</v>
      </c>
      <c r="P128" s="935">
        <v>90468</v>
      </c>
      <c r="Q128" s="119"/>
      <c r="R128" s="224">
        <v>70244</v>
      </c>
      <c r="S128" s="439">
        <v>4869.5</v>
      </c>
      <c r="T128" s="232">
        <f t="shared" si="11"/>
        <v>31164.799999999996</v>
      </c>
      <c r="U128" s="474">
        <f t="shared" si="12"/>
        <v>-47.5</v>
      </c>
      <c r="W128" s="119"/>
      <c r="X128" s="651">
        <v>46140</v>
      </c>
      <c r="Y128" s="842">
        <v>82</v>
      </c>
      <c r="Z128" s="843">
        <v>81</v>
      </c>
      <c r="AA128" s="842">
        <v>55.2</v>
      </c>
      <c r="AB128" s="973">
        <v>4915.2</v>
      </c>
      <c r="AC128" s="975">
        <f t="shared" si="13"/>
        <v>45.699999999999818</v>
      </c>
    </row>
    <row r="129" spans="1:29" hidden="1">
      <c r="A129" s="430">
        <v>46079</v>
      </c>
      <c r="B129" s="465" t="s">
        <v>350</v>
      </c>
      <c r="C129" s="452" t="s">
        <v>369</v>
      </c>
      <c r="D129" s="466" t="s">
        <v>265</v>
      </c>
      <c r="E129" s="454" t="s">
        <v>44</v>
      </c>
      <c r="F129" s="455">
        <v>8</v>
      </c>
      <c r="G129" s="455">
        <v>0</v>
      </c>
      <c r="H129" s="1119"/>
      <c r="I129" s="460">
        <f t="shared" si="9"/>
        <v>480</v>
      </c>
      <c r="J129" s="461">
        <f t="shared" si="10"/>
        <v>8</v>
      </c>
      <c r="K129" s="449" t="s">
        <v>45</v>
      </c>
      <c r="L129" s="450" t="s">
        <v>354</v>
      </c>
      <c r="M129" s="456"/>
      <c r="N129" s="467">
        <v>320</v>
      </c>
      <c r="O129" s="464">
        <f t="shared" si="8"/>
        <v>9.2994620388094518</v>
      </c>
      <c r="P129" s="935">
        <v>90468</v>
      </c>
      <c r="Q129" s="119"/>
      <c r="R129" s="224">
        <v>70245</v>
      </c>
      <c r="S129" s="439">
        <v>477.6</v>
      </c>
      <c r="T129" s="232">
        <f t="shared" si="11"/>
        <v>3056.64</v>
      </c>
      <c r="U129" s="474">
        <f t="shared" si="12"/>
        <v>-2.3999999999999773</v>
      </c>
      <c r="W129" s="119"/>
      <c r="X129" s="651">
        <v>46140</v>
      </c>
      <c r="Y129" s="842">
        <v>8</v>
      </c>
      <c r="Z129" s="843">
        <v>8</v>
      </c>
      <c r="AA129" s="842">
        <v>1.8</v>
      </c>
      <c r="AB129" s="973">
        <v>481.8</v>
      </c>
      <c r="AC129" s="975">
        <f t="shared" si="13"/>
        <v>4.1999999999999886</v>
      </c>
    </row>
    <row r="130" spans="1:29" hidden="1">
      <c r="A130" s="430">
        <v>46079</v>
      </c>
      <c r="B130" s="465" t="s">
        <v>350</v>
      </c>
      <c r="C130" s="452" t="s">
        <v>369</v>
      </c>
      <c r="D130" s="466" t="s">
        <v>265</v>
      </c>
      <c r="E130" s="454" t="s">
        <v>42</v>
      </c>
      <c r="F130" s="455">
        <v>64</v>
      </c>
      <c r="G130" s="455">
        <v>12</v>
      </c>
      <c r="H130" s="1119"/>
      <c r="I130" s="460">
        <f t="shared" si="9"/>
        <v>3852</v>
      </c>
      <c r="J130" s="461">
        <f t="shared" si="10"/>
        <v>64.2</v>
      </c>
      <c r="K130" s="449" t="s">
        <v>45</v>
      </c>
      <c r="L130" s="450" t="s">
        <v>354</v>
      </c>
      <c r="M130" s="456"/>
      <c r="N130" s="457">
        <v>332</v>
      </c>
      <c r="O130" s="464">
        <f t="shared" ref="O130:O155" si="14">(N130/50/2.20462)*100-$Q$1</f>
        <v>20.185691865264744</v>
      </c>
      <c r="P130" s="935">
        <v>90468</v>
      </c>
      <c r="Q130" s="119"/>
      <c r="R130" s="224">
        <v>70246</v>
      </c>
      <c r="S130" s="439">
        <v>3813.8</v>
      </c>
      <c r="T130" s="232">
        <f t="shared" si="11"/>
        <v>25323.632000000001</v>
      </c>
      <c r="U130" s="474">
        <f t="shared" si="12"/>
        <v>-38.199999999999818</v>
      </c>
      <c r="W130" s="119"/>
      <c r="X130" s="651">
        <v>46140</v>
      </c>
      <c r="Y130" s="842">
        <v>65</v>
      </c>
      <c r="Z130" s="843">
        <v>64</v>
      </c>
      <c r="AA130" s="842">
        <v>10.5</v>
      </c>
      <c r="AB130" s="973">
        <v>3850.5</v>
      </c>
      <c r="AC130" s="975">
        <f t="shared" si="13"/>
        <v>36.699999999999818</v>
      </c>
    </row>
    <row r="131" spans="1:29" hidden="1">
      <c r="A131" s="430">
        <v>46079</v>
      </c>
      <c r="B131" s="458" t="s">
        <v>350</v>
      </c>
      <c r="C131" s="205" t="s">
        <v>261</v>
      </c>
      <c r="D131" s="459" t="s">
        <v>265</v>
      </c>
      <c r="E131" s="447" t="s">
        <v>45</v>
      </c>
      <c r="F131" s="448">
        <v>42</v>
      </c>
      <c r="G131" s="448">
        <v>17</v>
      </c>
      <c r="H131" s="1118"/>
      <c r="I131" s="460">
        <f t="shared" ref="I131:I155" si="15">F131*60+G131</f>
        <v>2537</v>
      </c>
      <c r="J131" s="461">
        <f t="shared" ref="J131:J155" si="16">+I131/60</f>
        <v>42.283333333333331</v>
      </c>
      <c r="K131" s="449" t="s">
        <v>54</v>
      </c>
      <c r="L131" s="450" t="s">
        <v>354</v>
      </c>
      <c r="M131" s="451"/>
      <c r="N131" s="463">
        <v>300</v>
      </c>
      <c r="O131" s="464">
        <f t="shared" si="14"/>
        <v>-8.8442543386161674</v>
      </c>
      <c r="P131" s="935">
        <v>90468</v>
      </c>
      <c r="Q131" s="119"/>
      <c r="R131" s="224">
        <v>70247</v>
      </c>
      <c r="S131" s="439">
        <v>2531.1999999999998</v>
      </c>
      <c r="T131" s="232">
        <f t="shared" ref="T131:T155" si="17">(S131/60*N131)*1.2</f>
        <v>15187.199999999997</v>
      </c>
      <c r="U131" s="474">
        <f t="shared" ref="U131:U155" si="18">S131-I131</f>
        <v>-5.8000000000001819</v>
      </c>
      <c r="W131" s="119"/>
      <c r="X131" s="651">
        <v>46140</v>
      </c>
      <c r="Y131" s="842">
        <v>43</v>
      </c>
      <c r="Z131" s="843">
        <v>42</v>
      </c>
      <c r="AA131" s="842">
        <v>26.3</v>
      </c>
      <c r="AB131" s="973">
        <v>2546.3000000000002</v>
      </c>
      <c r="AC131" s="975">
        <f t="shared" ref="AC131:AC155" si="19">AB131-S131</f>
        <v>15.100000000000364</v>
      </c>
    </row>
    <row r="132" spans="1:29" hidden="1">
      <c r="A132" s="430">
        <v>46079</v>
      </c>
      <c r="B132" s="465" t="s">
        <v>350</v>
      </c>
      <c r="C132" s="452" t="s">
        <v>261</v>
      </c>
      <c r="D132" s="466" t="s">
        <v>265</v>
      </c>
      <c r="E132" s="454" t="s">
        <v>44</v>
      </c>
      <c r="F132" s="455">
        <v>16</v>
      </c>
      <c r="G132" s="455">
        <v>11</v>
      </c>
      <c r="H132" s="1119"/>
      <c r="I132" s="460">
        <f t="shared" si="15"/>
        <v>971</v>
      </c>
      <c r="J132" s="461">
        <f t="shared" si="16"/>
        <v>16.183333333333334</v>
      </c>
      <c r="K132" s="449" t="s">
        <v>45</v>
      </c>
      <c r="L132" s="450" t="s">
        <v>354</v>
      </c>
      <c r="M132" s="456"/>
      <c r="N132" s="467">
        <v>320</v>
      </c>
      <c r="O132" s="464">
        <f t="shared" si="14"/>
        <v>9.2994620388094518</v>
      </c>
      <c r="P132" s="935">
        <v>90468</v>
      </c>
      <c r="Q132" s="119"/>
      <c r="R132" s="224">
        <v>70249</v>
      </c>
      <c r="S132" s="439">
        <v>967.8</v>
      </c>
      <c r="T132" s="232">
        <f t="shared" si="17"/>
        <v>6193.9199999999992</v>
      </c>
      <c r="U132" s="474">
        <f t="shared" si="18"/>
        <v>-3.2000000000000455</v>
      </c>
      <c r="W132" s="119"/>
      <c r="X132" s="651">
        <v>46140</v>
      </c>
      <c r="Y132" s="842">
        <v>17</v>
      </c>
      <c r="Z132" s="843">
        <v>16</v>
      </c>
      <c r="AA132" s="842">
        <v>23.7</v>
      </c>
      <c r="AB132" s="973">
        <v>983.7</v>
      </c>
      <c r="AC132" s="975">
        <f t="shared" si="19"/>
        <v>15.900000000000091</v>
      </c>
    </row>
    <row r="133" spans="1:29" hidden="1">
      <c r="A133" s="430">
        <v>46079</v>
      </c>
      <c r="B133" s="468" t="s">
        <v>350</v>
      </c>
      <c r="C133" s="432" t="s">
        <v>261</v>
      </c>
      <c r="D133" s="469" t="s">
        <v>239</v>
      </c>
      <c r="E133" s="433" t="s">
        <v>46</v>
      </c>
      <c r="F133" s="434">
        <v>3</v>
      </c>
      <c r="G133" s="434">
        <v>24</v>
      </c>
      <c r="H133" s="460"/>
      <c r="I133" s="460">
        <f t="shared" si="15"/>
        <v>204</v>
      </c>
      <c r="J133" s="461">
        <f t="shared" si="16"/>
        <v>3.4</v>
      </c>
      <c r="K133" s="436" t="s">
        <v>59</v>
      </c>
      <c r="L133" s="462" t="s">
        <v>1030</v>
      </c>
      <c r="M133" s="119"/>
      <c r="N133" s="470">
        <v>242</v>
      </c>
      <c r="O133" s="464">
        <f t="shared" si="14"/>
        <v>-61.461031833150372</v>
      </c>
      <c r="P133" s="935">
        <v>90510</v>
      </c>
      <c r="Q133" s="119"/>
      <c r="R133" s="224">
        <v>70250</v>
      </c>
      <c r="S133" s="439">
        <v>203.9</v>
      </c>
      <c r="T133" s="232">
        <f t="shared" si="17"/>
        <v>986.87599999999998</v>
      </c>
      <c r="U133" s="474">
        <f t="shared" si="18"/>
        <v>-9.9999999999994316E-2</v>
      </c>
      <c r="W133" s="119"/>
      <c r="X133" s="651">
        <v>46140</v>
      </c>
      <c r="Y133" s="842">
        <v>4</v>
      </c>
      <c r="Z133" s="843">
        <v>3</v>
      </c>
      <c r="AA133" s="842">
        <v>26.4</v>
      </c>
      <c r="AB133" s="973">
        <v>206.4</v>
      </c>
      <c r="AC133" s="975">
        <f t="shared" si="19"/>
        <v>2.5</v>
      </c>
    </row>
    <row r="134" spans="1:29" hidden="1">
      <c r="A134" s="430">
        <v>46079</v>
      </c>
      <c r="B134" s="458" t="s">
        <v>350</v>
      </c>
      <c r="C134" s="205" t="s">
        <v>370</v>
      </c>
      <c r="D134" s="459" t="s">
        <v>271</v>
      </c>
      <c r="E134" s="447" t="s">
        <v>45</v>
      </c>
      <c r="F134" s="448">
        <v>15</v>
      </c>
      <c r="G134" s="448">
        <v>33</v>
      </c>
      <c r="H134" s="1118"/>
      <c r="I134" s="460">
        <f t="shared" si="15"/>
        <v>933</v>
      </c>
      <c r="J134" s="461">
        <f t="shared" si="16"/>
        <v>15.55</v>
      </c>
      <c r="K134" s="449" t="s">
        <v>56</v>
      </c>
      <c r="L134" s="450" t="s">
        <v>354</v>
      </c>
      <c r="M134" s="451"/>
      <c r="N134" s="463">
        <v>300</v>
      </c>
      <c r="O134" s="464">
        <f t="shared" si="14"/>
        <v>-8.8442543386161674</v>
      </c>
      <c r="P134" s="935">
        <v>90468</v>
      </c>
      <c r="Q134" s="119"/>
      <c r="R134" s="224">
        <v>70251</v>
      </c>
      <c r="S134" s="439">
        <v>930.9</v>
      </c>
      <c r="T134" s="232">
        <f t="shared" si="17"/>
        <v>5585.4</v>
      </c>
      <c r="U134" s="474">
        <f t="shared" si="18"/>
        <v>-2.1000000000000227</v>
      </c>
      <c r="W134" s="119"/>
      <c r="X134" s="651">
        <v>46140</v>
      </c>
      <c r="Y134" s="842">
        <v>16</v>
      </c>
      <c r="Z134" s="843">
        <v>15</v>
      </c>
      <c r="AA134" s="842">
        <v>41.6</v>
      </c>
      <c r="AB134" s="973">
        <v>941.6</v>
      </c>
      <c r="AC134" s="975">
        <f t="shared" si="19"/>
        <v>10.700000000000045</v>
      </c>
    </row>
    <row r="135" spans="1:29" hidden="1">
      <c r="A135" s="430">
        <v>46079</v>
      </c>
      <c r="B135" s="465" t="s">
        <v>350</v>
      </c>
      <c r="C135" s="452" t="s">
        <v>370</v>
      </c>
      <c r="D135" s="466" t="s">
        <v>271</v>
      </c>
      <c r="E135" s="454" t="s">
        <v>43</v>
      </c>
      <c r="F135" s="455">
        <v>56</v>
      </c>
      <c r="G135" s="455"/>
      <c r="H135" s="1119"/>
      <c r="I135" s="460">
        <f t="shared" si="15"/>
        <v>3360</v>
      </c>
      <c r="J135" s="461">
        <f t="shared" si="16"/>
        <v>56</v>
      </c>
      <c r="K135" s="449" t="s">
        <v>54</v>
      </c>
      <c r="L135" s="450" t="s">
        <v>354</v>
      </c>
      <c r="M135" s="456"/>
      <c r="N135" s="467">
        <v>320</v>
      </c>
      <c r="O135" s="464">
        <f t="shared" si="14"/>
        <v>9.2994620388094518</v>
      </c>
      <c r="P135" s="935">
        <v>90468</v>
      </c>
      <c r="Q135" s="119"/>
      <c r="R135" s="224">
        <v>70252</v>
      </c>
      <c r="S135" s="439">
        <v>3359.8</v>
      </c>
      <c r="T135" s="232">
        <f t="shared" si="17"/>
        <v>21502.720000000001</v>
      </c>
      <c r="U135" s="474">
        <f t="shared" si="18"/>
        <v>-0.1999999999998181</v>
      </c>
      <c r="W135" s="119"/>
      <c r="X135" s="651">
        <v>46140</v>
      </c>
      <c r="Y135" s="842">
        <v>56</v>
      </c>
      <c r="Z135" s="843">
        <v>56</v>
      </c>
      <c r="AA135" s="842">
        <v>24.6</v>
      </c>
      <c r="AB135" s="973">
        <v>3384.6</v>
      </c>
      <c r="AC135" s="975">
        <f t="shared" si="19"/>
        <v>24.799999999999727</v>
      </c>
    </row>
    <row r="136" spans="1:29" hidden="1">
      <c r="A136" s="430">
        <v>46079</v>
      </c>
      <c r="B136" s="458" t="s">
        <v>350</v>
      </c>
      <c r="C136" s="205" t="s">
        <v>370</v>
      </c>
      <c r="D136" s="459" t="s">
        <v>271</v>
      </c>
      <c r="E136" s="447" t="s">
        <v>44</v>
      </c>
      <c r="F136" s="448">
        <v>7</v>
      </c>
      <c r="G136" s="448">
        <v>57</v>
      </c>
      <c r="H136" s="1118"/>
      <c r="I136" s="460">
        <f t="shared" si="15"/>
        <v>477</v>
      </c>
      <c r="J136" s="461">
        <f t="shared" si="16"/>
        <v>7.95</v>
      </c>
      <c r="K136" s="449" t="s">
        <v>54</v>
      </c>
      <c r="L136" s="450" t="s">
        <v>354</v>
      </c>
      <c r="M136" s="451"/>
      <c r="N136" s="467">
        <v>320</v>
      </c>
      <c r="O136" s="464">
        <f t="shared" si="14"/>
        <v>9.2994620388094518</v>
      </c>
      <c r="P136" s="935">
        <v>90468</v>
      </c>
      <c r="Q136" s="119"/>
      <c r="R136" s="224">
        <v>70253</v>
      </c>
      <c r="S136" s="439">
        <v>475.9</v>
      </c>
      <c r="T136" s="232">
        <f t="shared" si="17"/>
        <v>3045.7599999999998</v>
      </c>
      <c r="U136" s="474">
        <f t="shared" si="18"/>
        <v>-1.1000000000000227</v>
      </c>
      <c r="W136" s="119"/>
      <c r="X136" s="651">
        <v>46140</v>
      </c>
      <c r="Y136" s="842">
        <v>8</v>
      </c>
      <c r="Z136" s="843">
        <v>7</v>
      </c>
      <c r="AA136" s="842">
        <v>49.8</v>
      </c>
      <c r="AB136" s="973">
        <v>469.8</v>
      </c>
      <c r="AC136" s="975">
        <f t="shared" si="19"/>
        <v>-6.0999999999999659</v>
      </c>
    </row>
    <row r="137" spans="1:29" hidden="1">
      <c r="A137" s="430">
        <v>46079</v>
      </c>
      <c r="B137" s="465" t="s">
        <v>350</v>
      </c>
      <c r="C137" s="452" t="s">
        <v>370</v>
      </c>
      <c r="D137" s="466" t="s">
        <v>271</v>
      </c>
      <c r="E137" s="454" t="s">
        <v>42</v>
      </c>
      <c r="F137" s="455">
        <v>61</v>
      </c>
      <c r="G137" s="455">
        <v>30</v>
      </c>
      <c r="H137" s="1119"/>
      <c r="I137" s="460">
        <f t="shared" si="15"/>
        <v>3690</v>
      </c>
      <c r="J137" s="461">
        <f t="shared" si="16"/>
        <v>61.5</v>
      </c>
      <c r="K137" s="449" t="s">
        <v>54</v>
      </c>
      <c r="L137" s="450" t="s">
        <v>354</v>
      </c>
      <c r="M137" s="456"/>
      <c r="N137" s="457">
        <v>332</v>
      </c>
      <c r="O137" s="464">
        <f t="shared" si="14"/>
        <v>20.185691865264744</v>
      </c>
      <c r="P137" s="935">
        <v>90468</v>
      </c>
      <c r="Q137" s="119"/>
      <c r="R137" s="224">
        <v>70254</v>
      </c>
      <c r="S137" s="439">
        <v>3684.7</v>
      </c>
      <c r="T137" s="232">
        <f t="shared" si="17"/>
        <v>24466.407999999999</v>
      </c>
      <c r="U137" s="474">
        <f t="shared" si="18"/>
        <v>-5.3000000000001819</v>
      </c>
      <c r="W137" s="119"/>
      <c r="X137" s="651">
        <v>46140</v>
      </c>
      <c r="Y137" s="842">
        <v>62</v>
      </c>
      <c r="Z137" s="843">
        <v>61</v>
      </c>
      <c r="AA137" s="842">
        <v>56.2</v>
      </c>
      <c r="AB137" s="973">
        <v>3716.2</v>
      </c>
      <c r="AC137" s="975">
        <f t="shared" si="19"/>
        <v>31.5</v>
      </c>
    </row>
    <row r="138" spans="1:29" hidden="1">
      <c r="A138" s="430">
        <v>46079</v>
      </c>
      <c r="B138" s="468" t="s">
        <v>350</v>
      </c>
      <c r="C138" s="432" t="s">
        <v>370</v>
      </c>
      <c r="D138" s="469" t="s">
        <v>352</v>
      </c>
      <c r="E138" s="433" t="s">
        <v>46</v>
      </c>
      <c r="F138" s="434">
        <v>4</v>
      </c>
      <c r="G138" s="434">
        <v>11</v>
      </c>
      <c r="H138" s="460"/>
      <c r="I138" s="460">
        <f t="shared" si="15"/>
        <v>251</v>
      </c>
      <c r="J138" s="461">
        <f t="shared" si="16"/>
        <v>4.1833333333333336</v>
      </c>
      <c r="K138" s="436" t="s">
        <v>59</v>
      </c>
      <c r="L138" s="462" t="s">
        <v>1030</v>
      </c>
      <c r="M138" s="119"/>
      <c r="N138" s="470">
        <v>242</v>
      </c>
      <c r="O138" s="464">
        <f t="shared" si="14"/>
        <v>-61.461031833150372</v>
      </c>
      <c r="P138" s="935">
        <v>90510</v>
      </c>
      <c r="Q138" s="119"/>
      <c r="R138" s="224">
        <v>70255</v>
      </c>
      <c r="S138" s="439">
        <v>250.4</v>
      </c>
      <c r="T138" s="232">
        <f t="shared" si="17"/>
        <v>1211.9360000000001</v>
      </c>
      <c r="U138" s="474">
        <f t="shared" si="18"/>
        <v>-0.59999999999999432</v>
      </c>
      <c r="W138" s="119"/>
      <c r="X138" s="651">
        <v>46140</v>
      </c>
      <c r="Y138" s="842">
        <v>5</v>
      </c>
      <c r="Z138" s="843">
        <v>4</v>
      </c>
      <c r="AA138" s="842">
        <v>13.5</v>
      </c>
      <c r="AB138" s="973">
        <v>253.5</v>
      </c>
      <c r="AC138" s="975">
        <f t="shared" si="19"/>
        <v>3.0999999999999943</v>
      </c>
    </row>
    <row r="139" spans="1:29" hidden="1">
      <c r="A139" s="430">
        <v>46079</v>
      </c>
      <c r="B139" s="458" t="s">
        <v>350</v>
      </c>
      <c r="C139" s="205" t="s">
        <v>371</v>
      </c>
      <c r="D139" s="459" t="s">
        <v>281</v>
      </c>
      <c r="E139" s="447" t="s">
        <v>45</v>
      </c>
      <c r="F139" s="448">
        <v>17</v>
      </c>
      <c r="G139" s="448">
        <v>34</v>
      </c>
      <c r="H139" s="1118"/>
      <c r="I139" s="460">
        <f t="shared" si="15"/>
        <v>1054</v>
      </c>
      <c r="J139" s="461">
        <f t="shared" si="16"/>
        <v>17.566666666666666</v>
      </c>
      <c r="K139" s="449" t="s">
        <v>356</v>
      </c>
      <c r="L139" s="450" t="s">
        <v>354</v>
      </c>
      <c r="M139" s="451"/>
      <c r="N139" s="463">
        <v>300</v>
      </c>
      <c r="O139" s="464">
        <f t="shared" si="14"/>
        <v>-8.8442543386161674</v>
      </c>
      <c r="P139" s="935">
        <v>90468</v>
      </c>
      <c r="Q139" s="119"/>
      <c r="R139" s="224">
        <v>70256</v>
      </c>
      <c r="S139" s="439">
        <v>1055.3</v>
      </c>
      <c r="T139" s="232">
        <f t="shared" si="17"/>
        <v>6331.7999999999984</v>
      </c>
      <c r="U139" s="474">
        <f t="shared" si="18"/>
        <v>1.2999999999999545</v>
      </c>
      <c r="W139" s="119"/>
      <c r="X139" s="651">
        <v>46140</v>
      </c>
      <c r="Y139" s="842">
        <v>18</v>
      </c>
      <c r="Z139" s="843">
        <v>17</v>
      </c>
      <c r="AA139" s="842">
        <v>45.8</v>
      </c>
      <c r="AB139" s="973">
        <v>1065.8</v>
      </c>
      <c r="AC139" s="975">
        <f t="shared" si="19"/>
        <v>10.5</v>
      </c>
    </row>
    <row r="140" spans="1:29" hidden="1">
      <c r="A140" s="430">
        <v>46079</v>
      </c>
      <c r="B140" s="465" t="s">
        <v>350</v>
      </c>
      <c r="C140" s="452" t="s">
        <v>371</v>
      </c>
      <c r="D140" s="466" t="s">
        <v>281</v>
      </c>
      <c r="E140" s="454" t="s">
        <v>43</v>
      </c>
      <c r="F140" s="455">
        <v>56</v>
      </c>
      <c r="G140" s="455">
        <v>25</v>
      </c>
      <c r="H140" s="1119"/>
      <c r="I140" s="460">
        <f t="shared" si="15"/>
        <v>3385</v>
      </c>
      <c r="J140" s="461">
        <f t="shared" si="16"/>
        <v>56.416666666666664</v>
      </c>
      <c r="K140" s="449" t="s">
        <v>57</v>
      </c>
      <c r="L140" s="450" t="s">
        <v>354</v>
      </c>
      <c r="M140" s="456"/>
      <c r="N140" s="467">
        <v>320</v>
      </c>
      <c r="O140" s="464">
        <f t="shared" si="14"/>
        <v>9.2994620388094518</v>
      </c>
      <c r="P140" s="935">
        <v>90468</v>
      </c>
      <c r="Q140" s="119"/>
      <c r="R140" s="224">
        <v>70257</v>
      </c>
      <c r="S140" s="439">
        <v>3383.6</v>
      </c>
      <c r="T140" s="232">
        <f t="shared" si="17"/>
        <v>21655.039999999997</v>
      </c>
      <c r="U140" s="474">
        <f t="shared" si="18"/>
        <v>-1.4000000000000909</v>
      </c>
      <c r="W140" s="119"/>
      <c r="X140" s="651">
        <v>46140</v>
      </c>
      <c r="Y140" s="842">
        <v>57</v>
      </c>
      <c r="Z140" s="843">
        <v>56</v>
      </c>
      <c r="AA140" s="842">
        <v>48.7</v>
      </c>
      <c r="AB140" s="973">
        <v>3408.7</v>
      </c>
      <c r="AC140" s="975">
        <f t="shared" si="19"/>
        <v>25.099999999999909</v>
      </c>
    </row>
    <row r="141" spans="1:29" hidden="1">
      <c r="A141" s="430">
        <v>46079</v>
      </c>
      <c r="B141" s="468" t="s">
        <v>350</v>
      </c>
      <c r="C141" s="432" t="s">
        <v>371</v>
      </c>
      <c r="D141" s="469" t="s">
        <v>353</v>
      </c>
      <c r="E141" s="433" t="s">
        <v>42</v>
      </c>
      <c r="F141" s="434">
        <v>50</v>
      </c>
      <c r="G141" s="434">
        <v>0</v>
      </c>
      <c r="H141" s="460"/>
      <c r="I141" s="460">
        <f t="shared" si="15"/>
        <v>3000</v>
      </c>
      <c r="J141" s="461">
        <f t="shared" si="16"/>
        <v>50</v>
      </c>
      <c r="K141" s="436" t="s">
        <v>57</v>
      </c>
      <c r="L141" s="436" t="s">
        <v>354</v>
      </c>
      <c r="M141" s="119"/>
      <c r="N141" s="457">
        <v>332</v>
      </c>
      <c r="O141" s="464">
        <f t="shared" si="14"/>
        <v>20.185691865264744</v>
      </c>
      <c r="P141" s="935">
        <v>90468</v>
      </c>
      <c r="Q141" s="119"/>
      <c r="R141" s="224">
        <v>70258</v>
      </c>
      <c r="S141" s="439">
        <v>3001</v>
      </c>
      <c r="T141" s="232">
        <f t="shared" si="17"/>
        <v>19926.64</v>
      </c>
      <c r="U141" s="474">
        <f t="shared" si="18"/>
        <v>1</v>
      </c>
      <c r="W141" s="119"/>
      <c r="X141" s="651">
        <v>46140</v>
      </c>
      <c r="Y141" s="842">
        <v>50</v>
      </c>
      <c r="Z141" s="843">
        <v>50</v>
      </c>
      <c r="AA141" s="842">
        <v>35</v>
      </c>
      <c r="AB141" s="973">
        <v>3035</v>
      </c>
      <c r="AC141" s="975">
        <f t="shared" si="19"/>
        <v>34</v>
      </c>
    </row>
    <row r="142" spans="1:29" hidden="1">
      <c r="A142" s="430">
        <v>46079</v>
      </c>
      <c r="B142" s="458" t="s">
        <v>350</v>
      </c>
      <c r="C142" s="205" t="s">
        <v>372</v>
      </c>
      <c r="D142" s="459" t="s">
        <v>288</v>
      </c>
      <c r="E142" s="447" t="s">
        <v>45</v>
      </c>
      <c r="F142" s="448">
        <v>8</v>
      </c>
      <c r="G142" s="448">
        <v>63</v>
      </c>
      <c r="H142" s="1118"/>
      <c r="I142" s="460">
        <f t="shared" si="15"/>
        <v>543</v>
      </c>
      <c r="J142" s="461">
        <f t="shared" si="16"/>
        <v>9.0500000000000007</v>
      </c>
      <c r="K142" s="449" t="s">
        <v>56</v>
      </c>
      <c r="L142" s="450" t="s">
        <v>354</v>
      </c>
      <c r="M142" s="451"/>
      <c r="N142" s="463">
        <v>300</v>
      </c>
      <c r="O142" s="464">
        <f t="shared" si="14"/>
        <v>-8.8442543386161674</v>
      </c>
      <c r="P142" s="935">
        <v>90468</v>
      </c>
      <c r="Q142" s="119"/>
      <c r="R142" s="224">
        <v>70259</v>
      </c>
      <c r="S142" s="439">
        <v>543.20000000000005</v>
      </c>
      <c r="T142" s="232">
        <f t="shared" si="17"/>
        <v>3259.2000000000003</v>
      </c>
      <c r="U142" s="474">
        <f t="shared" si="18"/>
        <v>0.20000000000004547</v>
      </c>
      <c r="W142" s="119"/>
      <c r="X142" s="651">
        <v>46140</v>
      </c>
      <c r="Y142" s="842">
        <v>9</v>
      </c>
      <c r="Z142" s="843">
        <v>9</v>
      </c>
      <c r="AA142" s="842">
        <v>5.9</v>
      </c>
      <c r="AB142" s="973">
        <v>545.9</v>
      </c>
      <c r="AC142" s="975">
        <f t="shared" si="19"/>
        <v>2.6999999999999318</v>
      </c>
    </row>
    <row r="143" spans="1:29" hidden="1">
      <c r="A143" s="430">
        <v>46079</v>
      </c>
      <c r="B143" s="468" t="s">
        <v>350</v>
      </c>
      <c r="C143" s="432" t="s">
        <v>373</v>
      </c>
      <c r="D143" s="469" t="s">
        <v>233</v>
      </c>
      <c r="E143" s="433" t="s">
        <v>42</v>
      </c>
      <c r="F143" s="434">
        <v>35</v>
      </c>
      <c r="G143" s="434"/>
      <c r="H143" s="460"/>
      <c r="I143" s="460">
        <f t="shared" si="15"/>
        <v>2100</v>
      </c>
      <c r="J143" s="461">
        <f t="shared" si="16"/>
        <v>35</v>
      </c>
      <c r="K143" s="436" t="s">
        <v>54</v>
      </c>
      <c r="L143" s="436" t="s">
        <v>354</v>
      </c>
      <c r="M143" s="119"/>
      <c r="N143" s="457">
        <v>332</v>
      </c>
      <c r="O143" s="464">
        <f t="shared" si="14"/>
        <v>20.185691865264744</v>
      </c>
      <c r="P143" s="935">
        <v>90468</v>
      </c>
      <c r="Q143" s="119"/>
      <c r="R143" s="224">
        <v>70260</v>
      </c>
      <c r="S143" s="439">
        <v>2157.3000000000002</v>
      </c>
      <c r="T143" s="232">
        <f t="shared" si="17"/>
        <v>14324.472000000002</v>
      </c>
      <c r="U143" s="474">
        <f t="shared" si="18"/>
        <v>57.300000000000182</v>
      </c>
      <c r="W143" s="119"/>
      <c r="X143" s="651">
        <v>46140</v>
      </c>
      <c r="Y143" s="842">
        <v>36</v>
      </c>
      <c r="Z143" s="843">
        <v>36</v>
      </c>
      <c r="AA143" s="842">
        <v>13.6</v>
      </c>
      <c r="AB143" s="973">
        <v>2173.6</v>
      </c>
      <c r="AC143" s="975">
        <f t="shared" si="19"/>
        <v>16.299999999999727</v>
      </c>
    </row>
    <row r="144" spans="1:29" hidden="1">
      <c r="A144" s="430">
        <v>46079</v>
      </c>
      <c r="B144" s="458" t="s">
        <v>350</v>
      </c>
      <c r="C144" s="205" t="s">
        <v>374</v>
      </c>
      <c r="D144" s="459" t="s">
        <v>288</v>
      </c>
      <c r="E144" s="447" t="s">
        <v>45</v>
      </c>
      <c r="F144" s="448">
        <v>9</v>
      </c>
      <c r="G144" s="448">
        <v>29</v>
      </c>
      <c r="H144" s="1118"/>
      <c r="I144" s="460">
        <f t="shared" si="15"/>
        <v>569</v>
      </c>
      <c r="J144" s="461">
        <f t="shared" si="16"/>
        <v>9.4833333333333325</v>
      </c>
      <c r="K144" s="449" t="s">
        <v>356</v>
      </c>
      <c r="L144" s="450" t="s">
        <v>354</v>
      </c>
      <c r="M144" s="451"/>
      <c r="N144" s="463">
        <v>300</v>
      </c>
      <c r="O144" s="464">
        <f t="shared" si="14"/>
        <v>-8.8442543386161674</v>
      </c>
      <c r="P144" s="935">
        <v>90468</v>
      </c>
      <c r="Q144" s="119"/>
      <c r="R144" s="224">
        <v>70261</v>
      </c>
      <c r="S144" s="439">
        <v>568.70000000000005</v>
      </c>
      <c r="T144" s="232">
        <f t="shared" si="17"/>
        <v>3412.2</v>
      </c>
      <c r="U144" s="474">
        <f t="shared" si="18"/>
        <v>-0.29999999999995453</v>
      </c>
      <c r="W144" s="119"/>
      <c r="X144" s="651">
        <v>46140</v>
      </c>
      <c r="Y144" s="842">
        <v>10</v>
      </c>
      <c r="Z144" s="843">
        <v>9</v>
      </c>
      <c r="AA144" s="842">
        <v>30</v>
      </c>
      <c r="AB144" s="973">
        <v>570</v>
      </c>
      <c r="AC144" s="975">
        <f t="shared" si="19"/>
        <v>1.2999999999999545</v>
      </c>
    </row>
    <row r="145" spans="1:29" hidden="1">
      <c r="A145" s="430">
        <v>46079</v>
      </c>
      <c r="B145" s="465" t="s">
        <v>350</v>
      </c>
      <c r="C145" s="452" t="s">
        <v>374</v>
      </c>
      <c r="D145" s="466" t="s">
        <v>288</v>
      </c>
      <c r="E145" s="454" t="s">
        <v>43</v>
      </c>
      <c r="F145" s="455">
        <v>34</v>
      </c>
      <c r="G145" s="455">
        <v>48</v>
      </c>
      <c r="H145" s="1119"/>
      <c r="I145" s="460">
        <f t="shared" si="15"/>
        <v>2088</v>
      </c>
      <c r="J145" s="461">
        <f t="shared" si="16"/>
        <v>34.799999999999997</v>
      </c>
      <c r="K145" s="449" t="s">
        <v>57</v>
      </c>
      <c r="L145" s="450" t="s">
        <v>354</v>
      </c>
      <c r="M145" s="456"/>
      <c r="N145" s="467">
        <v>320</v>
      </c>
      <c r="O145" s="464">
        <f t="shared" si="14"/>
        <v>9.2994620388094518</v>
      </c>
      <c r="P145" s="935">
        <v>90468</v>
      </c>
      <c r="Q145" s="119"/>
      <c r="R145" s="224">
        <v>70262</v>
      </c>
      <c r="S145" s="439">
        <v>2082.4</v>
      </c>
      <c r="T145" s="232">
        <f t="shared" si="17"/>
        <v>13327.360000000002</v>
      </c>
      <c r="U145" s="474">
        <f t="shared" si="18"/>
        <v>-5.5999999999999091</v>
      </c>
      <c r="W145" s="119"/>
      <c r="X145" s="651">
        <v>46140</v>
      </c>
      <c r="Y145" s="842">
        <v>35</v>
      </c>
      <c r="Z145" s="843">
        <v>35</v>
      </c>
      <c r="AA145" s="842">
        <v>8.5</v>
      </c>
      <c r="AB145" s="973">
        <v>2108.5</v>
      </c>
      <c r="AC145" s="975">
        <f t="shared" si="19"/>
        <v>26.099999999999909</v>
      </c>
    </row>
    <row r="146" spans="1:29" hidden="1">
      <c r="A146" s="430">
        <v>46079</v>
      </c>
      <c r="B146" s="465" t="s">
        <v>350</v>
      </c>
      <c r="C146" s="452" t="s">
        <v>374</v>
      </c>
      <c r="D146" s="466" t="s">
        <v>288</v>
      </c>
      <c r="E146" s="454" t="s">
        <v>42</v>
      </c>
      <c r="F146" s="455">
        <v>34</v>
      </c>
      <c r="G146" s="455">
        <v>43</v>
      </c>
      <c r="H146" s="1119"/>
      <c r="I146" s="460">
        <f t="shared" si="15"/>
        <v>2083</v>
      </c>
      <c r="J146" s="461">
        <f t="shared" si="16"/>
        <v>34.716666666666669</v>
      </c>
      <c r="K146" s="449" t="s">
        <v>57</v>
      </c>
      <c r="L146" s="450" t="s">
        <v>354</v>
      </c>
      <c r="M146" s="456"/>
      <c r="N146" s="457">
        <v>332</v>
      </c>
      <c r="O146" s="464">
        <f t="shared" si="14"/>
        <v>20.185691865264744</v>
      </c>
      <c r="P146" s="935">
        <v>90468</v>
      </c>
      <c r="Q146" s="119"/>
      <c r="R146" s="224">
        <v>70263</v>
      </c>
      <c r="S146" s="439">
        <v>2082.8000000000002</v>
      </c>
      <c r="T146" s="232">
        <f t="shared" si="17"/>
        <v>13829.792000000001</v>
      </c>
      <c r="U146" s="474">
        <f t="shared" si="18"/>
        <v>-0.1999999999998181</v>
      </c>
      <c r="W146" s="119"/>
      <c r="X146" s="651">
        <v>46140</v>
      </c>
      <c r="Y146" s="842">
        <v>35</v>
      </c>
      <c r="Z146" s="843">
        <v>34</v>
      </c>
      <c r="AA146" s="842">
        <v>55.5</v>
      </c>
      <c r="AB146" s="973">
        <v>2095.5</v>
      </c>
      <c r="AC146" s="975">
        <f t="shared" si="19"/>
        <v>12.699999999999818</v>
      </c>
    </row>
    <row r="147" spans="1:29" hidden="1">
      <c r="A147" s="430">
        <v>46079</v>
      </c>
      <c r="B147" s="465" t="s">
        <v>350</v>
      </c>
      <c r="C147" s="452" t="s">
        <v>375</v>
      </c>
      <c r="D147" s="466" t="s">
        <v>265</v>
      </c>
      <c r="E147" s="454" t="s">
        <v>43</v>
      </c>
      <c r="F147" s="455">
        <v>94</v>
      </c>
      <c r="G147" s="455">
        <v>39</v>
      </c>
      <c r="H147" s="1119"/>
      <c r="I147" s="460">
        <f t="shared" si="15"/>
        <v>5679</v>
      </c>
      <c r="J147" s="461">
        <f t="shared" si="16"/>
        <v>94.65</v>
      </c>
      <c r="K147" s="449" t="s">
        <v>45</v>
      </c>
      <c r="L147" s="450" t="s">
        <v>354</v>
      </c>
      <c r="M147" s="456"/>
      <c r="N147" s="467">
        <v>320</v>
      </c>
      <c r="O147" s="464">
        <f t="shared" si="14"/>
        <v>9.2994620388094518</v>
      </c>
      <c r="P147" s="935">
        <v>90468</v>
      </c>
      <c r="Q147" s="119"/>
      <c r="R147" s="224">
        <v>70264</v>
      </c>
      <c r="S147" s="439">
        <v>5653.4</v>
      </c>
      <c r="T147" s="232">
        <f t="shared" si="17"/>
        <v>36181.760000000002</v>
      </c>
      <c r="U147" s="474">
        <f t="shared" si="18"/>
        <v>-25.600000000000364</v>
      </c>
      <c r="W147" s="119"/>
      <c r="X147" s="651">
        <v>46140</v>
      </c>
      <c r="Y147" s="842">
        <v>95</v>
      </c>
      <c r="Z147" s="843">
        <v>94</v>
      </c>
      <c r="AA147" s="842">
        <v>54.5</v>
      </c>
      <c r="AB147" s="973">
        <v>5694.5</v>
      </c>
      <c r="AC147" s="975">
        <f t="shared" si="19"/>
        <v>41.100000000000364</v>
      </c>
    </row>
    <row r="148" spans="1:29" hidden="1">
      <c r="A148" s="430">
        <v>46079</v>
      </c>
      <c r="B148" s="465" t="s">
        <v>350</v>
      </c>
      <c r="C148" s="452" t="s">
        <v>375</v>
      </c>
      <c r="D148" s="466" t="s">
        <v>265</v>
      </c>
      <c r="E148" s="454" t="s">
        <v>42</v>
      </c>
      <c r="F148" s="455">
        <v>71</v>
      </c>
      <c r="G148" s="455">
        <v>12</v>
      </c>
      <c r="H148" s="1119"/>
      <c r="I148" s="460">
        <f t="shared" si="15"/>
        <v>4272</v>
      </c>
      <c r="J148" s="461">
        <f t="shared" si="16"/>
        <v>71.2</v>
      </c>
      <c r="K148" s="449" t="s">
        <v>45</v>
      </c>
      <c r="L148" s="450" t="s">
        <v>354</v>
      </c>
      <c r="M148" s="456"/>
      <c r="N148" s="457">
        <v>332</v>
      </c>
      <c r="O148" s="464">
        <f t="shared" si="14"/>
        <v>20.185691865264744</v>
      </c>
      <c r="P148" s="935">
        <v>90468</v>
      </c>
      <c r="Q148" s="119"/>
      <c r="R148" s="224">
        <v>70265</v>
      </c>
      <c r="S148" s="439">
        <v>4254.5</v>
      </c>
      <c r="T148" s="232">
        <f t="shared" si="17"/>
        <v>28249.879999999997</v>
      </c>
      <c r="U148" s="474">
        <f t="shared" si="18"/>
        <v>-17.5</v>
      </c>
      <c r="W148" s="119"/>
      <c r="X148" s="651">
        <v>46140</v>
      </c>
      <c r="Y148" s="842">
        <v>72</v>
      </c>
      <c r="Z148" s="843">
        <v>71</v>
      </c>
      <c r="AA148" s="842">
        <v>18.2</v>
      </c>
      <c r="AB148" s="973">
        <v>4278.2</v>
      </c>
      <c r="AC148" s="975">
        <f t="shared" si="19"/>
        <v>23.699999999999818</v>
      </c>
    </row>
    <row r="149" spans="1:29" hidden="1">
      <c r="A149" s="430">
        <v>46079</v>
      </c>
      <c r="B149" s="468" t="s">
        <v>350</v>
      </c>
      <c r="C149" s="432" t="s">
        <v>375</v>
      </c>
      <c r="D149" s="469" t="s">
        <v>239</v>
      </c>
      <c r="E149" s="433" t="s">
        <v>45</v>
      </c>
      <c r="F149" s="434">
        <v>28</v>
      </c>
      <c r="G149" s="434">
        <v>8</v>
      </c>
      <c r="H149" s="460"/>
      <c r="I149" s="460">
        <f t="shared" si="15"/>
        <v>1688</v>
      </c>
      <c r="J149" s="461">
        <f t="shared" si="16"/>
        <v>28.133333333333333</v>
      </c>
      <c r="K149" s="436" t="s">
        <v>56</v>
      </c>
      <c r="L149" s="436" t="s">
        <v>354</v>
      </c>
      <c r="M149" s="119"/>
      <c r="N149" s="463">
        <v>300</v>
      </c>
      <c r="O149" s="464">
        <f t="shared" si="14"/>
        <v>-8.8442543386161674</v>
      </c>
      <c r="P149" s="935">
        <v>90468</v>
      </c>
      <c r="Q149" s="119"/>
      <c r="R149" s="224">
        <v>70266</v>
      </c>
      <c r="S149" s="439">
        <v>1670.6</v>
      </c>
      <c r="T149" s="232">
        <f t="shared" si="17"/>
        <v>10023.599999999997</v>
      </c>
      <c r="U149" s="474">
        <f t="shared" si="18"/>
        <v>-17.400000000000091</v>
      </c>
      <c r="W149" s="119"/>
      <c r="X149" s="651">
        <v>46140</v>
      </c>
      <c r="Y149" s="842">
        <v>29</v>
      </c>
      <c r="Z149" s="843">
        <v>28</v>
      </c>
      <c r="AA149" s="842">
        <v>6.9</v>
      </c>
      <c r="AB149" s="973">
        <v>1686.9</v>
      </c>
      <c r="AC149" s="975">
        <f t="shared" si="19"/>
        <v>16.300000000000182</v>
      </c>
    </row>
    <row r="150" spans="1:29" hidden="1">
      <c r="A150" s="430">
        <v>46079</v>
      </c>
      <c r="B150" s="468" t="s">
        <v>350</v>
      </c>
      <c r="C150" s="432" t="s">
        <v>375</v>
      </c>
      <c r="D150" s="469" t="s">
        <v>239</v>
      </c>
      <c r="E150" s="433" t="s">
        <v>44</v>
      </c>
      <c r="F150" s="434">
        <v>13</v>
      </c>
      <c r="G150" s="434">
        <v>62</v>
      </c>
      <c r="H150" s="460"/>
      <c r="I150" s="460">
        <f t="shared" si="15"/>
        <v>842</v>
      </c>
      <c r="J150" s="461">
        <f t="shared" si="16"/>
        <v>14.033333333333333</v>
      </c>
      <c r="K150" s="436" t="s">
        <v>45</v>
      </c>
      <c r="L150" s="436" t="s">
        <v>354</v>
      </c>
      <c r="M150" s="119"/>
      <c r="N150" s="467">
        <v>320</v>
      </c>
      <c r="O150" s="464">
        <f t="shared" si="14"/>
        <v>9.2994620388094518</v>
      </c>
      <c r="P150" s="935">
        <v>90468</v>
      </c>
      <c r="Q150" s="119"/>
      <c r="R150" s="224">
        <v>70267</v>
      </c>
      <c r="S150" s="439">
        <v>828.8</v>
      </c>
      <c r="T150" s="232">
        <f t="shared" si="17"/>
        <v>5304.32</v>
      </c>
      <c r="U150" s="474">
        <f t="shared" si="18"/>
        <v>-13.200000000000045</v>
      </c>
      <c r="W150" s="119"/>
      <c r="X150" s="651">
        <v>46140</v>
      </c>
      <c r="Y150" s="842">
        <v>14</v>
      </c>
      <c r="Z150" s="843">
        <v>13</v>
      </c>
      <c r="AA150" s="842">
        <v>54.4</v>
      </c>
      <c r="AB150" s="973">
        <v>834.4</v>
      </c>
      <c r="AC150" s="975">
        <f t="shared" si="19"/>
        <v>5.6000000000000227</v>
      </c>
    </row>
    <row r="151" spans="1:29" hidden="1">
      <c r="A151" s="430">
        <v>46079</v>
      </c>
      <c r="B151" s="468" t="s">
        <v>350</v>
      </c>
      <c r="C151" s="432" t="s">
        <v>375</v>
      </c>
      <c r="D151" s="469" t="s">
        <v>239</v>
      </c>
      <c r="E151" s="433" t="s">
        <v>46</v>
      </c>
      <c r="F151" s="434">
        <v>4</v>
      </c>
      <c r="G151" s="434">
        <v>43</v>
      </c>
      <c r="H151" s="460"/>
      <c r="I151" s="460">
        <f t="shared" si="15"/>
        <v>283</v>
      </c>
      <c r="J151" s="461">
        <f t="shared" si="16"/>
        <v>4.7166666666666668</v>
      </c>
      <c r="K151" s="436" t="s">
        <v>59</v>
      </c>
      <c r="L151" s="462" t="s">
        <v>1030</v>
      </c>
      <c r="M151" s="119"/>
      <c r="N151" s="470">
        <v>242</v>
      </c>
      <c r="O151" s="464">
        <f t="shared" si="14"/>
        <v>-61.461031833150372</v>
      </c>
      <c r="P151" s="935">
        <v>90510</v>
      </c>
      <c r="Q151" s="119"/>
      <c r="R151" s="224">
        <v>70268</v>
      </c>
      <c r="S151" s="439">
        <v>282.39999999999998</v>
      </c>
      <c r="T151" s="232">
        <f t="shared" si="17"/>
        <v>1366.8159999999996</v>
      </c>
      <c r="U151" s="474">
        <f t="shared" si="18"/>
        <v>-0.60000000000002274</v>
      </c>
      <c r="W151" s="119"/>
      <c r="X151" s="651">
        <v>46141</v>
      </c>
      <c r="Y151" s="842">
        <v>5</v>
      </c>
      <c r="Z151" s="843">
        <v>4</v>
      </c>
      <c r="AA151" s="842">
        <v>44.5</v>
      </c>
      <c r="AB151" s="973">
        <v>284.5</v>
      </c>
      <c r="AC151" s="975">
        <f t="shared" si="19"/>
        <v>2.1000000000000227</v>
      </c>
    </row>
    <row r="152" spans="1:29" hidden="1">
      <c r="A152" s="430">
        <v>46079</v>
      </c>
      <c r="B152" s="431" t="s">
        <v>350</v>
      </c>
      <c r="C152" s="432" t="s">
        <v>376</v>
      </c>
      <c r="D152" s="432" t="s">
        <v>239</v>
      </c>
      <c r="E152" s="433" t="s">
        <v>45</v>
      </c>
      <c r="F152" s="434">
        <v>26</v>
      </c>
      <c r="G152" s="434">
        <v>53</v>
      </c>
      <c r="H152" s="460"/>
      <c r="I152" s="460">
        <f t="shared" si="15"/>
        <v>1613</v>
      </c>
      <c r="J152" s="461">
        <f t="shared" si="16"/>
        <v>26.883333333333333</v>
      </c>
      <c r="K152" s="436" t="s">
        <v>356</v>
      </c>
      <c r="L152" s="436" t="s">
        <v>354</v>
      </c>
      <c r="M152" s="119"/>
      <c r="N152" s="463">
        <v>300</v>
      </c>
      <c r="O152" s="464">
        <f t="shared" si="14"/>
        <v>-8.8442543386161674</v>
      </c>
      <c r="P152" s="935">
        <v>90468</v>
      </c>
      <c r="Q152" s="119"/>
      <c r="R152" s="224">
        <v>70269</v>
      </c>
      <c r="S152" s="439">
        <v>1605</v>
      </c>
      <c r="T152" s="232">
        <f t="shared" si="17"/>
        <v>9630</v>
      </c>
      <c r="U152" s="474">
        <f t="shared" si="18"/>
        <v>-8</v>
      </c>
      <c r="W152" s="119"/>
      <c r="X152" s="651">
        <v>46140</v>
      </c>
      <c r="Y152" s="842">
        <v>27</v>
      </c>
      <c r="Z152" s="843">
        <v>26</v>
      </c>
      <c r="AA152" s="842">
        <v>55.7</v>
      </c>
      <c r="AB152" s="973">
        <v>1615.7</v>
      </c>
      <c r="AC152" s="975">
        <f t="shared" si="19"/>
        <v>10.700000000000045</v>
      </c>
    </row>
    <row r="153" spans="1:29" hidden="1">
      <c r="A153" s="430">
        <v>46079</v>
      </c>
      <c r="B153" s="431" t="s">
        <v>350</v>
      </c>
      <c r="C153" s="432" t="s">
        <v>376</v>
      </c>
      <c r="D153" s="432" t="s">
        <v>239</v>
      </c>
      <c r="E153" s="433" t="s">
        <v>46</v>
      </c>
      <c r="F153" s="434">
        <v>4</v>
      </c>
      <c r="G153" s="434">
        <v>35</v>
      </c>
      <c r="H153" s="460"/>
      <c r="I153" s="460">
        <f t="shared" si="15"/>
        <v>275</v>
      </c>
      <c r="J153" s="461">
        <f t="shared" si="16"/>
        <v>4.583333333333333</v>
      </c>
      <c r="K153" s="436" t="s">
        <v>59</v>
      </c>
      <c r="L153" s="462" t="s">
        <v>1030</v>
      </c>
      <c r="M153" s="119"/>
      <c r="N153" s="470">
        <v>242</v>
      </c>
      <c r="O153" s="464">
        <f t="shared" si="14"/>
        <v>-61.461031833150372</v>
      </c>
      <c r="P153" s="935">
        <v>90510</v>
      </c>
      <c r="Q153" s="119"/>
      <c r="R153" s="224">
        <v>70270</v>
      </c>
      <c r="S153" s="439">
        <v>273.60000000000002</v>
      </c>
      <c r="T153" s="232">
        <f t="shared" si="17"/>
        <v>1324.2240000000002</v>
      </c>
      <c r="U153" s="474">
        <f t="shared" si="18"/>
        <v>-1.3999999999999773</v>
      </c>
      <c r="W153" s="119"/>
      <c r="X153" s="651">
        <v>46141</v>
      </c>
      <c r="Y153" s="842">
        <v>5</v>
      </c>
      <c r="Z153" s="843">
        <v>4</v>
      </c>
      <c r="AA153" s="842">
        <v>36.5</v>
      </c>
      <c r="AB153" s="973">
        <v>276.5</v>
      </c>
      <c r="AC153" s="975">
        <f t="shared" si="19"/>
        <v>2.8999999999999773</v>
      </c>
    </row>
    <row r="154" spans="1:29" hidden="1">
      <c r="A154" s="430">
        <v>46079</v>
      </c>
      <c r="B154" s="440" t="s">
        <v>350</v>
      </c>
      <c r="C154" s="452" t="s">
        <v>377</v>
      </c>
      <c r="D154" s="453" t="s">
        <v>281</v>
      </c>
      <c r="E154" s="454" t="s">
        <v>45</v>
      </c>
      <c r="F154" s="455">
        <v>17</v>
      </c>
      <c r="G154" s="455">
        <v>46</v>
      </c>
      <c r="H154" s="1119"/>
      <c r="I154" s="460">
        <f t="shared" si="15"/>
        <v>1066</v>
      </c>
      <c r="J154" s="461">
        <f t="shared" si="16"/>
        <v>17.766666666666666</v>
      </c>
      <c r="K154" s="449" t="s">
        <v>356</v>
      </c>
      <c r="L154" s="450" t="s">
        <v>354</v>
      </c>
      <c r="M154" s="456"/>
      <c r="N154" s="463">
        <v>300</v>
      </c>
      <c r="O154" s="464">
        <f t="shared" si="14"/>
        <v>-8.8442543386161674</v>
      </c>
      <c r="P154" s="935">
        <v>90468</v>
      </c>
      <c r="Q154" s="119"/>
      <c r="R154" s="224">
        <v>70271</v>
      </c>
      <c r="S154" s="439">
        <v>1060.9000000000001</v>
      </c>
      <c r="T154" s="232">
        <f t="shared" si="17"/>
        <v>6365.4000000000005</v>
      </c>
      <c r="U154" s="474">
        <f t="shared" si="18"/>
        <v>-5.0999999999999091</v>
      </c>
      <c r="W154" s="119"/>
      <c r="X154" s="651">
        <v>46140</v>
      </c>
      <c r="Y154" s="842">
        <v>18</v>
      </c>
      <c r="Z154" s="843">
        <v>17</v>
      </c>
      <c r="AA154" s="842">
        <v>49.8</v>
      </c>
      <c r="AB154" s="973">
        <v>1069.8</v>
      </c>
      <c r="AC154" s="975">
        <f t="shared" si="19"/>
        <v>8.8999999999998636</v>
      </c>
    </row>
    <row r="155" spans="1:29" hidden="1">
      <c r="A155" s="430">
        <v>46079</v>
      </c>
      <c r="B155" s="440" t="s">
        <v>350</v>
      </c>
      <c r="C155" s="452" t="s">
        <v>377</v>
      </c>
      <c r="D155" s="453" t="s">
        <v>281</v>
      </c>
      <c r="E155" s="454" t="s">
        <v>44</v>
      </c>
      <c r="F155" s="455">
        <v>10</v>
      </c>
      <c r="G155" s="455">
        <v>63</v>
      </c>
      <c r="H155" s="455"/>
      <c r="I155" s="434">
        <f t="shared" si="15"/>
        <v>663</v>
      </c>
      <c r="J155" s="461">
        <f t="shared" si="16"/>
        <v>11.05</v>
      </c>
      <c r="K155" s="449" t="s">
        <v>56</v>
      </c>
      <c r="L155" s="450" t="s">
        <v>354</v>
      </c>
      <c r="M155" s="456"/>
      <c r="N155" s="467">
        <v>320</v>
      </c>
      <c r="O155" s="464">
        <f t="shared" si="14"/>
        <v>9.2994620388094518</v>
      </c>
      <c r="P155" s="935">
        <v>90468</v>
      </c>
      <c r="Q155" s="119"/>
      <c r="R155" s="224">
        <v>70272</v>
      </c>
      <c r="S155" s="439">
        <v>658.8</v>
      </c>
      <c r="T155" s="232">
        <f t="shared" si="17"/>
        <v>4216.3199999999988</v>
      </c>
      <c r="U155" s="474">
        <f t="shared" si="18"/>
        <v>-4.2000000000000455</v>
      </c>
      <c r="W155" s="119"/>
      <c r="X155" s="651">
        <v>46140</v>
      </c>
      <c r="Y155" s="842">
        <v>11</v>
      </c>
      <c r="Z155" s="843">
        <v>11</v>
      </c>
      <c r="AA155" s="842">
        <v>2.1</v>
      </c>
      <c r="AB155" s="973">
        <v>662.1</v>
      </c>
      <c r="AC155" s="975">
        <f t="shared" si="19"/>
        <v>3.3000000000000682</v>
      </c>
    </row>
    <row r="156" spans="1:29" hidden="1">
      <c r="B156" s="471" t="s">
        <v>1054</v>
      </c>
      <c r="I156" s="472">
        <f>SUM(I2:I155)</f>
        <v>221999.93333333335</v>
      </c>
      <c r="J156" s="473"/>
      <c r="S156" s="474">
        <f>SUM(S2:S155)</f>
        <v>179803</v>
      </c>
      <c r="T156" s="232">
        <f>SUM(T2:T155)</f>
        <v>1177142.372</v>
      </c>
      <c r="U156" s="474" t="e">
        <f>SUM(U2:U155)</f>
        <v>#VALUE!</v>
      </c>
      <c r="AB156" s="907">
        <f>SUM(AB2:AB155)</f>
        <v>180989.39999999997</v>
      </c>
      <c r="AC156" s="972">
        <f>SUM(AC2:AC155)</f>
        <v>1186.3999999999992</v>
      </c>
    </row>
    <row r="157" spans="1:29" hidden="1">
      <c r="Q157" s="116">
        <f>S156/60</f>
        <v>2996.7166666666667</v>
      </c>
    </row>
    <row r="158" spans="1:29" hidden="1">
      <c r="S158" s="232">
        <f>T156/S156*50</f>
        <v>327.34225012930818</v>
      </c>
      <c r="U158" s="116" t="e">
        <f>U156/60</f>
        <v>#VALUE!</v>
      </c>
      <c r="AB158" s="122">
        <f>AB156/60</f>
        <v>3016.4899999999993</v>
      </c>
    </row>
    <row r="159" spans="1:29">
      <c r="I159" s="475">
        <f>I156/60</f>
        <v>3699.9988888888893</v>
      </c>
    </row>
  </sheetData>
  <autoFilter ref="A1:AB158" xr:uid="{7EE2991C-1281-4092-88BA-B5D9190B75A2}">
    <filterColumn colId="15">
      <filters>
        <filter val="90502"/>
      </filters>
    </filterColumn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93A2-1367-42BE-9FDF-CC062A3347F8}">
  <dimension ref="A1:Q62"/>
  <sheetViews>
    <sheetView topLeftCell="A45" workbookViewId="0">
      <selection activeCell="F22" sqref="F22"/>
    </sheetView>
  </sheetViews>
  <sheetFormatPr defaultRowHeight="14.5"/>
  <cols>
    <col min="1" max="1" width="12" customWidth="1"/>
    <col min="2" max="2" width="13.1796875" customWidth="1"/>
    <col min="3" max="3" width="14.1796875" customWidth="1"/>
    <col min="11" max="11" width="13.81640625" customWidth="1"/>
    <col min="12" max="12" width="11.1796875" customWidth="1"/>
    <col min="13" max="13" width="14.81640625" customWidth="1"/>
    <col min="15" max="15" width="9" bestFit="1" customWidth="1"/>
    <col min="16" max="16" width="12.81640625" customWidth="1"/>
  </cols>
  <sheetData>
    <row r="1" spans="1:17" ht="15" thickBot="1">
      <c r="A1" s="297" t="s">
        <v>794</v>
      </c>
    </row>
    <row r="2" spans="1:17" ht="18" thickBot="1">
      <c r="A2" s="183" t="s">
        <v>343</v>
      </c>
      <c r="B2" s="183" t="s">
        <v>22</v>
      </c>
      <c r="C2" s="184" t="s">
        <v>344</v>
      </c>
      <c r="D2" s="183" t="s">
        <v>497</v>
      </c>
      <c r="E2" s="183" t="s">
        <v>23</v>
      </c>
      <c r="F2" s="185" t="s">
        <v>24</v>
      </c>
      <c r="G2" s="186" t="s">
        <v>111</v>
      </c>
      <c r="H2" s="183" t="s">
        <v>345</v>
      </c>
      <c r="I2" s="183" t="s">
        <v>346</v>
      </c>
      <c r="J2" s="183" t="s">
        <v>4</v>
      </c>
      <c r="K2" s="183" t="s">
        <v>415</v>
      </c>
      <c r="L2" s="183" t="s">
        <v>629</v>
      </c>
      <c r="M2" s="183" t="s">
        <v>28</v>
      </c>
      <c r="N2" s="187" t="s">
        <v>142</v>
      </c>
      <c r="O2" s="187" t="s">
        <v>349</v>
      </c>
      <c r="P2" s="188" t="s">
        <v>407</v>
      </c>
      <c r="Q2">
        <v>282</v>
      </c>
    </row>
    <row r="3" spans="1:17">
      <c r="A3" s="189" t="s">
        <v>350</v>
      </c>
      <c r="B3" s="189" t="s">
        <v>630</v>
      </c>
      <c r="C3" s="190" t="s">
        <v>631</v>
      </c>
      <c r="D3" s="189" t="s">
        <v>632</v>
      </c>
      <c r="E3" s="190" t="s">
        <v>42</v>
      </c>
      <c r="F3" s="191">
        <v>86</v>
      </c>
      <c r="G3" s="191">
        <v>15</v>
      </c>
      <c r="H3" s="192">
        <v>5157</v>
      </c>
      <c r="I3" s="192">
        <f>+H3/60</f>
        <v>85.95</v>
      </c>
      <c r="J3" s="192" t="s">
        <v>89</v>
      </c>
      <c r="K3" s="193" t="s">
        <v>633</v>
      </c>
      <c r="L3" s="193" t="s">
        <v>351</v>
      </c>
      <c r="M3" s="194"/>
      <c r="N3" s="190">
        <f>+VLOOKUP(H3,'[1]GIKANDA FCS '!$H$1:$K$59,4,FALSE)</f>
        <v>350</v>
      </c>
      <c r="O3" s="197">
        <f t="shared" ref="O3:O60" si="0">(N3/50/2.20462)*100-$Q$2</f>
        <v>35.515036604947795</v>
      </c>
      <c r="P3" s="188">
        <f>(H3/60*N3)*1.2</f>
        <v>36099</v>
      </c>
    </row>
    <row r="4" spans="1:17">
      <c r="A4" s="189" t="s">
        <v>350</v>
      </c>
      <c r="B4" s="189" t="s">
        <v>634</v>
      </c>
      <c r="C4" s="190" t="s">
        <v>631</v>
      </c>
      <c r="D4" s="189" t="s">
        <v>632</v>
      </c>
      <c r="E4" s="190" t="s">
        <v>42</v>
      </c>
      <c r="F4" s="191">
        <v>72</v>
      </c>
      <c r="G4" s="191">
        <v>26</v>
      </c>
      <c r="H4" s="192">
        <v>4328</v>
      </c>
      <c r="I4" s="192">
        <f t="shared" ref="I4:I60" si="1">+H4/60</f>
        <v>72.13333333333334</v>
      </c>
      <c r="J4" s="192" t="s">
        <v>57</v>
      </c>
      <c r="K4" s="193" t="s">
        <v>434</v>
      </c>
      <c r="L4" s="193" t="s">
        <v>354</v>
      </c>
      <c r="M4" s="192" t="s">
        <v>635</v>
      </c>
      <c r="N4" s="190">
        <f>+VLOOKUP(H4,'[1]GIKANDA FCS '!$H$1:$K$59,4,FALSE)</f>
        <v>330</v>
      </c>
      <c r="O4" s="197">
        <f t="shared" si="0"/>
        <v>17.371320227522176</v>
      </c>
      <c r="P4" s="188">
        <f t="shared" ref="P4:P60" si="2">(H4/60*N4)*1.2</f>
        <v>28564.800000000003</v>
      </c>
    </row>
    <row r="5" spans="1:17">
      <c r="A5" s="189" t="s">
        <v>350</v>
      </c>
      <c r="B5" s="189" t="s">
        <v>634</v>
      </c>
      <c r="C5" s="190" t="s">
        <v>631</v>
      </c>
      <c r="D5" s="189" t="s">
        <v>632</v>
      </c>
      <c r="E5" s="190" t="s">
        <v>43</v>
      </c>
      <c r="F5" s="191">
        <v>67</v>
      </c>
      <c r="G5" s="191">
        <v>51</v>
      </c>
      <c r="H5" s="192">
        <v>4041</v>
      </c>
      <c r="I5" s="192">
        <f t="shared" si="1"/>
        <v>67.349999999999994</v>
      </c>
      <c r="J5" s="192" t="s">
        <v>57</v>
      </c>
      <c r="K5" s="193" t="s">
        <v>430</v>
      </c>
      <c r="L5" s="193" t="s">
        <v>354</v>
      </c>
      <c r="M5" s="192" t="s">
        <v>635</v>
      </c>
      <c r="N5" s="190">
        <v>315</v>
      </c>
      <c r="O5" s="197">
        <f t="shared" si="0"/>
        <v>3.7635329444530612</v>
      </c>
      <c r="P5" s="188">
        <f t="shared" si="2"/>
        <v>25458.3</v>
      </c>
    </row>
    <row r="6" spans="1:17">
      <c r="A6" s="189" t="s">
        <v>350</v>
      </c>
      <c r="B6" s="189" t="s">
        <v>636</v>
      </c>
      <c r="C6" s="190" t="s">
        <v>631</v>
      </c>
      <c r="D6" s="189" t="s">
        <v>632</v>
      </c>
      <c r="E6" s="190" t="s">
        <v>43</v>
      </c>
      <c r="F6" s="191">
        <v>109</v>
      </c>
      <c r="G6" s="191">
        <v>9</v>
      </c>
      <c r="H6" s="192">
        <v>6549</v>
      </c>
      <c r="I6" s="192">
        <f t="shared" si="1"/>
        <v>109.15</v>
      </c>
      <c r="J6" s="192" t="s">
        <v>45</v>
      </c>
      <c r="K6" s="193" t="s">
        <v>430</v>
      </c>
      <c r="L6" s="193" t="s">
        <v>354</v>
      </c>
      <c r="M6" s="192"/>
      <c r="N6" s="190">
        <f>+VLOOKUP(H6,'[1]GIKANDA FCS '!$H$1:$K$59,4,FALSE)</f>
        <v>325</v>
      </c>
      <c r="O6" s="197">
        <f t="shared" si="0"/>
        <v>12.835391133165786</v>
      </c>
      <c r="P6" s="188">
        <f t="shared" si="2"/>
        <v>42568.5</v>
      </c>
    </row>
    <row r="7" spans="1:17">
      <c r="A7" s="189" t="s">
        <v>350</v>
      </c>
      <c r="B7" s="189" t="s">
        <v>636</v>
      </c>
      <c r="C7" s="190" t="s">
        <v>631</v>
      </c>
      <c r="D7" s="189" t="s">
        <v>632</v>
      </c>
      <c r="E7" s="190" t="s">
        <v>44</v>
      </c>
      <c r="F7" s="191">
        <v>19</v>
      </c>
      <c r="G7" s="191">
        <v>10</v>
      </c>
      <c r="H7" s="192">
        <v>1153</v>
      </c>
      <c r="I7" s="192">
        <f t="shared" si="1"/>
        <v>19.216666666666665</v>
      </c>
      <c r="J7" s="192" t="s">
        <v>356</v>
      </c>
      <c r="K7" s="192" t="s">
        <v>424</v>
      </c>
      <c r="L7" s="193" t="s">
        <v>354</v>
      </c>
      <c r="M7" s="192" t="s">
        <v>637</v>
      </c>
      <c r="N7" s="190">
        <v>315</v>
      </c>
      <c r="O7" s="197">
        <f t="shared" si="0"/>
        <v>3.7635329444530612</v>
      </c>
      <c r="P7" s="188">
        <f t="shared" si="2"/>
        <v>7263.8999999999987</v>
      </c>
    </row>
    <row r="8" spans="1:17">
      <c r="A8" s="189" t="s">
        <v>350</v>
      </c>
      <c r="B8" s="189" t="s">
        <v>638</v>
      </c>
      <c r="C8" s="190" t="s">
        <v>639</v>
      </c>
      <c r="D8" s="189" t="s">
        <v>632</v>
      </c>
      <c r="E8" s="190" t="s">
        <v>42</v>
      </c>
      <c r="F8" s="191">
        <v>79</v>
      </c>
      <c r="G8" s="191">
        <v>19</v>
      </c>
      <c r="H8" s="192">
        <v>4782</v>
      </c>
      <c r="I8" s="192">
        <f t="shared" si="1"/>
        <v>79.7</v>
      </c>
      <c r="J8" s="192" t="s">
        <v>57</v>
      </c>
      <c r="K8" s="193" t="s">
        <v>434</v>
      </c>
      <c r="L8" s="193" t="s">
        <v>354</v>
      </c>
      <c r="M8" s="192" t="s">
        <v>635</v>
      </c>
      <c r="N8" s="190">
        <f>+VLOOKUP(H8,'[1]GIKANDA FCS '!$H$1:$K$59,4,FALSE)</f>
        <v>330</v>
      </c>
      <c r="O8" s="197">
        <f t="shared" si="0"/>
        <v>17.371320227522176</v>
      </c>
      <c r="P8" s="188">
        <f t="shared" si="2"/>
        <v>31561.199999999997</v>
      </c>
    </row>
    <row r="9" spans="1:17">
      <c r="A9" s="189" t="s">
        <v>350</v>
      </c>
      <c r="B9" s="189" t="s">
        <v>638</v>
      </c>
      <c r="C9" s="190" t="s">
        <v>639</v>
      </c>
      <c r="D9" s="189" t="s">
        <v>632</v>
      </c>
      <c r="E9" s="190" t="s">
        <v>43</v>
      </c>
      <c r="F9" s="191">
        <v>95</v>
      </c>
      <c r="G9" s="191">
        <v>22</v>
      </c>
      <c r="H9" s="192">
        <v>5731</v>
      </c>
      <c r="I9" s="192">
        <f t="shared" si="1"/>
        <v>95.516666666666666</v>
      </c>
      <c r="J9" s="192" t="s">
        <v>57</v>
      </c>
      <c r="K9" s="193" t="s">
        <v>430</v>
      </c>
      <c r="L9" s="193" t="s">
        <v>354</v>
      </c>
      <c r="M9" s="192" t="s">
        <v>635</v>
      </c>
      <c r="N9" s="190">
        <v>315</v>
      </c>
      <c r="O9" s="197">
        <f t="shared" si="0"/>
        <v>3.7635329444530612</v>
      </c>
      <c r="P9" s="188">
        <f t="shared" si="2"/>
        <v>36105.299999999996</v>
      </c>
    </row>
    <row r="10" spans="1:17">
      <c r="A10" s="189" t="s">
        <v>350</v>
      </c>
      <c r="B10" s="189" t="s">
        <v>640</v>
      </c>
      <c r="C10" s="190" t="s">
        <v>639</v>
      </c>
      <c r="D10" s="189" t="s">
        <v>632</v>
      </c>
      <c r="E10" s="190" t="s">
        <v>42</v>
      </c>
      <c r="F10" s="191">
        <v>94</v>
      </c>
      <c r="G10" s="191">
        <v>10</v>
      </c>
      <c r="H10" s="192">
        <v>5663</v>
      </c>
      <c r="I10" s="192">
        <f t="shared" si="1"/>
        <v>94.38333333333334</v>
      </c>
      <c r="J10" s="192" t="s">
        <v>94</v>
      </c>
      <c r="K10" s="193" t="s">
        <v>633</v>
      </c>
      <c r="L10" s="193" t="s">
        <v>351</v>
      </c>
      <c r="M10" s="192"/>
      <c r="N10" s="190">
        <f>+VLOOKUP(H10,'[1]GIKANDA FCS '!$H$1:$K$59,4,FALSE)</f>
        <v>350</v>
      </c>
      <c r="O10" s="197">
        <f t="shared" si="0"/>
        <v>35.515036604947795</v>
      </c>
      <c r="P10" s="188">
        <f t="shared" si="2"/>
        <v>39641.000000000007</v>
      </c>
    </row>
    <row r="11" spans="1:17">
      <c r="A11" s="189" t="s">
        <v>350</v>
      </c>
      <c r="B11" s="189" t="s">
        <v>640</v>
      </c>
      <c r="C11" s="190" t="s">
        <v>639</v>
      </c>
      <c r="D11" s="189" t="s">
        <v>632</v>
      </c>
      <c r="E11" s="190" t="s">
        <v>43</v>
      </c>
      <c r="F11" s="191">
        <v>91</v>
      </c>
      <c r="G11" s="191">
        <v>33</v>
      </c>
      <c r="H11" s="192">
        <v>5504</v>
      </c>
      <c r="I11" s="192">
        <f t="shared" si="1"/>
        <v>91.733333333333334</v>
      </c>
      <c r="J11" s="192" t="s">
        <v>94</v>
      </c>
      <c r="K11" s="193" t="s">
        <v>641</v>
      </c>
      <c r="L11" s="193" t="s">
        <v>351</v>
      </c>
      <c r="M11" s="192"/>
      <c r="N11" s="190">
        <f>+VLOOKUP(H11,'[1]GIKANDA FCS '!$H$1:$K$59,4,FALSE)</f>
        <v>330</v>
      </c>
      <c r="O11" s="197">
        <f t="shared" si="0"/>
        <v>17.371320227522176</v>
      </c>
      <c r="P11" s="188">
        <f t="shared" si="2"/>
        <v>36326.400000000001</v>
      </c>
    </row>
    <row r="12" spans="1:17">
      <c r="A12" s="189" t="s">
        <v>350</v>
      </c>
      <c r="B12" s="189" t="s">
        <v>640</v>
      </c>
      <c r="C12" s="190" t="s">
        <v>639</v>
      </c>
      <c r="D12" s="189" t="s">
        <v>632</v>
      </c>
      <c r="E12" s="190" t="s">
        <v>45</v>
      </c>
      <c r="F12" s="191">
        <v>12</v>
      </c>
      <c r="G12" s="191">
        <v>54</v>
      </c>
      <c r="H12" s="192">
        <v>764</v>
      </c>
      <c r="I12" s="192">
        <f t="shared" si="1"/>
        <v>12.733333333333333</v>
      </c>
      <c r="J12" s="192" t="s">
        <v>56</v>
      </c>
      <c r="K12" s="193" t="s">
        <v>427</v>
      </c>
      <c r="L12" s="193" t="s">
        <v>354</v>
      </c>
      <c r="M12" s="194"/>
      <c r="N12" s="190">
        <f>+VLOOKUP(H12,'[1]GIKANDA FCS '!$H$1:$K$59,4,FALSE)</f>
        <v>310</v>
      </c>
      <c r="O12" s="197">
        <f t="shared" si="0"/>
        <v>-0.77239614990332939</v>
      </c>
      <c r="P12" s="188">
        <f t="shared" si="2"/>
        <v>4736.7999999999993</v>
      </c>
    </row>
    <row r="13" spans="1:17">
      <c r="A13" s="189" t="s">
        <v>350</v>
      </c>
      <c r="B13" s="189" t="s">
        <v>642</v>
      </c>
      <c r="C13" s="190" t="s">
        <v>631</v>
      </c>
      <c r="D13" s="189" t="s">
        <v>632</v>
      </c>
      <c r="E13" s="190" t="s">
        <v>42</v>
      </c>
      <c r="F13" s="191">
        <v>34</v>
      </c>
      <c r="G13" s="191">
        <v>46</v>
      </c>
      <c r="H13" s="192">
        <v>2083</v>
      </c>
      <c r="I13" s="192">
        <f t="shared" si="1"/>
        <v>34.716666666666669</v>
      </c>
      <c r="J13" s="192" t="s">
        <v>89</v>
      </c>
      <c r="K13" s="193" t="s">
        <v>633</v>
      </c>
      <c r="L13" s="193" t="s">
        <v>351</v>
      </c>
      <c r="M13" s="192"/>
      <c r="N13" s="190">
        <f>+VLOOKUP(H13,'[1]GIKANDA FCS '!$H$1:$K$59,4,FALSE)</f>
        <v>350</v>
      </c>
      <c r="O13" s="197">
        <f t="shared" si="0"/>
        <v>35.515036604947795</v>
      </c>
      <c r="P13" s="188">
        <f t="shared" si="2"/>
        <v>14581</v>
      </c>
    </row>
    <row r="14" spans="1:17">
      <c r="A14" s="189" t="s">
        <v>350</v>
      </c>
      <c r="B14" s="189" t="s">
        <v>642</v>
      </c>
      <c r="C14" s="190" t="s">
        <v>631</v>
      </c>
      <c r="D14" s="189" t="s">
        <v>632</v>
      </c>
      <c r="E14" s="190" t="s">
        <v>43</v>
      </c>
      <c r="F14" s="191">
        <v>33</v>
      </c>
      <c r="G14" s="191">
        <v>40</v>
      </c>
      <c r="H14" s="192">
        <v>2015</v>
      </c>
      <c r="I14" s="192">
        <f t="shared" si="1"/>
        <v>33.583333333333336</v>
      </c>
      <c r="J14" s="192" t="s">
        <v>89</v>
      </c>
      <c r="K14" s="193" t="s">
        <v>641</v>
      </c>
      <c r="L14" s="193" t="s">
        <v>351</v>
      </c>
      <c r="M14" s="192"/>
      <c r="N14" s="190">
        <f>+VLOOKUP(H14,'[1]GIKANDA FCS '!$H$1:$K$59,4,FALSE)</f>
        <v>330</v>
      </c>
      <c r="O14" s="197">
        <f t="shared" si="0"/>
        <v>17.371320227522176</v>
      </c>
      <c r="P14" s="188">
        <f t="shared" si="2"/>
        <v>13299</v>
      </c>
    </row>
    <row r="15" spans="1:17">
      <c r="A15" s="189" t="s">
        <v>350</v>
      </c>
      <c r="B15" s="189" t="s">
        <v>643</v>
      </c>
      <c r="C15" s="190" t="s">
        <v>639</v>
      </c>
      <c r="D15" s="189" t="s">
        <v>632</v>
      </c>
      <c r="E15" s="190" t="s">
        <v>42</v>
      </c>
      <c r="F15" s="191">
        <v>50</v>
      </c>
      <c r="G15" s="191">
        <v>43</v>
      </c>
      <c r="H15" s="192">
        <v>3048</v>
      </c>
      <c r="I15" s="192">
        <f t="shared" si="1"/>
        <v>50.8</v>
      </c>
      <c r="J15" s="192" t="s">
        <v>94</v>
      </c>
      <c r="K15" s="193" t="s">
        <v>633</v>
      </c>
      <c r="L15" s="193" t="s">
        <v>351</v>
      </c>
      <c r="M15" s="192"/>
      <c r="N15" s="190">
        <f>+VLOOKUP(H15,'[1]GIKANDA FCS '!$H$1:$K$59,4,FALSE)</f>
        <v>350</v>
      </c>
      <c r="O15" s="197">
        <f t="shared" si="0"/>
        <v>35.515036604947795</v>
      </c>
      <c r="P15" s="188">
        <f t="shared" si="2"/>
        <v>21336</v>
      </c>
    </row>
    <row r="16" spans="1:17">
      <c r="A16" s="189" t="s">
        <v>350</v>
      </c>
      <c r="B16" s="189" t="s">
        <v>643</v>
      </c>
      <c r="C16" s="190" t="s">
        <v>639</v>
      </c>
      <c r="D16" s="189" t="s">
        <v>632</v>
      </c>
      <c r="E16" s="190" t="s">
        <v>45</v>
      </c>
      <c r="F16" s="191">
        <v>8</v>
      </c>
      <c r="G16" s="191">
        <v>8</v>
      </c>
      <c r="H16" s="192">
        <v>487</v>
      </c>
      <c r="I16" s="192">
        <f t="shared" si="1"/>
        <v>8.1166666666666671</v>
      </c>
      <c r="J16" s="192" t="s">
        <v>54</v>
      </c>
      <c r="K16" s="193" t="s">
        <v>435</v>
      </c>
      <c r="L16" s="193" t="s">
        <v>354</v>
      </c>
      <c r="M16" s="194"/>
      <c r="N16" s="190">
        <f>+VLOOKUP(H16,'[1]GIKANDA FCS '!$H$1:$K$59,4,FALSE)</f>
        <v>310</v>
      </c>
      <c r="O16" s="197">
        <f t="shared" si="0"/>
        <v>-0.77239614990332939</v>
      </c>
      <c r="P16" s="188">
        <f t="shared" si="2"/>
        <v>3019.4</v>
      </c>
    </row>
    <row r="17" spans="1:16">
      <c r="A17" s="189" t="s">
        <v>350</v>
      </c>
      <c r="B17" s="189" t="s">
        <v>643</v>
      </c>
      <c r="C17" s="190" t="s">
        <v>639</v>
      </c>
      <c r="D17" s="189" t="s">
        <v>632</v>
      </c>
      <c r="E17" s="190" t="s">
        <v>44</v>
      </c>
      <c r="F17" s="191">
        <v>12</v>
      </c>
      <c r="G17" s="191"/>
      <c r="H17" s="192">
        <v>711</v>
      </c>
      <c r="I17" s="192">
        <f t="shared" si="1"/>
        <v>11.85</v>
      </c>
      <c r="J17" s="192" t="s">
        <v>94</v>
      </c>
      <c r="K17" s="193" t="s">
        <v>641</v>
      </c>
      <c r="L17" s="193" t="s">
        <v>351</v>
      </c>
      <c r="M17" s="192"/>
      <c r="N17" s="190">
        <f>+VLOOKUP(H17,'[1]GIKANDA FCS '!$H$1:$K$59,4,FALSE)</f>
        <v>330</v>
      </c>
      <c r="O17" s="197">
        <f t="shared" si="0"/>
        <v>17.371320227522176</v>
      </c>
      <c r="P17" s="188">
        <f t="shared" si="2"/>
        <v>4692.5999999999995</v>
      </c>
    </row>
    <row r="18" spans="1:16">
      <c r="A18" s="189" t="s">
        <v>350</v>
      </c>
      <c r="B18" s="189" t="s">
        <v>644</v>
      </c>
      <c r="C18" s="190" t="s">
        <v>639</v>
      </c>
      <c r="D18" s="189" t="s">
        <v>632</v>
      </c>
      <c r="E18" s="190" t="s">
        <v>42</v>
      </c>
      <c r="F18" s="191">
        <v>115</v>
      </c>
      <c r="G18" s="191">
        <v>28</v>
      </c>
      <c r="H18" s="192">
        <v>6932</v>
      </c>
      <c r="I18" s="192">
        <f t="shared" si="1"/>
        <v>115.53333333333333</v>
      </c>
      <c r="J18" s="192" t="s">
        <v>94</v>
      </c>
      <c r="K18" s="193" t="s">
        <v>633</v>
      </c>
      <c r="L18" s="193" t="s">
        <v>351</v>
      </c>
      <c r="M18" s="192"/>
      <c r="N18" s="190">
        <f>+VLOOKUP(H18,'[1]GIKANDA FCS '!$H$1:$K$59,4,FALSE)</f>
        <v>350</v>
      </c>
      <c r="O18" s="197">
        <f t="shared" si="0"/>
        <v>35.515036604947795</v>
      </c>
      <c r="P18" s="188">
        <f t="shared" si="2"/>
        <v>48523.999999999993</v>
      </c>
    </row>
    <row r="19" spans="1:16">
      <c r="A19" s="189" t="s">
        <v>350</v>
      </c>
      <c r="B19" s="189" t="s">
        <v>644</v>
      </c>
      <c r="C19" s="190" t="s">
        <v>639</v>
      </c>
      <c r="D19" s="189" t="s">
        <v>632</v>
      </c>
      <c r="E19" s="190" t="s">
        <v>43</v>
      </c>
      <c r="F19" s="191">
        <v>99</v>
      </c>
      <c r="G19" s="191">
        <v>12</v>
      </c>
      <c r="H19" s="192">
        <v>5957</v>
      </c>
      <c r="I19" s="192">
        <f t="shared" si="1"/>
        <v>99.283333333333331</v>
      </c>
      <c r="J19" s="192" t="s">
        <v>94</v>
      </c>
      <c r="K19" s="193" t="s">
        <v>641</v>
      </c>
      <c r="L19" s="193" t="s">
        <v>351</v>
      </c>
      <c r="M19" s="192"/>
      <c r="N19" s="190">
        <f>+VLOOKUP(H19,'[1]GIKANDA FCS '!$H$1:$K$59,4,FALSE)</f>
        <v>330</v>
      </c>
      <c r="O19" s="197">
        <f t="shared" si="0"/>
        <v>17.371320227522176</v>
      </c>
      <c r="P19" s="188">
        <f t="shared" si="2"/>
        <v>39316.199999999997</v>
      </c>
    </row>
    <row r="20" spans="1:16">
      <c r="A20" s="189" t="s">
        <v>350</v>
      </c>
      <c r="B20" s="189" t="s">
        <v>644</v>
      </c>
      <c r="C20" s="190" t="s">
        <v>639</v>
      </c>
      <c r="D20" s="189" t="s">
        <v>632</v>
      </c>
      <c r="E20" s="190" t="s">
        <v>45</v>
      </c>
      <c r="F20" s="191">
        <v>9</v>
      </c>
      <c r="G20" s="191">
        <v>7</v>
      </c>
      <c r="H20" s="192">
        <v>549</v>
      </c>
      <c r="I20" s="192">
        <f t="shared" si="1"/>
        <v>9.15</v>
      </c>
      <c r="J20" s="192" t="s">
        <v>56</v>
      </c>
      <c r="K20" s="193" t="s">
        <v>427</v>
      </c>
      <c r="L20" s="193" t="s">
        <v>354</v>
      </c>
      <c r="M20" s="194"/>
      <c r="N20" s="190">
        <f>+VLOOKUP(H20,'[1]GIKANDA FCS '!$H$1:$K$59,4,FALSE)</f>
        <v>310</v>
      </c>
      <c r="O20" s="197">
        <f t="shared" si="0"/>
        <v>-0.77239614990332939</v>
      </c>
      <c r="P20" s="188">
        <f t="shared" si="2"/>
        <v>3403.7999999999997</v>
      </c>
    </row>
    <row r="21" spans="1:16">
      <c r="A21" s="189" t="s">
        <v>350</v>
      </c>
      <c r="B21" s="189" t="s">
        <v>644</v>
      </c>
      <c r="C21" s="190" t="s">
        <v>639</v>
      </c>
      <c r="D21" s="189" t="s">
        <v>632</v>
      </c>
      <c r="E21" s="190" t="s">
        <v>44</v>
      </c>
      <c r="F21" s="191">
        <v>15</v>
      </c>
      <c r="G21" s="191">
        <v>22</v>
      </c>
      <c r="H21" s="192">
        <v>923</v>
      </c>
      <c r="I21" s="192">
        <f t="shared" si="1"/>
        <v>15.383333333333333</v>
      </c>
      <c r="J21" s="192" t="s">
        <v>94</v>
      </c>
      <c r="K21" s="193" t="s">
        <v>641</v>
      </c>
      <c r="L21" s="193" t="s">
        <v>351</v>
      </c>
      <c r="M21" s="192"/>
      <c r="N21" s="190">
        <f>+VLOOKUP(H21,'[1]GIKANDA FCS '!$H$1:$K$59,4,FALSE)</f>
        <v>330</v>
      </c>
      <c r="O21" s="197">
        <f t="shared" si="0"/>
        <v>17.371320227522176</v>
      </c>
      <c r="P21" s="188">
        <f t="shared" si="2"/>
        <v>6091.8</v>
      </c>
    </row>
    <row r="22" spans="1:16">
      <c r="A22" s="189" t="s">
        <v>350</v>
      </c>
      <c r="B22" s="189" t="s">
        <v>645</v>
      </c>
      <c r="C22" s="190" t="s">
        <v>631</v>
      </c>
      <c r="D22" s="189" t="s">
        <v>632</v>
      </c>
      <c r="E22" s="190" t="s">
        <v>45</v>
      </c>
      <c r="F22" s="191">
        <v>12</v>
      </c>
      <c r="G22" s="191">
        <v>39</v>
      </c>
      <c r="H22" s="192">
        <v>752</v>
      </c>
      <c r="I22" s="192">
        <f t="shared" si="1"/>
        <v>12.533333333333333</v>
      </c>
      <c r="J22" s="192" t="s">
        <v>59</v>
      </c>
      <c r="K22" s="193" t="s">
        <v>436</v>
      </c>
      <c r="L22" s="193" t="s">
        <v>418</v>
      </c>
      <c r="M22" s="194"/>
      <c r="N22" s="190">
        <f>+VLOOKUP(H22,'[1]GIKANDA FCS '!$H$1:$K$59,4,FALSE)</f>
        <v>250</v>
      </c>
      <c r="O22" s="197">
        <f t="shared" si="0"/>
        <v>-55.20354528218013</v>
      </c>
      <c r="P22" s="188">
        <f t="shared" si="2"/>
        <v>3760</v>
      </c>
    </row>
    <row r="23" spans="1:16">
      <c r="A23" s="189" t="s">
        <v>350</v>
      </c>
      <c r="B23" s="189" t="s">
        <v>645</v>
      </c>
      <c r="C23" s="190" t="s">
        <v>631</v>
      </c>
      <c r="D23" s="189" t="s">
        <v>632</v>
      </c>
      <c r="E23" s="190" t="s">
        <v>44</v>
      </c>
      <c r="F23" s="191">
        <v>20</v>
      </c>
      <c r="G23" s="191">
        <v>6</v>
      </c>
      <c r="H23" s="192">
        <v>1198</v>
      </c>
      <c r="I23" s="192">
        <f t="shared" si="1"/>
        <v>19.966666666666665</v>
      </c>
      <c r="J23" s="192" t="s">
        <v>54</v>
      </c>
      <c r="K23" s="193" t="s">
        <v>430</v>
      </c>
      <c r="L23" s="193" t="s">
        <v>354</v>
      </c>
      <c r="M23" s="192"/>
      <c r="N23" s="190">
        <f>+VLOOKUP(H23,'[1]GIKANDA FCS '!$H$1:$K$59,4,FALSE)</f>
        <v>325</v>
      </c>
      <c r="O23" s="197">
        <f t="shared" si="0"/>
        <v>12.835391133165786</v>
      </c>
      <c r="P23" s="188">
        <f t="shared" si="2"/>
        <v>7786.9999999999991</v>
      </c>
    </row>
    <row r="24" spans="1:16">
      <c r="A24" s="189" t="s">
        <v>350</v>
      </c>
      <c r="B24" s="189" t="s">
        <v>645</v>
      </c>
      <c r="C24" s="190" t="s">
        <v>631</v>
      </c>
      <c r="D24" s="189" t="s">
        <v>632</v>
      </c>
      <c r="E24" s="190" t="s">
        <v>46</v>
      </c>
      <c r="F24" s="191">
        <v>4</v>
      </c>
      <c r="G24" s="191">
        <v>32</v>
      </c>
      <c r="H24" s="192">
        <v>264</v>
      </c>
      <c r="I24" s="192">
        <f t="shared" si="1"/>
        <v>4.4000000000000004</v>
      </c>
      <c r="J24" s="192" t="s">
        <v>57</v>
      </c>
      <c r="K24" s="193" t="s">
        <v>424</v>
      </c>
      <c r="L24" s="193" t="s">
        <v>354</v>
      </c>
      <c r="M24" s="194"/>
      <c r="N24" s="190">
        <f>+VLOOKUP(H24,'[1]GIKANDA FCS '!$H$1:$K$59,4,FALSE)</f>
        <v>250</v>
      </c>
      <c r="O24" s="197">
        <f t="shared" si="0"/>
        <v>-55.20354528218013</v>
      </c>
      <c r="P24" s="188">
        <f t="shared" si="2"/>
        <v>1320</v>
      </c>
    </row>
    <row r="25" spans="1:16">
      <c r="A25" s="189" t="s">
        <v>350</v>
      </c>
      <c r="B25" s="189" t="s">
        <v>646</v>
      </c>
      <c r="C25" s="190" t="s">
        <v>519</v>
      </c>
      <c r="D25" s="189" t="s">
        <v>632</v>
      </c>
      <c r="E25" s="190" t="s">
        <v>48</v>
      </c>
      <c r="F25" s="191">
        <v>13</v>
      </c>
      <c r="G25" s="191">
        <v>8</v>
      </c>
      <c r="H25" s="192">
        <v>779</v>
      </c>
      <c r="I25" s="192">
        <f t="shared" si="1"/>
        <v>12.983333333333333</v>
      </c>
      <c r="J25" s="192" t="s">
        <v>60</v>
      </c>
      <c r="K25" s="193" t="s">
        <v>418</v>
      </c>
      <c r="L25" s="193" t="s">
        <v>418</v>
      </c>
      <c r="M25" s="194"/>
      <c r="N25" s="190">
        <f>+VLOOKUP(H25,'[1]GIKANDA FCS '!$H$1:$K$59,4,FALSE)</f>
        <v>250</v>
      </c>
      <c r="O25" s="197">
        <f t="shared" si="0"/>
        <v>-55.20354528218013</v>
      </c>
      <c r="P25" s="188">
        <f t="shared" si="2"/>
        <v>3894.9999999999995</v>
      </c>
    </row>
    <row r="26" spans="1:16">
      <c r="A26" s="189" t="s">
        <v>350</v>
      </c>
      <c r="B26" s="189" t="s">
        <v>647</v>
      </c>
      <c r="C26" s="190" t="s">
        <v>519</v>
      </c>
      <c r="D26" s="189" t="s">
        <v>632</v>
      </c>
      <c r="E26" s="190" t="s">
        <v>47</v>
      </c>
      <c r="F26" s="191">
        <v>7</v>
      </c>
      <c r="G26" s="191">
        <v>7</v>
      </c>
      <c r="H26" s="192">
        <v>427</v>
      </c>
      <c r="I26" s="192">
        <f t="shared" si="1"/>
        <v>7.1166666666666663</v>
      </c>
      <c r="J26" s="192" t="s">
        <v>60</v>
      </c>
      <c r="K26" s="193" t="s">
        <v>418</v>
      </c>
      <c r="L26" s="193" t="s">
        <v>418</v>
      </c>
      <c r="M26" s="194"/>
      <c r="N26" s="190">
        <f>+VLOOKUP(H26,'[1]GIKANDA FCS '!$H$1:$K$59,4,FALSE)</f>
        <v>250</v>
      </c>
      <c r="O26" s="197">
        <f t="shared" si="0"/>
        <v>-55.20354528218013</v>
      </c>
      <c r="P26" s="188">
        <f t="shared" si="2"/>
        <v>2134.9999999999995</v>
      </c>
    </row>
    <row r="27" spans="1:16">
      <c r="A27" s="189" t="s">
        <v>350</v>
      </c>
      <c r="B27" s="189" t="s">
        <v>648</v>
      </c>
      <c r="C27" s="190" t="s">
        <v>519</v>
      </c>
      <c r="D27" s="189" t="s">
        <v>632</v>
      </c>
      <c r="E27" s="190" t="s">
        <v>47</v>
      </c>
      <c r="F27" s="191">
        <v>7</v>
      </c>
      <c r="G27" s="191">
        <v>33</v>
      </c>
      <c r="H27" s="192">
        <v>452</v>
      </c>
      <c r="I27" s="192">
        <f t="shared" si="1"/>
        <v>7.5333333333333332</v>
      </c>
      <c r="J27" s="192" t="s">
        <v>60</v>
      </c>
      <c r="K27" s="193" t="s">
        <v>418</v>
      </c>
      <c r="L27" s="193" t="s">
        <v>418</v>
      </c>
      <c r="M27" s="194"/>
      <c r="N27" s="190">
        <f>+VLOOKUP(H27,'[1]GIKANDA FCS '!$H$1:$K$59,4,FALSE)</f>
        <v>250</v>
      </c>
      <c r="O27" s="197">
        <f t="shared" si="0"/>
        <v>-55.20354528218013</v>
      </c>
      <c r="P27" s="188">
        <f t="shared" si="2"/>
        <v>2260</v>
      </c>
    </row>
    <row r="28" spans="1:16">
      <c r="A28" s="189" t="s">
        <v>350</v>
      </c>
      <c r="B28" s="189" t="s">
        <v>649</v>
      </c>
      <c r="C28" s="190" t="s">
        <v>639</v>
      </c>
      <c r="D28" s="189" t="s">
        <v>632</v>
      </c>
      <c r="E28" s="190" t="s">
        <v>43</v>
      </c>
      <c r="F28" s="191">
        <v>30</v>
      </c>
      <c r="G28" s="191">
        <v>7</v>
      </c>
      <c r="H28" s="192">
        <v>1792</v>
      </c>
      <c r="I28" s="192">
        <f t="shared" si="1"/>
        <v>29.866666666666667</v>
      </c>
      <c r="J28" s="192" t="s">
        <v>94</v>
      </c>
      <c r="K28" s="193" t="s">
        <v>641</v>
      </c>
      <c r="L28" s="193" t="s">
        <v>351</v>
      </c>
      <c r="M28" s="192"/>
      <c r="N28" s="190">
        <f>+VLOOKUP(H28,'[1]GIKANDA FCS '!$H$1:$K$59,4,FALSE)</f>
        <v>330</v>
      </c>
      <c r="O28" s="197">
        <f t="shared" si="0"/>
        <v>17.371320227522176</v>
      </c>
      <c r="P28" s="188">
        <f t="shared" si="2"/>
        <v>11827.199999999999</v>
      </c>
    </row>
    <row r="29" spans="1:16">
      <c r="A29" s="189" t="s">
        <v>350</v>
      </c>
      <c r="B29" s="189" t="s">
        <v>650</v>
      </c>
      <c r="C29" s="190" t="s">
        <v>639</v>
      </c>
      <c r="D29" s="189" t="s">
        <v>632</v>
      </c>
      <c r="E29" s="190" t="s">
        <v>43</v>
      </c>
      <c r="F29" s="191">
        <v>30</v>
      </c>
      <c r="G29" s="191">
        <v>55</v>
      </c>
      <c r="H29" s="192">
        <v>1850</v>
      </c>
      <c r="I29" s="192">
        <f t="shared" si="1"/>
        <v>30.833333333333332</v>
      </c>
      <c r="J29" s="192" t="s">
        <v>89</v>
      </c>
      <c r="K29" s="193" t="s">
        <v>641</v>
      </c>
      <c r="L29" s="193" t="s">
        <v>351</v>
      </c>
      <c r="M29" s="192"/>
      <c r="N29" s="190">
        <f>+VLOOKUP(H29,'[1]GIKANDA FCS '!$H$1:$K$59,4,FALSE)</f>
        <v>330</v>
      </c>
      <c r="O29" s="197">
        <f t="shared" si="0"/>
        <v>17.371320227522176</v>
      </c>
      <c r="P29" s="188">
        <f t="shared" si="2"/>
        <v>12210</v>
      </c>
    </row>
    <row r="30" spans="1:16">
      <c r="A30" s="189" t="s">
        <v>350</v>
      </c>
      <c r="B30" s="189" t="s">
        <v>650</v>
      </c>
      <c r="C30" s="190" t="s">
        <v>639</v>
      </c>
      <c r="D30" s="189" t="s">
        <v>632</v>
      </c>
      <c r="E30" s="190" t="s">
        <v>45</v>
      </c>
      <c r="F30" s="191">
        <v>4</v>
      </c>
      <c r="G30" s="191">
        <v>16</v>
      </c>
      <c r="H30" s="192">
        <v>248</v>
      </c>
      <c r="I30" s="192">
        <f t="shared" si="1"/>
        <v>4.1333333333333337</v>
      </c>
      <c r="J30" s="192" t="s">
        <v>54</v>
      </c>
      <c r="K30" s="193" t="s">
        <v>435</v>
      </c>
      <c r="L30" s="193" t="s">
        <v>354</v>
      </c>
      <c r="M30" s="194"/>
      <c r="N30" s="190">
        <f>+VLOOKUP(H30,'[1]GIKANDA FCS '!$H$1:$K$59,4,FALSE)</f>
        <v>310</v>
      </c>
      <c r="O30" s="197">
        <f t="shared" si="0"/>
        <v>-0.77239614990332939</v>
      </c>
      <c r="P30" s="188">
        <f t="shared" si="2"/>
        <v>1537.6000000000001</v>
      </c>
    </row>
    <row r="31" spans="1:16">
      <c r="A31" s="189" t="s">
        <v>350</v>
      </c>
      <c r="B31" s="189" t="s">
        <v>651</v>
      </c>
      <c r="C31" s="190" t="s">
        <v>639</v>
      </c>
      <c r="D31" s="189" t="s">
        <v>632</v>
      </c>
      <c r="E31" s="190" t="s">
        <v>42</v>
      </c>
      <c r="F31" s="191">
        <v>112</v>
      </c>
      <c r="G31" s="191">
        <v>13</v>
      </c>
      <c r="H31" s="192">
        <v>6731</v>
      </c>
      <c r="I31" s="192">
        <f t="shared" si="1"/>
        <v>112.18333333333334</v>
      </c>
      <c r="J31" s="192" t="s">
        <v>94</v>
      </c>
      <c r="K31" s="193" t="s">
        <v>633</v>
      </c>
      <c r="L31" s="193" t="s">
        <v>351</v>
      </c>
      <c r="M31" s="192"/>
      <c r="N31" s="190">
        <f>+VLOOKUP(H31,'[1]GIKANDA FCS '!$H$1:$K$59,4,FALSE)</f>
        <v>350</v>
      </c>
      <c r="O31" s="197">
        <f t="shared" si="0"/>
        <v>35.515036604947795</v>
      </c>
      <c r="P31" s="188">
        <f t="shared" si="2"/>
        <v>47117.000000000007</v>
      </c>
    </row>
    <row r="32" spans="1:16">
      <c r="A32" s="189" t="s">
        <v>350</v>
      </c>
      <c r="B32" s="189" t="s">
        <v>651</v>
      </c>
      <c r="C32" s="190" t="s">
        <v>652</v>
      </c>
      <c r="D32" s="189" t="s">
        <v>632</v>
      </c>
      <c r="E32" s="190" t="s">
        <v>45</v>
      </c>
      <c r="F32" s="191">
        <v>9</v>
      </c>
      <c r="G32" s="191">
        <v>32</v>
      </c>
      <c r="H32" s="192">
        <v>555</v>
      </c>
      <c r="I32" s="192">
        <f t="shared" si="1"/>
        <v>9.25</v>
      </c>
      <c r="J32" s="192" t="s">
        <v>59</v>
      </c>
      <c r="K32" s="193" t="s">
        <v>436</v>
      </c>
      <c r="L32" s="193" t="s">
        <v>418</v>
      </c>
      <c r="M32" s="194"/>
      <c r="N32" s="190">
        <f>+VLOOKUP(H32,'[1]GIKANDA FCS '!$H$1:$K$59,4,FALSE)</f>
        <v>250</v>
      </c>
      <c r="O32" s="197">
        <f t="shared" si="0"/>
        <v>-55.20354528218013</v>
      </c>
      <c r="P32" s="188">
        <f t="shared" si="2"/>
        <v>2775</v>
      </c>
    </row>
    <row r="33" spans="1:16">
      <c r="A33" s="189" t="s">
        <v>350</v>
      </c>
      <c r="B33" s="189" t="s">
        <v>651</v>
      </c>
      <c r="C33" s="190" t="s">
        <v>652</v>
      </c>
      <c r="D33" s="189" t="s">
        <v>632</v>
      </c>
      <c r="E33" s="190" t="s">
        <v>46</v>
      </c>
      <c r="F33" s="191">
        <v>9</v>
      </c>
      <c r="G33" s="191">
        <v>14</v>
      </c>
      <c r="H33" s="192">
        <v>538</v>
      </c>
      <c r="I33" s="192">
        <f t="shared" si="1"/>
        <v>8.9666666666666668</v>
      </c>
      <c r="J33" s="192" t="s">
        <v>57</v>
      </c>
      <c r="K33" s="193" t="s">
        <v>424</v>
      </c>
      <c r="L33" s="193" t="s">
        <v>354</v>
      </c>
      <c r="M33" s="194"/>
      <c r="N33" s="190">
        <f>+VLOOKUP(H33,'[1]GIKANDA FCS '!$H$1:$K$59,4,FALSE)</f>
        <v>250</v>
      </c>
      <c r="O33" s="197">
        <f t="shared" si="0"/>
        <v>-55.20354528218013</v>
      </c>
      <c r="P33" s="188">
        <f t="shared" si="2"/>
        <v>2689.9999999999995</v>
      </c>
    </row>
    <row r="34" spans="1:16">
      <c r="A34" s="189" t="s">
        <v>350</v>
      </c>
      <c r="B34" s="189" t="s">
        <v>653</v>
      </c>
      <c r="C34" s="190" t="s">
        <v>631</v>
      </c>
      <c r="D34" s="189" t="s">
        <v>632</v>
      </c>
      <c r="E34" s="190" t="s">
        <v>45</v>
      </c>
      <c r="F34" s="191">
        <v>10</v>
      </c>
      <c r="G34" s="191">
        <v>41</v>
      </c>
      <c r="H34" s="192">
        <v>642</v>
      </c>
      <c r="I34" s="192">
        <f t="shared" si="1"/>
        <v>10.7</v>
      </c>
      <c r="J34" s="192" t="s">
        <v>59</v>
      </c>
      <c r="K34" s="193" t="s">
        <v>436</v>
      </c>
      <c r="L34" s="193" t="s">
        <v>418</v>
      </c>
      <c r="M34" s="194"/>
      <c r="N34" s="190">
        <f>+VLOOKUP(H34,'[1]GIKANDA FCS '!$H$1:$K$59,4,FALSE)</f>
        <v>250</v>
      </c>
      <c r="O34" s="197">
        <f t="shared" si="0"/>
        <v>-55.20354528218013</v>
      </c>
      <c r="P34" s="188">
        <f t="shared" si="2"/>
        <v>3210</v>
      </c>
    </row>
    <row r="35" spans="1:16">
      <c r="A35" s="189" t="s">
        <v>350</v>
      </c>
      <c r="B35" s="189" t="s">
        <v>653</v>
      </c>
      <c r="C35" s="190" t="s">
        <v>631</v>
      </c>
      <c r="D35" s="189" t="s">
        <v>632</v>
      </c>
      <c r="E35" s="190" t="s">
        <v>48</v>
      </c>
      <c r="F35" s="191">
        <v>5</v>
      </c>
      <c r="G35" s="191">
        <v>50</v>
      </c>
      <c r="H35" s="192">
        <v>350</v>
      </c>
      <c r="I35" s="192">
        <f t="shared" si="1"/>
        <v>5.833333333333333</v>
      </c>
      <c r="J35" s="192" t="s">
        <v>60</v>
      </c>
      <c r="K35" s="193" t="s">
        <v>418</v>
      </c>
      <c r="L35" s="193" t="s">
        <v>418</v>
      </c>
      <c r="M35" s="194"/>
      <c r="N35" s="190">
        <f>+VLOOKUP(H35,'[1]GIKANDA FCS '!$H$1:$K$59,4,FALSE)</f>
        <v>250</v>
      </c>
      <c r="O35" s="197">
        <f t="shared" si="0"/>
        <v>-55.20354528218013</v>
      </c>
      <c r="P35" s="188">
        <f t="shared" si="2"/>
        <v>1749.9999999999998</v>
      </c>
    </row>
    <row r="36" spans="1:16">
      <c r="A36" s="189" t="s">
        <v>350</v>
      </c>
      <c r="B36" s="189" t="s">
        <v>653</v>
      </c>
      <c r="C36" s="190" t="s">
        <v>631</v>
      </c>
      <c r="D36" s="189" t="s">
        <v>632</v>
      </c>
      <c r="E36" s="190" t="s">
        <v>44</v>
      </c>
      <c r="F36" s="191">
        <v>15</v>
      </c>
      <c r="G36" s="191">
        <v>7</v>
      </c>
      <c r="H36" s="192">
        <v>907</v>
      </c>
      <c r="I36" s="192">
        <f t="shared" si="1"/>
        <v>15.116666666666667</v>
      </c>
      <c r="J36" s="192" t="s">
        <v>56</v>
      </c>
      <c r="K36" s="193" t="s">
        <v>430</v>
      </c>
      <c r="L36" s="193" t="s">
        <v>354</v>
      </c>
      <c r="M36" s="192"/>
      <c r="N36" s="190">
        <f>+VLOOKUP(H36,'[1]GIKANDA FCS '!$H$1:$K$59,4,FALSE)</f>
        <v>325</v>
      </c>
      <c r="O36" s="197">
        <f t="shared" si="0"/>
        <v>12.835391133165786</v>
      </c>
      <c r="P36" s="188">
        <f t="shared" si="2"/>
        <v>5895.5</v>
      </c>
    </row>
    <row r="37" spans="1:16">
      <c r="A37" s="189" t="s">
        <v>350</v>
      </c>
      <c r="B37" s="189" t="s">
        <v>653</v>
      </c>
      <c r="C37" s="190" t="s">
        <v>631</v>
      </c>
      <c r="D37" s="189" t="s">
        <v>632</v>
      </c>
      <c r="E37" s="190" t="s">
        <v>46</v>
      </c>
      <c r="F37" s="191">
        <v>8</v>
      </c>
      <c r="G37" s="191">
        <v>53</v>
      </c>
      <c r="H37" s="192">
        <v>533</v>
      </c>
      <c r="I37" s="192">
        <f t="shared" si="1"/>
        <v>8.8833333333333329</v>
      </c>
      <c r="J37" s="192" t="s">
        <v>57</v>
      </c>
      <c r="K37" s="193" t="s">
        <v>424</v>
      </c>
      <c r="L37" s="193" t="s">
        <v>354</v>
      </c>
      <c r="M37" s="194"/>
      <c r="N37" s="190">
        <f>+VLOOKUP(H37,'[1]GIKANDA FCS '!$H$1:$K$59,4,FALSE)</f>
        <v>250</v>
      </c>
      <c r="O37" s="197">
        <f t="shared" si="0"/>
        <v>-55.20354528218013</v>
      </c>
      <c r="P37" s="188">
        <f t="shared" si="2"/>
        <v>2664.9999999999995</v>
      </c>
    </row>
    <row r="38" spans="1:16">
      <c r="A38" s="189" t="s">
        <v>350</v>
      </c>
      <c r="B38" s="189" t="s">
        <v>654</v>
      </c>
      <c r="C38" s="190" t="s">
        <v>652</v>
      </c>
      <c r="D38" s="189" t="s">
        <v>632</v>
      </c>
      <c r="E38" s="190" t="s">
        <v>42</v>
      </c>
      <c r="F38" s="191">
        <v>18</v>
      </c>
      <c r="G38" s="191">
        <v>51</v>
      </c>
      <c r="H38" s="192">
        <v>1137</v>
      </c>
      <c r="I38" s="192">
        <f t="shared" si="1"/>
        <v>18.95</v>
      </c>
      <c r="J38" s="192" t="s">
        <v>45</v>
      </c>
      <c r="K38" s="193" t="s">
        <v>434</v>
      </c>
      <c r="L38" s="193" t="s">
        <v>354</v>
      </c>
      <c r="M38" s="192"/>
      <c r="N38" s="190">
        <f>+VLOOKUP(H38,'[1]GIKANDA FCS '!$H$1:$K$59,4,FALSE)</f>
        <v>335</v>
      </c>
      <c r="O38" s="197">
        <f t="shared" si="0"/>
        <v>21.907249321878624</v>
      </c>
      <c r="P38" s="188">
        <f t="shared" si="2"/>
        <v>7617.9</v>
      </c>
    </row>
    <row r="39" spans="1:16">
      <c r="A39" s="189" t="s">
        <v>350</v>
      </c>
      <c r="B39" s="189" t="s">
        <v>655</v>
      </c>
      <c r="C39" s="190" t="s">
        <v>652</v>
      </c>
      <c r="D39" s="189" t="s">
        <v>632</v>
      </c>
      <c r="E39" s="190" t="s">
        <v>51</v>
      </c>
      <c r="F39" s="191">
        <v>26</v>
      </c>
      <c r="G39" s="191">
        <v>53</v>
      </c>
      <c r="H39" s="192">
        <v>1618</v>
      </c>
      <c r="I39" s="192">
        <f t="shared" si="1"/>
        <v>26.966666666666665</v>
      </c>
      <c r="J39" s="192" t="s">
        <v>525</v>
      </c>
      <c r="K39" s="192" t="s">
        <v>424</v>
      </c>
      <c r="L39" s="193" t="s">
        <v>354</v>
      </c>
      <c r="M39" s="194"/>
      <c r="N39" s="190">
        <f>+VLOOKUP(H39,'[1]GIKANDA FCS '!$H$1:$K$59,4,FALSE)</f>
        <v>250</v>
      </c>
      <c r="O39" s="197">
        <f t="shared" si="0"/>
        <v>-55.20354528218013</v>
      </c>
      <c r="P39" s="188">
        <f t="shared" si="2"/>
        <v>8089.9999999999991</v>
      </c>
    </row>
    <row r="40" spans="1:16">
      <c r="A40" s="189" t="s">
        <v>350</v>
      </c>
      <c r="B40" s="189" t="s">
        <v>655</v>
      </c>
      <c r="C40" s="190" t="s">
        <v>639</v>
      </c>
      <c r="D40" s="189" t="s">
        <v>632</v>
      </c>
      <c r="E40" s="190" t="s">
        <v>52</v>
      </c>
      <c r="F40" s="191">
        <v>15</v>
      </c>
      <c r="G40" s="191">
        <v>56</v>
      </c>
      <c r="H40" s="192">
        <v>951</v>
      </c>
      <c r="I40" s="192">
        <f t="shared" si="1"/>
        <v>15.85</v>
      </c>
      <c r="J40" s="192" t="s">
        <v>62</v>
      </c>
      <c r="K40" s="193" t="s">
        <v>419</v>
      </c>
      <c r="L40" s="193" t="s">
        <v>418</v>
      </c>
      <c r="M40" s="194"/>
      <c r="N40" s="190">
        <f>+VLOOKUP(H40,'[1]GIKANDA FCS '!$H$1:$K$59,4,FALSE)</f>
        <v>250</v>
      </c>
      <c r="O40" s="197">
        <f t="shared" si="0"/>
        <v>-55.20354528218013</v>
      </c>
      <c r="P40" s="188">
        <f t="shared" si="2"/>
        <v>4755</v>
      </c>
    </row>
    <row r="41" spans="1:16">
      <c r="A41" s="189" t="s">
        <v>350</v>
      </c>
      <c r="B41" s="189" t="s">
        <v>656</v>
      </c>
      <c r="C41" s="190" t="s">
        <v>631</v>
      </c>
      <c r="D41" s="189" t="s">
        <v>632</v>
      </c>
      <c r="E41" s="190" t="s">
        <v>46</v>
      </c>
      <c r="F41" s="191">
        <v>5</v>
      </c>
      <c r="G41" s="191">
        <v>10</v>
      </c>
      <c r="H41" s="192">
        <v>309</v>
      </c>
      <c r="I41" s="192">
        <f t="shared" si="1"/>
        <v>5.15</v>
      </c>
      <c r="J41" s="192" t="s">
        <v>59</v>
      </c>
      <c r="K41" s="192" t="s">
        <v>436</v>
      </c>
      <c r="L41" s="193" t="s">
        <v>418</v>
      </c>
      <c r="M41" s="194"/>
      <c r="N41" s="190">
        <f>+VLOOKUP(H41,'[1]GIKANDA FCS '!$H$1:$K$59,4,FALSE)</f>
        <v>250</v>
      </c>
      <c r="O41" s="197">
        <f t="shared" si="0"/>
        <v>-55.20354528218013</v>
      </c>
      <c r="P41" s="188">
        <f t="shared" si="2"/>
        <v>1545</v>
      </c>
    </row>
    <row r="42" spans="1:16">
      <c r="A42" s="189" t="s">
        <v>350</v>
      </c>
      <c r="B42" s="189" t="s">
        <v>657</v>
      </c>
      <c r="C42" s="190" t="s">
        <v>631</v>
      </c>
      <c r="D42" s="189" t="s">
        <v>632</v>
      </c>
      <c r="E42" s="190" t="s">
        <v>52</v>
      </c>
      <c r="F42" s="191">
        <v>16</v>
      </c>
      <c r="G42" s="191">
        <v>63</v>
      </c>
      <c r="H42" s="192">
        <v>1015</v>
      </c>
      <c r="I42" s="192">
        <f t="shared" si="1"/>
        <v>16.916666666666668</v>
      </c>
      <c r="J42" s="192" t="s">
        <v>62</v>
      </c>
      <c r="K42" s="193" t="s">
        <v>419</v>
      </c>
      <c r="L42" s="193" t="s">
        <v>418</v>
      </c>
      <c r="M42" s="194"/>
      <c r="N42" s="190">
        <f>+VLOOKUP(H42,'[1]GIKANDA FCS '!$H$1:$K$59,4,FALSE)</f>
        <v>250</v>
      </c>
      <c r="O42" s="197">
        <f t="shared" si="0"/>
        <v>-55.20354528218013</v>
      </c>
      <c r="P42" s="188">
        <f t="shared" si="2"/>
        <v>5075</v>
      </c>
    </row>
    <row r="43" spans="1:16">
      <c r="A43" s="189" t="s">
        <v>350</v>
      </c>
      <c r="B43" s="189" t="s">
        <v>658</v>
      </c>
      <c r="C43" s="190" t="s">
        <v>639</v>
      </c>
      <c r="D43" s="189" t="s">
        <v>632</v>
      </c>
      <c r="E43" s="190" t="s">
        <v>46</v>
      </c>
      <c r="F43" s="191">
        <v>5</v>
      </c>
      <c r="G43" s="191">
        <v>20</v>
      </c>
      <c r="H43" s="192">
        <v>311</v>
      </c>
      <c r="I43" s="192">
        <f t="shared" si="1"/>
        <v>5.1833333333333336</v>
      </c>
      <c r="J43" s="192" t="s">
        <v>59</v>
      </c>
      <c r="K43" s="192" t="s">
        <v>436</v>
      </c>
      <c r="L43" s="193" t="s">
        <v>418</v>
      </c>
      <c r="M43" s="194"/>
      <c r="N43" s="190">
        <f>+VLOOKUP(H43,'[1]GIKANDA FCS '!$H$1:$K$59,4,FALSE)</f>
        <v>250</v>
      </c>
      <c r="O43" s="197">
        <f t="shared" si="0"/>
        <v>-55.20354528218013</v>
      </c>
      <c r="P43" s="188">
        <f t="shared" si="2"/>
        <v>1555.0000000000002</v>
      </c>
    </row>
    <row r="44" spans="1:16">
      <c r="A44" s="189" t="s">
        <v>350</v>
      </c>
      <c r="B44" s="189" t="s">
        <v>659</v>
      </c>
      <c r="C44" s="190" t="s">
        <v>639</v>
      </c>
      <c r="D44" s="189" t="s">
        <v>632</v>
      </c>
      <c r="E44" s="190" t="s">
        <v>43</v>
      </c>
      <c r="F44" s="191">
        <v>9</v>
      </c>
      <c r="G44" s="191">
        <v>47</v>
      </c>
      <c r="H44" s="192">
        <v>578</v>
      </c>
      <c r="I44" s="192">
        <f t="shared" si="1"/>
        <v>9.6333333333333329</v>
      </c>
      <c r="J44" s="192" t="s">
        <v>57</v>
      </c>
      <c r="K44" s="193" t="s">
        <v>430</v>
      </c>
      <c r="L44" s="193" t="s">
        <v>354</v>
      </c>
      <c r="M44" s="192"/>
      <c r="N44" s="190">
        <f>+VLOOKUP(H44,'[1]GIKANDA FCS '!$H$1:$K$59,4,FALSE)</f>
        <v>325</v>
      </c>
      <c r="O44" s="197">
        <f t="shared" si="0"/>
        <v>12.835391133165786</v>
      </c>
      <c r="P44" s="188">
        <f t="shared" si="2"/>
        <v>3756.9999999999995</v>
      </c>
    </row>
    <row r="45" spans="1:16">
      <c r="A45" s="189" t="s">
        <v>350</v>
      </c>
      <c r="B45" s="189" t="s">
        <v>659</v>
      </c>
      <c r="C45" s="190" t="s">
        <v>639</v>
      </c>
      <c r="D45" s="189" t="s">
        <v>632</v>
      </c>
      <c r="E45" s="190" t="s">
        <v>44</v>
      </c>
      <c r="F45" s="191">
        <v>6</v>
      </c>
      <c r="G45" s="191">
        <v>63</v>
      </c>
      <c r="H45" s="192">
        <v>414</v>
      </c>
      <c r="I45" s="192">
        <f t="shared" si="1"/>
        <v>6.9</v>
      </c>
      <c r="J45" s="192" t="s">
        <v>57</v>
      </c>
      <c r="K45" s="193" t="s">
        <v>430</v>
      </c>
      <c r="L45" s="193" t="s">
        <v>354</v>
      </c>
      <c r="M45" s="192"/>
      <c r="N45" s="190">
        <f>+VLOOKUP(H45,'[1]GIKANDA FCS '!$H$1:$K$59,4,FALSE)</f>
        <v>325</v>
      </c>
      <c r="O45" s="197">
        <f t="shared" si="0"/>
        <v>12.835391133165786</v>
      </c>
      <c r="P45" s="188">
        <f t="shared" si="2"/>
        <v>2691</v>
      </c>
    </row>
    <row r="46" spans="1:16">
      <c r="A46" s="189" t="s">
        <v>350</v>
      </c>
      <c r="B46" s="189" t="s">
        <v>660</v>
      </c>
      <c r="C46" s="190" t="s">
        <v>639</v>
      </c>
      <c r="D46" s="189" t="s">
        <v>632</v>
      </c>
      <c r="E46" s="190" t="s">
        <v>45</v>
      </c>
      <c r="F46" s="191">
        <v>9</v>
      </c>
      <c r="G46" s="191">
        <v>58</v>
      </c>
      <c r="H46" s="192">
        <v>589</v>
      </c>
      <c r="I46" s="192">
        <f t="shared" si="1"/>
        <v>9.8166666666666664</v>
      </c>
      <c r="J46" s="192" t="s">
        <v>59</v>
      </c>
      <c r="K46" s="193" t="s">
        <v>436</v>
      </c>
      <c r="L46" s="193" t="s">
        <v>418</v>
      </c>
      <c r="M46" s="194"/>
      <c r="N46" s="190">
        <f>+VLOOKUP(H46,'[1]GIKANDA FCS '!$H$1:$K$59,4,FALSE)</f>
        <v>250</v>
      </c>
      <c r="O46" s="197">
        <f t="shared" si="0"/>
        <v>-55.20354528218013</v>
      </c>
      <c r="P46" s="188">
        <f t="shared" si="2"/>
        <v>2944.9999999999995</v>
      </c>
    </row>
    <row r="47" spans="1:16">
      <c r="A47" s="189" t="s">
        <v>350</v>
      </c>
      <c r="B47" s="189" t="s">
        <v>661</v>
      </c>
      <c r="C47" s="190" t="s">
        <v>652</v>
      </c>
      <c r="D47" s="189" t="s">
        <v>632</v>
      </c>
      <c r="E47" s="190" t="s">
        <v>43</v>
      </c>
      <c r="F47" s="191">
        <v>5</v>
      </c>
      <c r="G47" s="191">
        <v>64</v>
      </c>
      <c r="H47" s="192">
        <v>358</v>
      </c>
      <c r="I47" s="192">
        <f t="shared" si="1"/>
        <v>5.9666666666666668</v>
      </c>
      <c r="J47" s="192" t="s">
        <v>356</v>
      </c>
      <c r="K47" s="192" t="s">
        <v>424</v>
      </c>
      <c r="L47" s="193" t="s">
        <v>354</v>
      </c>
      <c r="M47" s="194"/>
      <c r="N47" s="190">
        <f>+VLOOKUP(H47,'[1]GIKANDA FCS '!$H$1:$K$59,4,FALSE)</f>
        <v>310</v>
      </c>
      <c r="O47" s="197">
        <f t="shared" si="0"/>
        <v>-0.77239614990332939</v>
      </c>
      <c r="P47" s="188">
        <f t="shared" si="2"/>
        <v>2219.6</v>
      </c>
    </row>
    <row r="48" spans="1:16">
      <c r="A48" s="189" t="s">
        <v>350</v>
      </c>
      <c r="B48" s="189" t="s">
        <v>662</v>
      </c>
      <c r="C48" s="190" t="s">
        <v>631</v>
      </c>
      <c r="D48" s="189" t="s">
        <v>632</v>
      </c>
      <c r="E48" s="190" t="s">
        <v>45</v>
      </c>
      <c r="F48" s="191">
        <v>9</v>
      </c>
      <c r="G48" s="191"/>
      <c r="H48" s="192">
        <v>533</v>
      </c>
      <c r="I48" s="192">
        <f t="shared" si="1"/>
        <v>8.8833333333333329</v>
      </c>
      <c r="J48" s="192" t="s">
        <v>60</v>
      </c>
      <c r="K48" s="193" t="s">
        <v>418</v>
      </c>
      <c r="L48" s="193" t="s">
        <v>418</v>
      </c>
      <c r="M48" s="194"/>
      <c r="N48" s="190">
        <f>+VLOOKUP(H48,'[1]GIKANDA FCS '!$H$1:$K$59,4,FALSE)</f>
        <v>250</v>
      </c>
      <c r="O48" s="197">
        <f t="shared" si="0"/>
        <v>-55.20354528218013</v>
      </c>
      <c r="P48" s="188">
        <f t="shared" si="2"/>
        <v>2664.9999999999995</v>
      </c>
    </row>
    <row r="49" spans="1:16">
      <c r="A49" s="189" t="s">
        <v>350</v>
      </c>
      <c r="B49" s="189" t="s">
        <v>662</v>
      </c>
      <c r="C49" s="190" t="s">
        <v>631</v>
      </c>
      <c r="D49" s="189" t="s">
        <v>632</v>
      </c>
      <c r="E49" s="190" t="s">
        <v>44</v>
      </c>
      <c r="F49" s="191">
        <v>9</v>
      </c>
      <c r="G49" s="191">
        <v>10</v>
      </c>
      <c r="H49" s="192">
        <v>544</v>
      </c>
      <c r="I49" s="192">
        <f t="shared" si="1"/>
        <v>9.0666666666666664</v>
      </c>
      <c r="J49" s="192" t="s">
        <v>356</v>
      </c>
      <c r="K49" s="192" t="s">
        <v>424</v>
      </c>
      <c r="L49" s="193" t="s">
        <v>354</v>
      </c>
      <c r="M49" s="192"/>
      <c r="N49" s="190">
        <f>+VLOOKUP(H49,'[1]GIKANDA FCS '!$H$1:$K$59,4,FALSE)</f>
        <v>310</v>
      </c>
      <c r="O49" s="197">
        <f t="shared" si="0"/>
        <v>-0.77239614990332939</v>
      </c>
      <c r="P49" s="188">
        <f t="shared" si="2"/>
        <v>3372.7999999999997</v>
      </c>
    </row>
    <row r="50" spans="1:16">
      <c r="A50" s="189" t="s">
        <v>350</v>
      </c>
      <c r="B50" s="189" t="s">
        <v>663</v>
      </c>
      <c r="C50" s="190" t="s">
        <v>652</v>
      </c>
      <c r="D50" s="189" t="s">
        <v>632</v>
      </c>
      <c r="E50" s="190" t="s">
        <v>392</v>
      </c>
      <c r="F50" s="191">
        <v>52</v>
      </c>
      <c r="G50" s="191"/>
      <c r="H50" s="192">
        <v>3120</v>
      </c>
      <c r="I50" s="192">
        <f t="shared" si="1"/>
        <v>52</v>
      </c>
      <c r="J50" s="192" t="s">
        <v>442</v>
      </c>
      <c r="K50" s="193" t="s">
        <v>392</v>
      </c>
      <c r="L50" s="193" t="s">
        <v>418</v>
      </c>
      <c r="M50" s="192" t="s">
        <v>534</v>
      </c>
      <c r="N50" s="190">
        <f>+VLOOKUP(H50,'[1]GIKANDA FCS '!$H$1:$K$59,4,FALSE)</f>
        <v>140</v>
      </c>
      <c r="O50" s="197">
        <f t="shared" si="0"/>
        <v>-154.99398535802089</v>
      </c>
      <c r="P50" s="188">
        <f t="shared" si="2"/>
        <v>8736</v>
      </c>
    </row>
    <row r="51" spans="1:16">
      <c r="A51" s="189" t="s">
        <v>350</v>
      </c>
      <c r="B51" s="189" t="s">
        <v>664</v>
      </c>
      <c r="C51" s="190" t="s">
        <v>631</v>
      </c>
      <c r="D51" s="189" t="s">
        <v>632</v>
      </c>
      <c r="E51" s="190" t="s">
        <v>392</v>
      </c>
      <c r="F51" s="191">
        <v>15</v>
      </c>
      <c r="G51" s="191"/>
      <c r="H51" s="192">
        <v>893</v>
      </c>
      <c r="I51" s="192">
        <f t="shared" si="1"/>
        <v>14.883333333333333</v>
      </c>
      <c r="J51" s="192" t="s">
        <v>442</v>
      </c>
      <c r="K51" s="193" t="s">
        <v>392</v>
      </c>
      <c r="L51" s="193" t="s">
        <v>418</v>
      </c>
      <c r="M51" s="192" t="s">
        <v>534</v>
      </c>
      <c r="N51" s="190">
        <f>+VLOOKUP(H51,'[1]GIKANDA FCS '!$H$1:$K$59,4,FALSE)</f>
        <v>140</v>
      </c>
      <c r="O51" s="197">
        <f t="shared" si="0"/>
        <v>-154.99398535802089</v>
      </c>
      <c r="P51" s="188">
        <f t="shared" si="2"/>
        <v>2500.3999999999996</v>
      </c>
    </row>
    <row r="52" spans="1:16">
      <c r="A52" s="189" t="s">
        <v>350</v>
      </c>
      <c r="B52" s="189" t="s">
        <v>665</v>
      </c>
      <c r="C52" s="190" t="s">
        <v>519</v>
      </c>
      <c r="D52" s="189" t="s">
        <v>632</v>
      </c>
      <c r="E52" s="190" t="s">
        <v>46</v>
      </c>
      <c r="F52" s="191">
        <v>21</v>
      </c>
      <c r="G52" s="191">
        <v>27</v>
      </c>
      <c r="H52" s="192">
        <v>1278</v>
      </c>
      <c r="I52" s="192">
        <f t="shared" si="1"/>
        <v>21.3</v>
      </c>
      <c r="J52" s="192" t="s">
        <v>57</v>
      </c>
      <c r="K52" s="193" t="s">
        <v>424</v>
      </c>
      <c r="L52" s="193" t="s">
        <v>354</v>
      </c>
      <c r="M52" s="194"/>
      <c r="N52" s="190">
        <f>+VLOOKUP(H52,'[1]GIKANDA FCS '!$H$1:$K$59,4,FALSE)</f>
        <v>250</v>
      </c>
      <c r="O52" s="197">
        <f t="shared" si="0"/>
        <v>-55.20354528218013</v>
      </c>
      <c r="P52" s="188">
        <f t="shared" si="2"/>
        <v>6390</v>
      </c>
    </row>
    <row r="53" spans="1:16">
      <c r="A53" s="189" t="s">
        <v>350</v>
      </c>
      <c r="B53" s="189" t="s">
        <v>666</v>
      </c>
      <c r="C53" s="190" t="s">
        <v>519</v>
      </c>
      <c r="D53" s="189" t="s">
        <v>632</v>
      </c>
      <c r="E53" s="190" t="s">
        <v>48</v>
      </c>
      <c r="F53" s="191">
        <v>16</v>
      </c>
      <c r="G53" s="191">
        <v>43</v>
      </c>
      <c r="H53" s="192">
        <v>996</v>
      </c>
      <c r="I53" s="192">
        <f t="shared" si="1"/>
        <v>16.600000000000001</v>
      </c>
      <c r="J53" s="192" t="s">
        <v>60</v>
      </c>
      <c r="K53" s="193" t="s">
        <v>418</v>
      </c>
      <c r="L53" s="193" t="s">
        <v>418</v>
      </c>
      <c r="M53" s="194"/>
      <c r="N53" s="190">
        <f>+VLOOKUP(H53,'[1]GIKANDA FCS '!$H$1:$K$59,4,FALSE)</f>
        <v>250</v>
      </c>
      <c r="O53" s="197">
        <f t="shared" si="0"/>
        <v>-55.20354528218013</v>
      </c>
      <c r="P53" s="188">
        <f t="shared" si="2"/>
        <v>4980</v>
      </c>
    </row>
    <row r="54" spans="1:16">
      <c r="A54" s="189" t="s">
        <v>350</v>
      </c>
      <c r="B54" s="189" t="s">
        <v>667</v>
      </c>
      <c r="C54" s="190" t="s">
        <v>519</v>
      </c>
      <c r="D54" s="189" t="s">
        <v>632</v>
      </c>
      <c r="E54" s="190" t="s">
        <v>47</v>
      </c>
      <c r="F54" s="191">
        <v>17</v>
      </c>
      <c r="G54" s="191">
        <v>50</v>
      </c>
      <c r="H54" s="192">
        <v>1060</v>
      </c>
      <c r="I54" s="192">
        <f t="shared" si="1"/>
        <v>17.666666666666668</v>
      </c>
      <c r="J54" s="192" t="s">
        <v>60</v>
      </c>
      <c r="K54" s="193" t="s">
        <v>418</v>
      </c>
      <c r="L54" s="193" t="s">
        <v>418</v>
      </c>
      <c r="M54" s="194"/>
      <c r="N54" s="190">
        <f>+VLOOKUP(H54,'[1]GIKANDA FCS '!$H$1:$K$59,4,FALSE)</f>
        <v>250</v>
      </c>
      <c r="O54" s="197">
        <f t="shared" si="0"/>
        <v>-55.20354528218013</v>
      </c>
      <c r="P54" s="188">
        <f t="shared" si="2"/>
        <v>5300</v>
      </c>
    </row>
    <row r="55" spans="1:16">
      <c r="A55" s="189" t="s">
        <v>350</v>
      </c>
      <c r="B55" s="189" t="s">
        <v>668</v>
      </c>
      <c r="C55" s="190" t="s">
        <v>519</v>
      </c>
      <c r="D55" s="189" t="s">
        <v>632</v>
      </c>
      <c r="E55" s="190" t="s">
        <v>44</v>
      </c>
      <c r="F55" s="191">
        <v>8</v>
      </c>
      <c r="G55" s="191">
        <v>62</v>
      </c>
      <c r="H55" s="192">
        <v>534</v>
      </c>
      <c r="I55" s="192">
        <f t="shared" si="1"/>
        <v>8.9</v>
      </c>
      <c r="J55" s="192" t="s">
        <v>57</v>
      </c>
      <c r="K55" s="193" t="s">
        <v>430</v>
      </c>
      <c r="L55" s="193" t="s">
        <v>354</v>
      </c>
      <c r="M55" s="192"/>
      <c r="N55" s="190">
        <f>+VLOOKUP(H55,'[1]GIKANDA FCS '!$H$1:$K$59,4,FALSE)</f>
        <v>325</v>
      </c>
      <c r="O55" s="197">
        <f t="shared" si="0"/>
        <v>12.835391133165786</v>
      </c>
      <c r="P55" s="188">
        <f t="shared" si="2"/>
        <v>3471</v>
      </c>
    </row>
    <row r="56" spans="1:16">
      <c r="A56" s="189" t="s">
        <v>350</v>
      </c>
      <c r="B56" s="189" t="s">
        <v>669</v>
      </c>
      <c r="C56" s="190" t="s">
        <v>519</v>
      </c>
      <c r="D56" s="189" t="s">
        <v>632</v>
      </c>
      <c r="E56" s="190" t="s">
        <v>46</v>
      </c>
      <c r="F56" s="191">
        <v>5</v>
      </c>
      <c r="G56" s="191">
        <v>8</v>
      </c>
      <c r="H56" s="192">
        <v>299</v>
      </c>
      <c r="I56" s="192">
        <f t="shared" si="1"/>
        <v>4.9833333333333334</v>
      </c>
      <c r="J56" s="192" t="s">
        <v>63</v>
      </c>
      <c r="K56" s="193" t="s">
        <v>419</v>
      </c>
      <c r="L56" s="193" t="s">
        <v>418</v>
      </c>
      <c r="M56" s="194"/>
      <c r="N56" s="190">
        <f>+VLOOKUP(H56,'[1]GIKANDA FCS '!$H$1:$K$59,4,FALSE)</f>
        <v>250</v>
      </c>
      <c r="O56" s="197">
        <f t="shared" si="0"/>
        <v>-55.20354528218013</v>
      </c>
      <c r="P56" s="188">
        <f t="shared" si="2"/>
        <v>1494.9999999999998</v>
      </c>
    </row>
    <row r="57" spans="1:16">
      <c r="A57" s="189" t="s">
        <v>350</v>
      </c>
      <c r="B57" s="189" t="s">
        <v>670</v>
      </c>
      <c r="C57" s="190" t="s">
        <v>519</v>
      </c>
      <c r="D57" s="189" t="s">
        <v>632</v>
      </c>
      <c r="E57" s="190" t="s">
        <v>48</v>
      </c>
      <c r="F57" s="191">
        <v>9</v>
      </c>
      <c r="G57" s="191">
        <v>40</v>
      </c>
      <c r="H57" s="192">
        <v>572</v>
      </c>
      <c r="I57" s="192">
        <f t="shared" si="1"/>
        <v>9.5333333333333332</v>
      </c>
      <c r="J57" s="192" t="s">
        <v>62</v>
      </c>
      <c r="K57" s="193" t="s">
        <v>419</v>
      </c>
      <c r="L57" s="193" t="s">
        <v>418</v>
      </c>
      <c r="M57" s="194"/>
      <c r="N57" s="190">
        <f>+VLOOKUP(H57,'[1]GIKANDA FCS '!$H$1:$K$59,4,FALSE)</f>
        <v>250</v>
      </c>
      <c r="O57" s="197">
        <f t="shared" si="0"/>
        <v>-55.20354528218013</v>
      </c>
      <c r="P57" s="188">
        <f t="shared" si="2"/>
        <v>2860</v>
      </c>
    </row>
    <row r="58" spans="1:16">
      <c r="A58" s="189" t="s">
        <v>350</v>
      </c>
      <c r="B58" s="189" t="s">
        <v>671</v>
      </c>
      <c r="C58" s="190" t="s">
        <v>519</v>
      </c>
      <c r="D58" s="189" t="s">
        <v>632</v>
      </c>
      <c r="E58" s="190" t="s">
        <v>42</v>
      </c>
      <c r="F58" s="191">
        <v>5</v>
      </c>
      <c r="G58" s="191">
        <v>36</v>
      </c>
      <c r="H58" s="192">
        <v>327</v>
      </c>
      <c r="I58" s="192">
        <f t="shared" si="1"/>
        <v>5.45</v>
      </c>
      <c r="J58" s="192" t="s">
        <v>356</v>
      </c>
      <c r="K58" s="193" t="s">
        <v>426</v>
      </c>
      <c r="L58" s="193" t="s">
        <v>354</v>
      </c>
      <c r="M58" s="192" t="s">
        <v>400</v>
      </c>
      <c r="N58" s="190">
        <f>+VLOOKUP(H58,'[1]GIKANDA FCS '!$H$1:$K$59,4,FALSE)</f>
        <v>330</v>
      </c>
      <c r="O58" s="197">
        <f t="shared" si="0"/>
        <v>17.371320227522176</v>
      </c>
      <c r="P58" s="188">
        <f t="shared" si="2"/>
        <v>2158.1999999999998</v>
      </c>
    </row>
    <row r="59" spans="1:16">
      <c r="A59" s="189" t="s">
        <v>350</v>
      </c>
      <c r="B59" s="189" t="s">
        <v>672</v>
      </c>
      <c r="C59" s="190" t="s">
        <v>519</v>
      </c>
      <c r="D59" s="189" t="s">
        <v>632</v>
      </c>
      <c r="E59" s="190" t="s">
        <v>45</v>
      </c>
      <c r="F59" s="191">
        <v>5</v>
      </c>
      <c r="G59" s="191">
        <v>42</v>
      </c>
      <c r="H59" s="192">
        <v>334</v>
      </c>
      <c r="I59" s="192">
        <f t="shared" si="1"/>
        <v>5.5666666666666664</v>
      </c>
      <c r="J59" s="192" t="s">
        <v>60</v>
      </c>
      <c r="K59" s="193" t="s">
        <v>418</v>
      </c>
      <c r="L59" s="193" t="s">
        <v>418</v>
      </c>
      <c r="M59" s="194"/>
      <c r="N59" s="190">
        <f>+VLOOKUP(H59,'[1]GIKANDA FCS '!$H$1:$K$59,4,FALSE)</f>
        <v>250</v>
      </c>
      <c r="O59" s="197">
        <f t="shared" si="0"/>
        <v>-55.20354528218013</v>
      </c>
      <c r="P59" s="188">
        <f t="shared" si="2"/>
        <v>1669.9999999999998</v>
      </c>
    </row>
    <row r="60" spans="1:16">
      <c r="A60" s="189" t="s">
        <v>350</v>
      </c>
      <c r="B60" s="189" t="s">
        <v>673</v>
      </c>
      <c r="C60" s="190" t="s">
        <v>519</v>
      </c>
      <c r="D60" s="189" t="s">
        <v>632</v>
      </c>
      <c r="E60" s="190" t="s">
        <v>47</v>
      </c>
      <c r="F60" s="191">
        <v>16</v>
      </c>
      <c r="G60" s="191">
        <v>24</v>
      </c>
      <c r="H60" s="192">
        <v>977</v>
      </c>
      <c r="I60" s="192">
        <f t="shared" si="1"/>
        <v>16.283333333333335</v>
      </c>
      <c r="J60" s="192" t="s">
        <v>62</v>
      </c>
      <c r="K60" s="193" t="s">
        <v>419</v>
      </c>
      <c r="L60" s="193" t="s">
        <v>418</v>
      </c>
      <c r="M60" s="194"/>
      <c r="N60" s="190">
        <f>+VLOOKUP(H60,'[1]GIKANDA FCS '!$H$1:$K$59,4,FALSE)</f>
        <v>250</v>
      </c>
      <c r="O60" s="197">
        <f t="shared" si="0"/>
        <v>-55.20354528218013</v>
      </c>
      <c r="P60" s="188">
        <f t="shared" si="2"/>
        <v>4885.0000000000009</v>
      </c>
    </row>
    <row r="61" spans="1:16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98">
        <f>SUM(P3:P60)</f>
        <v>646157.20000000007</v>
      </c>
    </row>
    <row r="62" spans="1:16" ht="15" thickBot="1">
      <c r="A62" s="188"/>
      <c r="B62" s="188"/>
      <c r="C62" s="188"/>
      <c r="D62" s="188"/>
      <c r="E62" s="188"/>
      <c r="F62" s="195">
        <f>SUM(F3:F61)</f>
        <v>1695</v>
      </c>
      <c r="G62" s="188"/>
      <c r="H62" s="195">
        <f>SUM(H3:H61)</f>
        <v>103142</v>
      </c>
      <c r="I62" s="196"/>
      <c r="J62" s="196"/>
      <c r="K62" s="196"/>
      <c r="L62" s="196"/>
      <c r="M62" s="196"/>
      <c r="N62" s="188"/>
      <c r="O62" s="188"/>
      <c r="P62" s="18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FA7D-DD60-492B-BD10-40C61C6C3728}">
  <dimension ref="A1:Q20"/>
  <sheetViews>
    <sheetView workbookViewId="0">
      <selection activeCell="B1" sqref="B1"/>
    </sheetView>
  </sheetViews>
  <sheetFormatPr defaultRowHeight="14.5"/>
  <cols>
    <col min="1" max="1" width="10.453125" customWidth="1"/>
    <col min="2" max="2" width="10.81640625" customWidth="1"/>
    <col min="3" max="3" width="14" customWidth="1"/>
    <col min="11" max="11" width="12.1796875" customWidth="1"/>
    <col min="12" max="12" width="10.81640625" customWidth="1"/>
    <col min="13" max="13" width="14.81640625" customWidth="1"/>
    <col min="14" max="14" width="9.81640625" customWidth="1"/>
  </cols>
  <sheetData>
    <row r="1" spans="1:17" ht="15" thickBot="1">
      <c r="A1" s="297" t="s">
        <v>795</v>
      </c>
    </row>
    <row r="2" spans="1:17" s="293" customFormat="1" ht="16.5" thickBot="1">
      <c r="A2" s="287" t="s">
        <v>343</v>
      </c>
      <c r="B2" s="287" t="s">
        <v>22</v>
      </c>
      <c r="C2" s="288" t="s">
        <v>344</v>
      </c>
      <c r="D2" s="287" t="s">
        <v>497</v>
      </c>
      <c r="E2" s="287" t="s">
        <v>23</v>
      </c>
      <c r="F2" s="289" t="s">
        <v>24</v>
      </c>
      <c r="G2" s="290" t="s">
        <v>111</v>
      </c>
      <c r="H2" s="287" t="s">
        <v>345</v>
      </c>
      <c r="I2" s="287" t="s">
        <v>346</v>
      </c>
      <c r="J2" s="287" t="s">
        <v>4</v>
      </c>
      <c r="K2" s="287" t="s">
        <v>415</v>
      </c>
      <c r="L2" s="287" t="s">
        <v>629</v>
      </c>
      <c r="M2" s="287" t="s">
        <v>28</v>
      </c>
      <c r="N2" s="291" t="s">
        <v>142</v>
      </c>
      <c r="O2" s="291" t="s">
        <v>349</v>
      </c>
      <c r="P2" s="292" t="s">
        <v>407</v>
      </c>
      <c r="Q2" s="293">
        <v>282</v>
      </c>
    </row>
    <row r="3" spans="1:17">
      <c r="A3" s="189" t="s">
        <v>350</v>
      </c>
      <c r="B3" s="189" t="s">
        <v>630</v>
      </c>
      <c r="C3" s="190" t="s">
        <v>631</v>
      </c>
      <c r="D3" s="189" t="s">
        <v>632</v>
      </c>
      <c r="E3" s="190" t="s">
        <v>42</v>
      </c>
      <c r="F3" s="191">
        <v>86</v>
      </c>
      <c r="G3" s="191">
        <v>15</v>
      </c>
      <c r="H3" s="192">
        <v>5157</v>
      </c>
      <c r="I3" s="192">
        <f>+H3/60</f>
        <v>85.95</v>
      </c>
      <c r="J3" s="192" t="s">
        <v>89</v>
      </c>
      <c r="K3" s="193" t="s">
        <v>633</v>
      </c>
      <c r="L3" s="193" t="s">
        <v>351</v>
      </c>
      <c r="M3" s="194"/>
      <c r="N3" s="190">
        <f>+VLOOKUP(H3,'[1]GIKANDA FCS '!$H$1:$K$59,4,FALSE)</f>
        <v>350</v>
      </c>
      <c r="O3" s="197">
        <f t="shared" ref="O3:O19" si="0">(N3/50/2.20462)*100-$Q$2</f>
        <v>35.515036604947795</v>
      </c>
      <c r="P3" s="188"/>
    </row>
    <row r="4" spans="1:17">
      <c r="A4" s="189" t="s">
        <v>350</v>
      </c>
      <c r="B4" s="189" t="s">
        <v>645</v>
      </c>
      <c r="C4" s="190" t="s">
        <v>631</v>
      </c>
      <c r="D4" s="189" t="s">
        <v>632</v>
      </c>
      <c r="E4" s="190" t="s">
        <v>46</v>
      </c>
      <c r="F4" s="191">
        <v>4</v>
      </c>
      <c r="G4" s="191">
        <v>32</v>
      </c>
      <c r="H4" s="192">
        <v>264</v>
      </c>
      <c r="I4" s="192">
        <f t="shared" ref="I4:I19" si="1">+H4/60</f>
        <v>4.4000000000000004</v>
      </c>
      <c r="J4" s="192" t="s">
        <v>57</v>
      </c>
      <c r="K4" s="193" t="s">
        <v>424</v>
      </c>
      <c r="L4" s="294" t="s">
        <v>354</v>
      </c>
      <c r="M4" s="194"/>
      <c r="N4" s="190">
        <f>+VLOOKUP(H4,'[1]GIKANDA FCS '!$H$1:$K$59,4,FALSE)</f>
        <v>250</v>
      </c>
      <c r="O4" s="197">
        <f t="shared" si="0"/>
        <v>-55.20354528218013</v>
      </c>
      <c r="P4" s="188"/>
    </row>
    <row r="5" spans="1:17">
      <c r="A5" s="189" t="s">
        <v>350</v>
      </c>
      <c r="B5" s="189" t="s">
        <v>647</v>
      </c>
      <c r="C5" s="190" t="s">
        <v>519</v>
      </c>
      <c r="D5" s="189" t="s">
        <v>632</v>
      </c>
      <c r="E5" s="190" t="s">
        <v>47</v>
      </c>
      <c r="F5" s="295">
        <v>7</v>
      </c>
      <c r="G5" s="191">
        <v>7</v>
      </c>
      <c r="H5" s="192">
        <v>427</v>
      </c>
      <c r="I5" s="192">
        <f t="shared" si="1"/>
        <v>7.1166666666666663</v>
      </c>
      <c r="J5" s="192" t="s">
        <v>60</v>
      </c>
      <c r="K5" s="193" t="s">
        <v>418</v>
      </c>
      <c r="L5" s="193" t="s">
        <v>418</v>
      </c>
      <c r="M5" s="194"/>
      <c r="N5" s="190">
        <f>+VLOOKUP(H5,'[1]GIKANDA FCS '!$H$1:$K$59,4,FALSE)</f>
        <v>250</v>
      </c>
      <c r="O5" s="197">
        <f t="shared" si="0"/>
        <v>-55.20354528218013</v>
      </c>
      <c r="P5" s="188"/>
    </row>
    <row r="6" spans="1:17">
      <c r="A6" s="189" t="s">
        <v>350</v>
      </c>
      <c r="B6" s="189" t="s">
        <v>648</v>
      </c>
      <c r="C6" s="190" t="s">
        <v>519</v>
      </c>
      <c r="D6" s="189" t="s">
        <v>632</v>
      </c>
      <c r="E6" s="190" t="s">
        <v>47</v>
      </c>
      <c r="F6" s="295">
        <v>7</v>
      </c>
      <c r="G6" s="191">
        <v>33</v>
      </c>
      <c r="H6" s="192">
        <v>452</v>
      </c>
      <c r="I6" s="192">
        <f t="shared" si="1"/>
        <v>7.5333333333333332</v>
      </c>
      <c r="J6" s="192" t="s">
        <v>60</v>
      </c>
      <c r="K6" s="193" t="s">
        <v>418</v>
      </c>
      <c r="L6" s="193" t="s">
        <v>418</v>
      </c>
      <c r="M6" s="194"/>
      <c r="N6" s="190">
        <f>+VLOOKUP(H6,'[1]GIKANDA FCS '!$H$1:$K$59,4,FALSE)</f>
        <v>250</v>
      </c>
      <c r="O6" s="197">
        <f t="shared" si="0"/>
        <v>-55.20354528218013</v>
      </c>
      <c r="P6" s="188"/>
    </row>
    <row r="7" spans="1:17">
      <c r="A7" s="189" t="s">
        <v>350</v>
      </c>
      <c r="B7" s="189" t="s">
        <v>650</v>
      </c>
      <c r="C7" s="190" t="s">
        <v>639</v>
      </c>
      <c r="D7" s="189" t="s">
        <v>632</v>
      </c>
      <c r="E7" s="190" t="s">
        <v>45</v>
      </c>
      <c r="F7" s="191">
        <v>4</v>
      </c>
      <c r="G7" s="191">
        <v>16</v>
      </c>
      <c r="H7" s="192">
        <v>248</v>
      </c>
      <c r="I7" s="192">
        <f t="shared" si="1"/>
        <v>4.1333333333333337</v>
      </c>
      <c r="J7" s="192" t="s">
        <v>54</v>
      </c>
      <c r="K7" s="193" t="s">
        <v>435</v>
      </c>
      <c r="L7" s="294" t="s">
        <v>354</v>
      </c>
      <c r="M7" s="194"/>
      <c r="N7" s="190">
        <f>+VLOOKUP(H7,'[1]GIKANDA FCS '!$H$1:$K$59,4,FALSE)</f>
        <v>310</v>
      </c>
      <c r="O7" s="197">
        <f t="shared" si="0"/>
        <v>-0.77239614990332939</v>
      </c>
      <c r="P7" s="188"/>
    </row>
    <row r="8" spans="1:17">
      <c r="A8" s="189" t="s">
        <v>350</v>
      </c>
      <c r="B8" s="189" t="s">
        <v>651</v>
      </c>
      <c r="C8" s="190" t="s">
        <v>652</v>
      </c>
      <c r="D8" s="189" t="s">
        <v>632</v>
      </c>
      <c r="E8" s="190" t="s">
        <v>45</v>
      </c>
      <c r="F8" s="295">
        <v>9</v>
      </c>
      <c r="G8" s="191">
        <v>32</v>
      </c>
      <c r="H8" s="192">
        <v>555</v>
      </c>
      <c r="I8" s="192">
        <f t="shared" si="1"/>
        <v>9.25</v>
      </c>
      <c r="J8" s="192" t="s">
        <v>59</v>
      </c>
      <c r="K8" s="193" t="s">
        <v>436</v>
      </c>
      <c r="L8" s="193" t="s">
        <v>418</v>
      </c>
      <c r="M8" s="194"/>
      <c r="N8" s="190">
        <f>+VLOOKUP(H8,'[1]GIKANDA FCS '!$H$1:$K$59,4,FALSE)</f>
        <v>250</v>
      </c>
      <c r="O8" s="197">
        <f t="shared" si="0"/>
        <v>-55.20354528218013</v>
      </c>
      <c r="P8" s="188"/>
    </row>
    <row r="9" spans="1:17">
      <c r="A9" s="189" t="s">
        <v>350</v>
      </c>
      <c r="B9" s="189" t="s">
        <v>651</v>
      </c>
      <c r="C9" s="190" t="s">
        <v>652</v>
      </c>
      <c r="D9" s="189" t="s">
        <v>632</v>
      </c>
      <c r="E9" s="190" t="s">
        <v>46</v>
      </c>
      <c r="F9" s="191">
        <v>9</v>
      </c>
      <c r="G9" s="191">
        <v>14</v>
      </c>
      <c r="H9" s="192">
        <v>538</v>
      </c>
      <c r="I9" s="192">
        <f t="shared" si="1"/>
        <v>8.9666666666666668</v>
      </c>
      <c r="J9" s="192" t="s">
        <v>57</v>
      </c>
      <c r="K9" s="193" t="s">
        <v>424</v>
      </c>
      <c r="L9" s="294" t="s">
        <v>354</v>
      </c>
      <c r="M9" s="194"/>
      <c r="N9" s="190">
        <f>+VLOOKUP(H9,'[1]GIKANDA FCS '!$H$1:$K$59,4,FALSE)</f>
        <v>250</v>
      </c>
      <c r="O9" s="197">
        <f t="shared" si="0"/>
        <v>-55.20354528218013</v>
      </c>
      <c r="P9" s="188"/>
    </row>
    <row r="10" spans="1:17">
      <c r="A10" s="189" t="s">
        <v>350</v>
      </c>
      <c r="B10" s="189" t="s">
        <v>653</v>
      </c>
      <c r="C10" s="190" t="s">
        <v>631</v>
      </c>
      <c r="D10" s="189" t="s">
        <v>632</v>
      </c>
      <c r="E10" s="190" t="s">
        <v>48</v>
      </c>
      <c r="F10" s="295">
        <v>5</v>
      </c>
      <c r="G10" s="191">
        <v>50</v>
      </c>
      <c r="H10" s="192">
        <v>350</v>
      </c>
      <c r="I10" s="192">
        <f t="shared" si="1"/>
        <v>5.833333333333333</v>
      </c>
      <c r="J10" s="192" t="s">
        <v>60</v>
      </c>
      <c r="K10" s="193" t="s">
        <v>418</v>
      </c>
      <c r="L10" s="193" t="s">
        <v>418</v>
      </c>
      <c r="M10" s="194"/>
      <c r="N10" s="190">
        <f>+VLOOKUP(H10,'[1]GIKANDA FCS '!$H$1:$K$59,4,FALSE)</f>
        <v>250</v>
      </c>
      <c r="O10" s="197">
        <f t="shared" si="0"/>
        <v>-55.20354528218013</v>
      </c>
      <c r="P10" s="188"/>
    </row>
    <row r="11" spans="1:17">
      <c r="A11" s="189" t="s">
        <v>350</v>
      </c>
      <c r="B11" s="189" t="s">
        <v>653</v>
      </c>
      <c r="C11" s="190" t="s">
        <v>631</v>
      </c>
      <c r="D11" s="189" t="s">
        <v>632</v>
      </c>
      <c r="E11" s="190" t="s">
        <v>46</v>
      </c>
      <c r="F11" s="191">
        <v>8</v>
      </c>
      <c r="G11" s="191">
        <v>53</v>
      </c>
      <c r="H11" s="192">
        <v>533</v>
      </c>
      <c r="I11" s="192">
        <f t="shared" si="1"/>
        <v>8.8833333333333329</v>
      </c>
      <c r="J11" s="192" t="s">
        <v>57</v>
      </c>
      <c r="K11" s="193" t="s">
        <v>424</v>
      </c>
      <c r="L11" s="294" t="s">
        <v>354</v>
      </c>
      <c r="M11" s="194"/>
      <c r="N11" s="190">
        <f>+VLOOKUP(H11,'[1]GIKANDA FCS '!$H$1:$K$59,4,FALSE)</f>
        <v>250</v>
      </c>
      <c r="O11" s="197">
        <f t="shared" si="0"/>
        <v>-55.20354528218013</v>
      </c>
      <c r="P11" s="188"/>
    </row>
    <row r="12" spans="1:17">
      <c r="A12" s="189" t="s">
        <v>350</v>
      </c>
      <c r="B12" s="189" t="s">
        <v>655</v>
      </c>
      <c r="C12" s="190" t="s">
        <v>639</v>
      </c>
      <c r="D12" s="189" t="s">
        <v>632</v>
      </c>
      <c r="E12" s="190" t="s">
        <v>52</v>
      </c>
      <c r="F12" s="295">
        <v>15</v>
      </c>
      <c r="G12" s="191">
        <v>56</v>
      </c>
      <c r="H12" s="192">
        <v>951</v>
      </c>
      <c r="I12" s="192">
        <f t="shared" si="1"/>
        <v>15.85</v>
      </c>
      <c r="J12" s="192" t="s">
        <v>62</v>
      </c>
      <c r="K12" s="193" t="s">
        <v>419</v>
      </c>
      <c r="L12" s="193" t="s">
        <v>418</v>
      </c>
      <c r="M12" s="194"/>
      <c r="N12" s="190">
        <f>+VLOOKUP(H12,'[1]GIKANDA FCS '!$H$1:$K$59,4,FALSE)</f>
        <v>250</v>
      </c>
      <c r="O12" s="197">
        <f t="shared" si="0"/>
        <v>-55.20354528218013</v>
      </c>
      <c r="P12" s="188"/>
    </row>
    <row r="13" spans="1:17">
      <c r="A13" s="189" t="s">
        <v>350</v>
      </c>
      <c r="B13" s="189" t="s">
        <v>656</v>
      </c>
      <c r="C13" s="190" t="s">
        <v>631</v>
      </c>
      <c r="D13" s="189" t="s">
        <v>632</v>
      </c>
      <c r="E13" s="190" t="s">
        <v>46</v>
      </c>
      <c r="F13" s="295">
        <v>5</v>
      </c>
      <c r="G13" s="191">
        <v>10</v>
      </c>
      <c r="H13" s="192">
        <v>309</v>
      </c>
      <c r="I13" s="192">
        <f t="shared" si="1"/>
        <v>5.15</v>
      </c>
      <c r="J13" s="192" t="s">
        <v>59</v>
      </c>
      <c r="K13" s="192" t="s">
        <v>436</v>
      </c>
      <c r="L13" s="193" t="s">
        <v>418</v>
      </c>
      <c r="M13" s="194"/>
      <c r="N13" s="190">
        <f>+VLOOKUP(H13,'[1]GIKANDA FCS '!$H$1:$K$59,4,FALSE)</f>
        <v>250</v>
      </c>
      <c r="O13" s="197">
        <f t="shared" si="0"/>
        <v>-55.20354528218013</v>
      </c>
      <c r="P13" s="188"/>
    </row>
    <row r="14" spans="1:17" ht="14.15" customHeight="1">
      <c r="A14" s="189" t="s">
        <v>350</v>
      </c>
      <c r="B14" s="189" t="s">
        <v>658</v>
      </c>
      <c r="C14" s="190" t="s">
        <v>639</v>
      </c>
      <c r="D14" s="189" t="s">
        <v>632</v>
      </c>
      <c r="E14" s="190" t="s">
        <v>46</v>
      </c>
      <c r="F14" s="295">
        <v>5</v>
      </c>
      <c r="G14" s="191">
        <v>20</v>
      </c>
      <c r="H14" s="192">
        <v>311</v>
      </c>
      <c r="I14" s="192">
        <f t="shared" si="1"/>
        <v>5.1833333333333336</v>
      </c>
      <c r="J14" s="192" t="s">
        <v>59</v>
      </c>
      <c r="K14" s="192" t="s">
        <v>436</v>
      </c>
      <c r="L14" s="193" t="s">
        <v>418</v>
      </c>
      <c r="M14" s="194"/>
      <c r="N14" s="190">
        <f>+VLOOKUP(H14,'[1]GIKANDA FCS '!$H$1:$K$59,4,FALSE)</f>
        <v>250</v>
      </c>
      <c r="O14" s="197">
        <f t="shared" si="0"/>
        <v>-55.20354528218013</v>
      </c>
      <c r="P14" s="188"/>
    </row>
    <row r="15" spans="1:17">
      <c r="A15" s="189" t="s">
        <v>350</v>
      </c>
      <c r="B15" s="189" t="s">
        <v>659</v>
      </c>
      <c r="C15" s="190" t="s">
        <v>639</v>
      </c>
      <c r="D15" s="189" t="s">
        <v>632</v>
      </c>
      <c r="E15" s="190" t="s">
        <v>43</v>
      </c>
      <c r="F15" s="191">
        <v>9</v>
      </c>
      <c r="G15" s="191">
        <v>47</v>
      </c>
      <c r="H15" s="192">
        <v>578</v>
      </c>
      <c r="I15" s="192">
        <f t="shared" si="1"/>
        <v>9.6333333333333329</v>
      </c>
      <c r="J15" s="192" t="s">
        <v>57</v>
      </c>
      <c r="K15" s="193" t="s">
        <v>430</v>
      </c>
      <c r="L15" s="294" t="s">
        <v>354</v>
      </c>
      <c r="M15" s="192"/>
      <c r="N15" s="190">
        <f>+VLOOKUP(H15,'[1]GIKANDA FCS '!$H$1:$K$59,4,FALSE)</f>
        <v>325</v>
      </c>
      <c r="O15" s="197">
        <f t="shared" si="0"/>
        <v>12.835391133165786</v>
      </c>
      <c r="P15" s="188"/>
    </row>
    <row r="16" spans="1:17">
      <c r="A16" s="189" t="s">
        <v>350</v>
      </c>
      <c r="B16" s="189" t="s">
        <v>661</v>
      </c>
      <c r="C16" s="190" t="s">
        <v>652</v>
      </c>
      <c r="D16" s="189" t="s">
        <v>632</v>
      </c>
      <c r="E16" s="190" t="s">
        <v>43</v>
      </c>
      <c r="F16" s="191">
        <v>5</v>
      </c>
      <c r="G16" s="191">
        <v>64</v>
      </c>
      <c r="H16" s="192">
        <v>358</v>
      </c>
      <c r="I16" s="192">
        <f t="shared" si="1"/>
        <v>5.9666666666666668</v>
      </c>
      <c r="J16" s="192" t="s">
        <v>356</v>
      </c>
      <c r="K16" s="192" t="s">
        <v>424</v>
      </c>
      <c r="L16" s="294" t="s">
        <v>354</v>
      </c>
      <c r="M16" s="194"/>
      <c r="N16" s="190">
        <f>+VLOOKUP(H16,'[1]GIKANDA FCS '!$H$1:$K$59,4,FALSE)</f>
        <v>310</v>
      </c>
      <c r="O16" s="197">
        <f t="shared" si="0"/>
        <v>-0.77239614990332939</v>
      </c>
      <c r="P16" s="188"/>
    </row>
    <row r="17" spans="1:16">
      <c r="A17" s="189" t="s">
        <v>350</v>
      </c>
      <c r="B17" s="189" t="s">
        <v>669</v>
      </c>
      <c r="C17" s="190" t="s">
        <v>519</v>
      </c>
      <c r="D17" s="189" t="s">
        <v>632</v>
      </c>
      <c r="E17" s="190" t="s">
        <v>46</v>
      </c>
      <c r="F17" s="295">
        <v>5</v>
      </c>
      <c r="G17" s="191">
        <v>8</v>
      </c>
      <c r="H17" s="192">
        <v>299</v>
      </c>
      <c r="I17" s="192">
        <f t="shared" si="1"/>
        <v>4.9833333333333334</v>
      </c>
      <c r="J17" s="192" t="s">
        <v>63</v>
      </c>
      <c r="K17" s="193" t="s">
        <v>419</v>
      </c>
      <c r="L17" s="193" t="s">
        <v>418</v>
      </c>
      <c r="M17" s="194"/>
      <c r="N17" s="190">
        <f>+VLOOKUP(H17,'[1]GIKANDA FCS '!$H$1:$K$59,4,FALSE)</f>
        <v>250</v>
      </c>
      <c r="O17" s="197">
        <f t="shared" si="0"/>
        <v>-55.20354528218013</v>
      </c>
      <c r="P17" s="188"/>
    </row>
    <row r="18" spans="1:16">
      <c r="A18" s="189" t="s">
        <v>350</v>
      </c>
      <c r="B18" s="189" t="s">
        <v>671</v>
      </c>
      <c r="C18" s="190" t="s">
        <v>519</v>
      </c>
      <c r="D18" s="189" t="s">
        <v>632</v>
      </c>
      <c r="E18" s="190" t="s">
        <v>42</v>
      </c>
      <c r="F18" s="191">
        <v>5</v>
      </c>
      <c r="G18" s="191">
        <v>36</v>
      </c>
      <c r="H18" s="192">
        <v>327</v>
      </c>
      <c r="I18" s="192">
        <f t="shared" si="1"/>
        <v>5.45</v>
      </c>
      <c r="J18" s="192" t="s">
        <v>356</v>
      </c>
      <c r="K18" s="193" t="s">
        <v>426</v>
      </c>
      <c r="L18" s="294" t="s">
        <v>354</v>
      </c>
      <c r="M18" s="192" t="s">
        <v>400</v>
      </c>
      <c r="N18" s="190">
        <f>+VLOOKUP(H18,'[1]GIKANDA FCS '!$H$1:$K$59,4,FALSE)</f>
        <v>330</v>
      </c>
      <c r="O18" s="197">
        <f t="shared" si="0"/>
        <v>17.371320227522176</v>
      </c>
      <c r="P18" s="188"/>
    </row>
    <row r="19" spans="1:16">
      <c r="A19" s="189" t="s">
        <v>350</v>
      </c>
      <c r="B19" s="189" t="s">
        <v>672</v>
      </c>
      <c r="C19" s="190" t="s">
        <v>519</v>
      </c>
      <c r="D19" s="189" t="s">
        <v>632</v>
      </c>
      <c r="E19" s="190" t="s">
        <v>45</v>
      </c>
      <c r="F19" s="295">
        <v>5</v>
      </c>
      <c r="G19" s="191">
        <v>42</v>
      </c>
      <c r="H19" s="192">
        <v>334</v>
      </c>
      <c r="I19" s="192">
        <f t="shared" si="1"/>
        <v>5.5666666666666664</v>
      </c>
      <c r="J19" s="192" t="s">
        <v>60</v>
      </c>
      <c r="K19" s="193" t="s">
        <v>418</v>
      </c>
      <c r="L19" s="193" t="s">
        <v>418</v>
      </c>
      <c r="M19" s="194"/>
      <c r="N19" s="190">
        <f>+VLOOKUP(H19,'[1]GIKANDA FCS '!$H$1:$K$59,4,FALSE)</f>
        <v>250</v>
      </c>
      <c r="O19" s="197">
        <f t="shared" si="0"/>
        <v>-55.20354528218013</v>
      </c>
      <c r="P19" s="188"/>
    </row>
    <row r="20" spans="1:16">
      <c r="A20" s="188"/>
      <c r="B20" s="188"/>
      <c r="C20" s="188"/>
      <c r="D20" s="188"/>
      <c r="E20" s="188"/>
      <c r="F20" s="188"/>
      <c r="G20" s="188"/>
      <c r="H20" s="296"/>
      <c r="I20" s="188"/>
      <c r="J20" s="188"/>
      <c r="K20" s="188"/>
      <c r="L20" s="188"/>
      <c r="M20" s="188"/>
      <c r="N20" s="188"/>
      <c r="O20" s="188"/>
      <c r="P20" s="198"/>
    </row>
  </sheetData>
  <autoFilter ref="A2:P20" xr:uid="{88DCFA7D-DD60-492B-BD10-40C61C6C3728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714F-EBCD-4A06-B4C0-7492679F6261}">
  <sheetPr>
    <pageSetUpPr fitToPage="1"/>
  </sheetPr>
  <dimension ref="A1:AB245"/>
  <sheetViews>
    <sheetView topLeftCell="A206" zoomScale="80" zoomScaleNormal="80" workbookViewId="0">
      <selection activeCell="B226" sqref="B226"/>
    </sheetView>
  </sheetViews>
  <sheetFormatPr defaultColWidth="8.81640625" defaultRowHeight="12.5"/>
  <cols>
    <col min="1" max="1" width="10.453125" style="199" bestFit="1" customWidth="1"/>
    <col min="2" max="2" width="17.54296875" style="199" customWidth="1"/>
    <col min="3" max="3" width="26.1796875" style="199" bestFit="1" customWidth="1"/>
    <col min="4" max="4" width="26.1796875" style="199" customWidth="1"/>
    <col min="5" max="5" width="6.81640625" style="199" bestFit="1" customWidth="1"/>
    <col min="6" max="6" width="6.54296875" style="199" bestFit="1" customWidth="1"/>
    <col min="7" max="7" width="8.81640625" style="199"/>
    <col min="8" max="8" width="8.1796875" style="199" customWidth="1"/>
    <col min="9" max="9" width="7.453125" style="199" customWidth="1"/>
    <col min="10" max="10" width="8.453125" style="199" customWidth="1"/>
    <col min="11" max="15" width="13" style="199" customWidth="1"/>
    <col min="16" max="16" width="25.81640625" style="199" bestFit="1" customWidth="1"/>
    <col min="17" max="20" width="13" style="199" customWidth="1"/>
    <col min="21" max="21" width="20.81640625" style="200" customWidth="1"/>
    <col min="22" max="22" width="8.81640625" style="199"/>
    <col min="23" max="23" width="14.54296875" style="199" customWidth="1"/>
    <col min="24" max="27" width="8.81640625" style="199"/>
    <col min="28" max="28" width="17.81640625" style="199" customWidth="1"/>
    <col min="29" max="16384" width="8.81640625" style="199"/>
  </cols>
  <sheetData>
    <row r="1" spans="1:28" s="396" customFormat="1" ht="30.5" thickBot="1">
      <c r="A1" s="390" t="s">
        <v>343</v>
      </c>
      <c r="B1" s="390" t="s">
        <v>22</v>
      </c>
      <c r="C1" s="390" t="s">
        <v>344</v>
      </c>
      <c r="D1" s="390" t="s">
        <v>1113</v>
      </c>
      <c r="E1" s="390" t="s">
        <v>497</v>
      </c>
      <c r="F1" s="391" t="s">
        <v>905</v>
      </c>
      <c r="G1" s="390" t="s">
        <v>23</v>
      </c>
      <c r="H1" s="392" t="s">
        <v>24</v>
      </c>
      <c r="I1" s="393" t="s">
        <v>111</v>
      </c>
      <c r="J1" s="390" t="s">
        <v>345</v>
      </c>
      <c r="K1" s="390" t="s">
        <v>346</v>
      </c>
      <c r="L1" s="390" t="s">
        <v>4</v>
      </c>
      <c r="M1" s="390" t="s">
        <v>414</v>
      </c>
      <c r="N1" s="390" t="s">
        <v>906</v>
      </c>
      <c r="O1" s="394" t="s">
        <v>405</v>
      </c>
      <c r="P1" s="394" t="s">
        <v>406</v>
      </c>
      <c r="Q1" s="221" t="s">
        <v>705</v>
      </c>
      <c r="R1" s="221" t="s">
        <v>703</v>
      </c>
      <c r="S1" s="221" t="s">
        <v>704</v>
      </c>
      <c r="T1" s="221" t="s">
        <v>157</v>
      </c>
      <c r="U1" s="151" t="s">
        <v>541</v>
      </c>
      <c r="V1" s="395" t="s">
        <v>30</v>
      </c>
      <c r="W1" s="395" t="s">
        <v>407</v>
      </c>
      <c r="X1" s="395">
        <v>300.2</v>
      </c>
      <c r="AB1" s="395" t="s">
        <v>702</v>
      </c>
    </row>
    <row r="2" spans="1:28" s="397" customFormat="1" ht="16.399999999999999" customHeight="1">
      <c r="A2" s="397" t="s">
        <v>350</v>
      </c>
      <c r="B2" s="398" t="s">
        <v>907</v>
      </c>
      <c r="C2" s="398" t="s">
        <v>682</v>
      </c>
      <c r="D2" s="398"/>
      <c r="E2" s="398" t="s">
        <v>908</v>
      </c>
      <c r="F2" s="398" t="s">
        <v>909</v>
      </c>
      <c r="G2" s="398" t="s">
        <v>42</v>
      </c>
      <c r="H2" s="399">
        <v>53</v>
      </c>
      <c r="I2" s="399">
        <v>42</v>
      </c>
      <c r="J2" s="399"/>
      <c r="K2" s="399">
        <f>+J2/60</f>
        <v>0</v>
      </c>
      <c r="L2" s="399" t="s">
        <v>94</v>
      </c>
      <c r="M2" s="400" t="s">
        <v>910</v>
      </c>
      <c r="N2" s="399" t="s">
        <v>911</v>
      </c>
      <c r="O2" s="401"/>
      <c r="P2" s="402"/>
      <c r="Q2" s="399"/>
      <c r="R2" s="399"/>
      <c r="S2" s="399"/>
      <c r="T2" s="399"/>
      <c r="U2" s="403">
        <v>355</v>
      </c>
      <c r="V2" s="404">
        <f>U2/1.1023-$X$1</f>
        <v>21.853887326499148</v>
      </c>
    </row>
    <row r="3" spans="1:28" s="397" customFormat="1" ht="16.399999999999999" customHeight="1">
      <c r="A3" s="397" t="s">
        <v>350</v>
      </c>
      <c r="B3" s="398" t="s">
        <v>195</v>
      </c>
      <c r="C3" s="398" t="s">
        <v>683</v>
      </c>
      <c r="D3" s="398"/>
      <c r="E3" s="398" t="s">
        <v>908</v>
      </c>
      <c r="F3" s="398" t="s">
        <v>909</v>
      </c>
      <c r="G3" s="398" t="s">
        <v>44</v>
      </c>
      <c r="H3" s="399">
        <v>6</v>
      </c>
      <c r="I3" s="399"/>
      <c r="J3" s="399"/>
      <c r="K3" s="399">
        <f t="shared" ref="K3:K67" si="0">+J3/60</f>
        <v>0</v>
      </c>
      <c r="L3" s="399" t="s">
        <v>94</v>
      </c>
      <c r="M3" s="400" t="s">
        <v>910</v>
      </c>
      <c r="N3" s="399" t="s">
        <v>464</v>
      </c>
      <c r="O3" s="401"/>
      <c r="P3" s="402"/>
      <c r="Q3" s="399"/>
      <c r="R3" s="399"/>
      <c r="S3" s="399"/>
      <c r="T3" s="399"/>
      <c r="U3" s="403">
        <v>350</v>
      </c>
      <c r="V3" s="404">
        <f t="shared" ref="V3:V67" si="1">U3/1.1023-$X$1</f>
        <v>17.317917082463907</v>
      </c>
    </row>
    <row r="4" spans="1:28" s="397" customFormat="1" ht="16.399999999999999" customHeight="1">
      <c r="A4" s="397" t="s">
        <v>350</v>
      </c>
      <c r="B4" s="398" t="s">
        <v>193</v>
      </c>
      <c r="C4" s="398" t="s">
        <v>684</v>
      </c>
      <c r="D4" s="398"/>
      <c r="E4" s="398" t="s">
        <v>908</v>
      </c>
      <c r="F4" s="398" t="s">
        <v>909</v>
      </c>
      <c r="G4" s="398" t="s">
        <v>42</v>
      </c>
      <c r="H4" s="399">
        <v>124</v>
      </c>
      <c r="I4" s="399">
        <v>59</v>
      </c>
      <c r="J4" s="399">
        <v>7505</v>
      </c>
      <c r="K4" s="399">
        <f t="shared" si="0"/>
        <v>125.08333333333333</v>
      </c>
      <c r="L4" s="399" t="s">
        <v>94</v>
      </c>
      <c r="M4" s="400" t="s">
        <v>910</v>
      </c>
      <c r="N4" s="399" t="s">
        <v>911</v>
      </c>
      <c r="O4" s="401" t="s">
        <v>912</v>
      </c>
      <c r="P4" s="402">
        <v>7505.2</v>
      </c>
      <c r="Q4" s="399"/>
      <c r="R4" s="399"/>
      <c r="S4" s="399"/>
      <c r="T4" s="399"/>
      <c r="U4" s="403">
        <v>355</v>
      </c>
      <c r="V4" s="404">
        <f t="shared" si="1"/>
        <v>21.853887326499148</v>
      </c>
      <c r="W4" s="397">
        <f>(J4/60*U4)*1.2</f>
        <v>53285.499999999993</v>
      </c>
    </row>
    <row r="5" spans="1:28" s="397" customFormat="1" ht="16.399999999999999" customHeight="1">
      <c r="A5" s="397" t="s">
        <v>350</v>
      </c>
      <c r="B5" s="398" t="s">
        <v>913</v>
      </c>
      <c r="C5" s="398" t="s">
        <v>239</v>
      </c>
      <c r="D5" s="398"/>
      <c r="E5" s="398" t="s">
        <v>914</v>
      </c>
      <c r="F5" s="398" t="s">
        <v>909</v>
      </c>
      <c r="G5" s="398" t="s">
        <v>42</v>
      </c>
      <c r="H5" s="399">
        <v>69</v>
      </c>
      <c r="I5" s="399">
        <v>9</v>
      </c>
      <c r="J5" s="399">
        <v>4147</v>
      </c>
      <c r="K5" s="399">
        <f t="shared" si="0"/>
        <v>69.11666666666666</v>
      </c>
      <c r="L5" s="399" t="s">
        <v>89</v>
      </c>
      <c r="M5" s="400" t="s">
        <v>910</v>
      </c>
      <c r="N5" s="399" t="s">
        <v>911</v>
      </c>
      <c r="O5" s="401" t="s">
        <v>915</v>
      </c>
      <c r="P5" s="402">
        <v>4147.7</v>
      </c>
      <c r="Q5" s="399"/>
      <c r="R5" s="399"/>
      <c r="S5" s="399"/>
      <c r="T5" s="399"/>
      <c r="U5" s="403">
        <v>355</v>
      </c>
      <c r="V5" s="404">
        <f t="shared" si="1"/>
        <v>21.853887326499148</v>
      </c>
      <c r="W5" s="397">
        <f t="shared" ref="W5:W68" si="2">(J5/60*U5)*1.2</f>
        <v>29443.699999999997</v>
      </c>
    </row>
    <row r="6" spans="1:28" s="397" customFormat="1" ht="16.399999999999999" customHeight="1">
      <c r="A6" s="397" t="s">
        <v>350</v>
      </c>
      <c r="B6" s="398" t="s">
        <v>913</v>
      </c>
      <c r="C6" s="398" t="s">
        <v>239</v>
      </c>
      <c r="D6" s="398"/>
      <c r="E6" s="398" t="s">
        <v>914</v>
      </c>
      <c r="F6" s="398" t="s">
        <v>909</v>
      </c>
      <c r="G6" s="398" t="s">
        <v>43</v>
      </c>
      <c r="H6" s="399">
        <v>57</v>
      </c>
      <c r="I6" s="399">
        <v>46</v>
      </c>
      <c r="J6" s="399">
        <v>3468</v>
      </c>
      <c r="K6" s="399">
        <f t="shared" si="0"/>
        <v>57.8</v>
      </c>
      <c r="L6" s="399" t="s">
        <v>89</v>
      </c>
      <c r="M6" s="400" t="s">
        <v>910</v>
      </c>
      <c r="N6" s="399" t="s">
        <v>464</v>
      </c>
      <c r="O6" s="401" t="s">
        <v>916</v>
      </c>
      <c r="P6" s="402">
        <v>3468.6</v>
      </c>
      <c r="Q6" s="399"/>
      <c r="R6" s="399"/>
      <c r="S6" s="399"/>
      <c r="T6" s="399"/>
      <c r="U6" s="403">
        <v>350</v>
      </c>
      <c r="V6" s="404">
        <f t="shared" si="1"/>
        <v>17.317917082463907</v>
      </c>
      <c r="W6" s="397">
        <f t="shared" si="2"/>
        <v>24276</v>
      </c>
    </row>
    <row r="7" spans="1:28" s="397" customFormat="1" ht="16.399999999999999" customHeight="1">
      <c r="A7" s="397" t="s">
        <v>350</v>
      </c>
      <c r="B7" s="398" t="s">
        <v>917</v>
      </c>
      <c r="C7" s="398" t="s">
        <v>918</v>
      </c>
      <c r="D7" s="398"/>
      <c r="E7" s="398" t="s">
        <v>908</v>
      </c>
      <c r="F7" s="398" t="s">
        <v>909</v>
      </c>
      <c r="G7" s="398" t="s">
        <v>43</v>
      </c>
      <c r="H7" s="399">
        <v>60</v>
      </c>
      <c r="I7" s="399">
        <v>24</v>
      </c>
      <c r="J7" s="399">
        <v>3638</v>
      </c>
      <c r="K7" s="399">
        <f t="shared" si="0"/>
        <v>60.633333333333333</v>
      </c>
      <c r="L7" s="399" t="s">
        <v>94</v>
      </c>
      <c r="M7" s="400" t="s">
        <v>910</v>
      </c>
      <c r="N7" s="399" t="s">
        <v>464</v>
      </c>
      <c r="O7" s="401" t="s">
        <v>919</v>
      </c>
      <c r="P7" s="402">
        <v>3638.4</v>
      </c>
      <c r="Q7" s="399"/>
      <c r="R7" s="399"/>
      <c r="S7" s="399"/>
      <c r="T7" s="399"/>
      <c r="U7" s="403">
        <v>350</v>
      </c>
      <c r="V7" s="404">
        <f t="shared" si="1"/>
        <v>17.317917082463907</v>
      </c>
      <c r="W7" s="397">
        <f t="shared" si="2"/>
        <v>25466</v>
      </c>
    </row>
    <row r="8" spans="1:28" s="397" customFormat="1" ht="16.399999999999999" customHeight="1">
      <c r="A8" s="397" t="s">
        <v>350</v>
      </c>
      <c r="B8" s="398" t="s">
        <v>920</v>
      </c>
      <c r="C8" s="398" t="s">
        <v>242</v>
      </c>
      <c r="D8" s="398"/>
      <c r="E8" s="398" t="s">
        <v>908</v>
      </c>
      <c r="F8" s="398" t="s">
        <v>909</v>
      </c>
      <c r="G8" s="398" t="s">
        <v>43</v>
      </c>
      <c r="H8" s="399">
        <v>51</v>
      </c>
      <c r="I8" s="399">
        <v>20</v>
      </c>
      <c r="J8" s="399">
        <v>3076</v>
      </c>
      <c r="K8" s="399">
        <f t="shared" si="0"/>
        <v>51.266666666666666</v>
      </c>
      <c r="L8" s="399" t="s">
        <v>54</v>
      </c>
      <c r="M8" s="400" t="s">
        <v>354</v>
      </c>
      <c r="N8" s="399" t="s">
        <v>697</v>
      </c>
      <c r="O8" s="401" t="s">
        <v>921</v>
      </c>
      <c r="P8" s="402">
        <v>3076.6</v>
      </c>
      <c r="Q8" s="399"/>
      <c r="R8" s="399"/>
      <c r="S8" s="399"/>
      <c r="T8" s="399"/>
      <c r="U8" s="403">
        <v>335</v>
      </c>
      <c r="V8" s="404">
        <f t="shared" si="1"/>
        <v>3.7100063503583556</v>
      </c>
      <c r="W8" s="397">
        <f t="shared" si="2"/>
        <v>20609.199999999997</v>
      </c>
    </row>
    <row r="9" spans="1:28" s="397" customFormat="1" ht="16.399999999999999" customHeight="1">
      <c r="A9" s="397" t="s">
        <v>350</v>
      </c>
      <c r="B9" s="398" t="s">
        <v>922</v>
      </c>
      <c r="C9" s="398" t="s">
        <v>685</v>
      </c>
      <c r="D9" s="398"/>
      <c r="E9" s="398" t="s">
        <v>908</v>
      </c>
      <c r="F9" s="398" t="s">
        <v>909</v>
      </c>
      <c r="G9" s="398" t="s">
        <v>43</v>
      </c>
      <c r="H9" s="399">
        <v>55</v>
      </c>
      <c r="I9" s="399">
        <v>58</v>
      </c>
      <c r="J9" s="399">
        <v>3341</v>
      </c>
      <c r="K9" s="399">
        <f t="shared" si="0"/>
        <v>55.68333333333333</v>
      </c>
      <c r="L9" s="399" t="s">
        <v>94</v>
      </c>
      <c r="M9" s="400" t="s">
        <v>910</v>
      </c>
      <c r="N9" s="399" t="s">
        <v>464</v>
      </c>
      <c r="O9" s="401" t="s">
        <v>923</v>
      </c>
      <c r="P9" s="402">
        <v>3341.7</v>
      </c>
      <c r="Q9" s="399"/>
      <c r="R9" s="399"/>
      <c r="S9" s="399"/>
      <c r="T9" s="399"/>
      <c r="U9" s="403">
        <v>350</v>
      </c>
      <c r="V9" s="404">
        <f t="shared" si="1"/>
        <v>17.317917082463907</v>
      </c>
      <c r="W9" s="397">
        <f t="shared" si="2"/>
        <v>23386.999999999996</v>
      </c>
    </row>
    <row r="10" spans="1:28" s="397" customFormat="1" ht="16.399999999999999" customHeight="1">
      <c r="A10" s="397" t="s">
        <v>350</v>
      </c>
      <c r="B10" s="398" t="s">
        <v>339</v>
      </c>
      <c r="C10" s="398" t="s">
        <v>239</v>
      </c>
      <c r="D10" s="398"/>
      <c r="E10" s="398" t="s">
        <v>908</v>
      </c>
      <c r="F10" s="398" t="s">
        <v>909</v>
      </c>
      <c r="G10" s="398" t="s">
        <v>44</v>
      </c>
      <c r="H10" s="399">
        <v>5</v>
      </c>
      <c r="I10" s="399">
        <v>32</v>
      </c>
      <c r="J10" s="399">
        <v>323</v>
      </c>
      <c r="K10" s="399">
        <f t="shared" si="0"/>
        <v>5.3833333333333337</v>
      </c>
      <c r="L10" s="399" t="s">
        <v>57</v>
      </c>
      <c r="M10" s="400" t="s">
        <v>354</v>
      </c>
      <c r="N10" s="399" t="s">
        <v>847</v>
      </c>
      <c r="O10" s="401" t="s">
        <v>924</v>
      </c>
      <c r="P10" s="402">
        <v>323.60000000000002</v>
      </c>
      <c r="Q10" s="399"/>
      <c r="R10" s="399"/>
      <c r="S10" s="399"/>
      <c r="T10" s="399"/>
      <c r="U10" s="403">
        <v>335</v>
      </c>
      <c r="V10" s="404">
        <f t="shared" si="1"/>
        <v>3.7100063503583556</v>
      </c>
      <c r="W10" s="397">
        <f t="shared" si="2"/>
        <v>2164.1</v>
      </c>
    </row>
    <row r="11" spans="1:28" s="397" customFormat="1" ht="16.399999999999999" customHeight="1">
      <c r="A11" s="589" t="s">
        <v>350</v>
      </c>
      <c r="B11" s="590" t="s">
        <v>925</v>
      </c>
      <c r="C11" s="590" t="s">
        <v>926</v>
      </c>
      <c r="D11" s="590"/>
      <c r="E11" s="590" t="s">
        <v>908</v>
      </c>
      <c r="F11" s="590" t="s">
        <v>909</v>
      </c>
      <c r="G11" s="590" t="s">
        <v>51</v>
      </c>
      <c r="H11" s="591">
        <v>49</v>
      </c>
      <c r="I11" s="591">
        <v>11</v>
      </c>
      <c r="J11" s="591"/>
      <c r="K11" s="591">
        <f t="shared" si="0"/>
        <v>0</v>
      </c>
      <c r="L11" s="591" t="s">
        <v>60</v>
      </c>
      <c r="M11" s="594" t="s">
        <v>856</v>
      </c>
      <c r="N11" s="591" t="s">
        <v>927</v>
      </c>
      <c r="O11" s="599"/>
      <c r="P11" s="600"/>
      <c r="Q11" s="591"/>
      <c r="R11" s="591"/>
      <c r="S11" s="591"/>
      <c r="T11" s="591"/>
      <c r="U11" s="601">
        <v>270</v>
      </c>
      <c r="V11" s="598">
        <f t="shared" si="1"/>
        <v>-55.257606822099262</v>
      </c>
      <c r="W11" s="589">
        <f t="shared" si="2"/>
        <v>0</v>
      </c>
    </row>
    <row r="12" spans="1:28" s="397" customFormat="1" ht="16.399999999999999" customHeight="1">
      <c r="A12" s="397" t="s">
        <v>350</v>
      </c>
      <c r="B12" s="398" t="s">
        <v>184</v>
      </c>
      <c r="C12" s="398" t="s">
        <v>233</v>
      </c>
      <c r="D12" s="398"/>
      <c r="E12" s="398" t="s">
        <v>908</v>
      </c>
      <c r="F12" s="398" t="s">
        <v>909</v>
      </c>
      <c r="G12" s="398" t="s">
        <v>44</v>
      </c>
      <c r="H12" s="399">
        <v>5</v>
      </c>
      <c r="I12" s="399">
        <v>37</v>
      </c>
      <c r="J12" s="399"/>
      <c r="K12" s="399">
        <f t="shared" si="0"/>
        <v>0</v>
      </c>
      <c r="L12" s="399" t="s">
        <v>94</v>
      </c>
      <c r="M12" s="400" t="s">
        <v>910</v>
      </c>
      <c r="N12" s="399" t="s">
        <v>464</v>
      </c>
      <c r="O12" s="401"/>
      <c r="P12" s="402"/>
      <c r="Q12" s="399"/>
      <c r="R12" s="399"/>
      <c r="S12" s="399"/>
      <c r="T12" s="399"/>
      <c r="U12" s="403">
        <v>350</v>
      </c>
      <c r="V12" s="404">
        <f t="shared" si="1"/>
        <v>17.317917082463907</v>
      </c>
      <c r="W12" s="397">
        <f t="shared" si="2"/>
        <v>0</v>
      </c>
    </row>
    <row r="13" spans="1:28" s="397" customFormat="1" ht="16.399999999999999" customHeight="1">
      <c r="A13" s="397" t="s">
        <v>350</v>
      </c>
      <c r="B13" s="398" t="s">
        <v>322</v>
      </c>
      <c r="C13" s="398" t="s">
        <v>241</v>
      </c>
      <c r="D13" s="398"/>
      <c r="E13" s="398" t="s">
        <v>908</v>
      </c>
      <c r="F13" s="398" t="s">
        <v>909</v>
      </c>
      <c r="G13" s="398" t="s">
        <v>44</v>
      </c>
      <c r="H13" s="399">
        <v>1</v>
      </c>
      <c r="I13" s="399">
        <v>62</v>
      </c>
      <c r="J13" s="399">
        <v>122</v>
      </c>
      <c r="K13" s="399">
        <f t="shared" si="0"/>
        <v>2.0333333333333332</v>
      </c>
      <c r="L13" s="399" t="s">
        <v>57</v>
      </c>
      <c r="M13" s="400" t="s">
        <v>354</v>
      </c>
      <c r="N13" s="399" t="s">
        <v>847</v>
      </c>
      <c r="O13" s="401" t="s">
        <v>928</v>
      </c>
      <c r="P13" s="402">
        <v>122.1</v>
      </c>
      <c r="Q13" s="399"/>
      <c r="R13" s="399"/>
      <c r="S13" s="399"/>
      <c r="T13" s="399"/>
      <c r="U13" s="403">
        <v>335</v>
      </c>
      <c r="V13" s="404">
        <f t="shared" si="1"/>
        <v>3.7100063503583556</v>
      </c>
      <c r="W13" s="397">
        <f t="shared" si="2"/>
        <v>817.4</v>
      </c>
    </row>
    <row r="14" spans="1:28" s="397" customFormat="1" ht="16.399999999999999" customHeight="1">
      <c r="A14" s="397" t="s">
        <v>350</v>
      </c>
      <c r="B14" s="398" t="s">
        <v>206</v>
      </c>
      <c r="C14" s="398" t="s">
        <v>241</v>
      </c>
      <c r="D14" s="398"/>
      <c r="E14" s="398" t="s">
        <v>908</v>
      </c>
      <c r="F14" s="398" t="s">
        <v>909</v>
      </c>
      <c r="G14" s="398" t="s">
        <v>45</v>
      </c>
      <c r="H14" s="399">
        <v>3</v>
      </c>
      <c r="I14" s="399">
        <v>20</v>
      </c>
      <c r="J14" s="399">
        <v>200</v>
      </c>
      <c r="K14" s="399">
        <f t="shared" si="0"/>
        <v>3.3333333333333335</v>
      </c>
      <c r="L14" s="399" t="s">
        <v>54</v>
      </c>
      <c r="M14" s="400" t="s">
        <v>354</v>
      </c>
      <c r="N14" s="399" t="s">
        <v>435</v>
      </c>
      <c r="O14" s="401" t="s">
        <v>929</v>
      </c>
      <c r="P14" s="402">
        <v>200.6</v>
      </c>
      <c r="Q14" s="399">
        <v>4</v>
      </c>
      <c r="R14" s="399">
        <v>3</v>
      </c>
      <c r="S14" s="399">
        <v>18.399999999999999</v>
      </c>
      <c r="T14" s="399">
        <v>198.4</v>
      </c>
      <c r="U14" s="403">
        <v>310</v>
      </c>
      <c r="V14" s="404">
        <f t="shared" si="1"/>
        <v>-18.969844869817678</v>
      </c>
      <c r="W14" s="397">
        <f t="shared" si="2"/>
        <v>1240.0000000000002</v>
      </c>
    </row>
    <row r="15" spans="1:28" s="397" customFormat="1" ht="16.399999999999999" customHeight="1">
      <c r="A15" s="397" t="s">
        <v>350</v>
      </c>
      <c r="B15" s="398" t="s">
        <v>206</v>
      </c>
      <c r="C15" s="398" t="s">
        <v>241</v>
      </c>
      <c r="D15" s="398"/>
      <c r="E15" s="398" t="s">
        <v>908</v>
      </c>
      <c r="F15" s="398" t="s">
        <v>909</v>
      </c>
      <c r="G15" s="398" t="s">
        <v>44</v>
      </c>
      <c r="H15" s="399">
        <v>1</v>
      </c>
      <c r="I15" s="399">
        <v>41</v>
      </c>
      <c r="J15" s="399">
        <v>101</v>
      </c>
      <c r="K15" s="399">
        <f t="shared" si="0"/>
        <v>1.6833333333333333</v>
      </c>
      <c r="L15" s="399" t="s">
        <v>89</v>
      </c>
      <c r="M15" s="400" t="s">
        <v>910</v>
      </c>
      <c r="N15" s="399" t="s">
        <v>464</v>
      </c>
      <c r="O15" s="401" t="s">
        <v>930</v>
      </c>
      <c r="P15" s="402">
        <v>101</v>
      </c>
      <c r="Q15" s="399"/>
      <c r="R15" s="399"/>
      <c r="S15" s="399"/>
      <c r="T15" s="399"/>
      <c r="U15" s="403">
        <v>350</v>
      </c>
      <c r="V15" s="404">
        <f t="shared" si="1"/>
        <v>17.317917082463907</v>
      </c>
      <c r="W15" s="397">
        <f t="shared" si="2"/>
        <v>706.99999999999989</v>
      </c>
    </row>
    <row r="16" spans="1:28" s="397" customFormat="1" ht="16.399999999999999" customHeight="1">
      <c r="A16" s="397" t="s">
        <v>350</v>
      </c>
      <c r="B16" s="398" t="s">
        <v>320</v>
      </c>
      <c r="C16" s="398" t="s">
        <v>352</v>
      </c>
      <c r="D16" s="398"/>
      <c r="E16" s="398" t="s">
        <v>908</v>
      </c>
      <c r="F16" s="398" t="s">
        <v>909</v>
      </c>
      <c r="G16" s="398" t="s">
        <v>43</v>
      </c>
      <c r="H16" s="399">
        <v>84</v>
      </c>
      <c r="I16" s="399">
        <v>40</v>
      </c>
      <c r="J16" s="399">
        <v>5080</v>
      </c>
      <c r="K16" s="399">
        <f t="shared" si="0"/>
        <v>84.666666666666671</v>
      </c>
      <c r="L16" s="399" t="s">
        <v>45</v>
      </c>
      <c r="M16" s="400" t="s">
        <v>354</v>
      </c>
      <c r="N16" s="399" t="s">
        <v>697</v>
      </c>
      <c r="O16" s="401" t="s">
        <v>931</v>
      </c>
      <c r="P16" s="402">
        <v>5080</v>
      </c>
      <c r="Q16" s="399"/>
      <c r="R16" s="399"/>
      <c r="S16" s="399"/>
      <c r="T16" s="399"/>
      <c r="U16" s="403">
        <v>335</v>
      </c>
      <c r="V16" s="404">
        <f t="shared" si="1"/>
        <v>3.7100063503583556</v>
      </c>
      <c r="W16" s="397">
        <f t="shared" si="2"/>
        <v>34036</v>
      </c>
    </row>
    <row r="17" spans="1:23" s="397" customFormat="1" ht="16.399999999999999" customHeight="1">
      <c r="A17" s="397" t="s">
        <v>350</v>
      </c>
      <c r="B17" s="398" t="s">
        <v>320</v>
      </c>
      <c r="C17" s="398" t="s">
        <v>352</v>
      </c>
      <c r="D17" s="398"/>
      <c r="E17" s="398" t="s">
        <v>908</v>
      </c>
      <c r="F17" s="398" t="s">
        <v>909</v>
      </c>
      <c r="G17" s="398" t="s">
        <v>45</v>
      </c>
      <c r="H17" s="399">
        <v>20</v>
      </c>
      <c r="I17" s="399">
        <v>28</v>
      </c>
      <c r="J17" s="399">
        <v>1228</v>
      </c>
      <c r="K17" s="399">
        <f t="shared" si="0"/>
        <v>20.466666666666665</v>
      </c>
      <c r="L17" s="399" t="s">
        <v>56</v>
      </c>
      <c r="M17" s="400" t="s">
        <v>354</v>
      </c>
      <c r="N17" s="399" t="s">
        <v>932</v>
      </c>
      <c r="O17" s="401" t="s">
        <v>933</v>
      </c>
      <c r="P17" s="402">
        <v>1228</v>
      </c>
      <c r="Q17" s="399"/>
      <c r="R17" s="399"/>
      <c r="S17" s="399"/>
      <c r="T17" s="399"/>
      <c r="U17" s="403">
        <v>310</v>
      </c>
      <c r="V17" s="404">
        <f t="shared" si="1"/>
        <v>-18.969844869817678</v>
      </c>
      <c r="W17" s="397">
        <f t="shared" si="2"/>
        <v>7613.5999999999985</v>
      </c>
    </row>
    <row r="18" spans="1:23" s="397" customFormat="1" ht="16.399999999999999" customHeight="1">
      <c r="A18" s="397" t="s">
        <v>350</v>
      </c>
      <c r="B18" s="398" t="s">
        <v>320</v>
      </c>
      <c r="C18" s="398" t="s">
        <v>352</v>
      </c>
      <c r="D18" s="398"/>
      <c r="E18" s="398" t="s">
        <v>908</v>
      </c>
      <c r="F18" s="398" t="s">
        <v>909</v>
      </c>
      <c r="G18" s="398" t="s">
        <v>44</v>
      </c>
      <c r="H18" s="399">
        <v>10</v>
      </c>
      <c r="I18" s="399">
        <v>54</v>
      </c>
      <c r="J18" s="399">
        <v>654</v>
      </c>
      <c r="K18" s="399">
        <f t="shared" si="0"/>
        <v>10.9</v>
      </c>
      <c r="L18" s="399" t="s">
        <v>45</v>
      </c>
      <c r="M18" s="400" t="s">
        <v>354</v>
      </c>
      <c r="N18" s="399" t="s">
        <v>697</v>
      </c>
      <c r="O18" s="401" t="s">
        <v>934</v>
      </c>
      <c r="P18" s="402">
        <v>654</v>
      </c>
      <c r="Q18" s="399"/>
      <c r="R18" s="399"/>
      <c r="S18" s="399"/>
      <c r="T18" s="399"/>
      <c r="U18" s="403">
        <v>335</v>
      </c>
      <c r="V18" s="404">
        <f t="shared" si="1"/>
        <v>3.7100063503583556</v>
      </c>
      <c r="W18" s="397">
        <f t="shared" si="2"/>
        <v>4381.8</v>
      </c>
    </row>
    <row r="19" spans="1:23" s="397" customFormat="1" ht="16.399999999999999" customHeight="1">
      <c r="A19" s="397" t="s">
        <v>350</v>
      </c>
      <c r="B19" s="398" t="s">
        <v>935</v>
      </c>
      <c r="C19" s="398" t="s">
        <v>240</v>
      </c>
      <c r="D19" s="398"/>
      <c r="E19" s="398" t="s">
        <v>908</v>
      </c>
      <c r="F19" s="398" t="s">
        <v>909</v>
      </c>
      <c r="G19" s="398" t="s">
        <v>51</v>
      </c>
      <c r="H19" s="399">
        <v>40</v>
      </c>
      <c r="I19" s="399">
        <v>47</v>
      </c>
      <c r="J19" s="399">
        <v>2435</v>
      </c>
      <c r="K19" s="399">
        <f t="shared" si="0"/>
        <v>40.583333333333336</v>
      </c>
      <c r="L19" s="399" t="s">
        <v>59</v>
      </c>
      <c r="M19" s="400" t="s">
        <v>856</v>
      </c>
      <c r="N19" s="399" t="s">
        <v>927</v>
      </c>
      <c r="O19" s="401" t="s">
        <v>936</v>
      </c>
      <c r="P19" s="402">
        <v>2435.4</v>
      </c>
      <c r="Q19" s="399"/>
      <c r="R19" s="399"/>
      <c r="S19" s="399"/>
      <c r="T19" s="399"/>
      <c r="U19" s="403">
        <v>280</v>
      </c>
      <c r="V19" s="404">
        <f t="shared" si="1"/>
        <v>-46.185666334028838</v>
      </c>
      <c r="W19" s="397">
        <f t="shared" si="2"/>
        <v>13636</v>
      </c>
    </row>
    <row r="20" spans="1:23" s="397" customFormat="1" ht="16.399999999999999" customHeight="1">
      <c r="A20" s="397" t="s">
        <v>350</v>
      </c>
      <c r="B20" s="398" t="s">
        <v>935</v>
      </c>
      <c r="C20" s="398" t="s">
        <v>240</v>
      </c>
      <c r="D20" s="398"/>
      <c r="E20" s="398" t="s">
        <v>908</v>
      </c>
      <c r="F20" s="398" t="s">
        <v>909</v>
      </c>
      <c r="G20" s="398" t="s">
        <v>52</v>
      </c>
      <c r="H20" s="399">
        <v>3</v>
      </c>
      <c r="I20" s="399">
        <v>22</v>
      </c>
      <c r="J20" s="399">
        <v>194</v>
      </c>
      <c r="K20" s="399">
        <f t="shared" si="0"/>
        <v>3.2333333333333334</v>
      </c>
      <c r="L20" s="399" t="s">
        <v>355</v>
      </c>
      <c r="M20" s="400" t="s">
        <v>856</v>
      </c>
      <c r="N20" s="399" t="s">
        <v>1062</v>
      </c>
      <c r="O20" s="401" t="s">
        <v>937</v>
      </c>
      <c r="P20" s="402">
        <v>194.5</v>
      </c>
      <c r="Q20" s="399"/>
      <c r="R20" s="399"/>
      <c r="S20" s="399"/>
      <c r="T20" s="399"/>
      <c r="U20" s="403">
        <v>150</v>
      </c>
      <c r="V20" s="404">
        <f t="shared" si="1"/>
        <v>-164.12089267894402</v>
      </c>
      <c r="W20" s="397">
        <f t="shared" si="2"/>
        <v>582</v>
      </c>
    </row>
    <row r="21" spans="1:23" s="397" customFormat="1" ht="16.399999999999999" customHeight="1">
      <c r="A21" s="397" t="s">
        <v>350</v>
      </c>
      <c r="B21" s="398" t="s">
        <v>686</v>
      </c>
      <c r="C21" s="398" t="s">
        <v>239</v>
      </c>
      <c r="D21" s="398"/>
      <c r="E21" s="398" t="s">
        <v>908</v>
      </c>
      <c r="F21" s="398" t="s">
        <v>909</v>
      </c>
      <c r="G21" s="398" t="s">
        <v>42</v>
      </c>
      <c r="H21" s="399">
        <v>41</v>
      </c>
      <c r="I21" s="399">
        <v>50</v>
      </c>
      <c r="J21" s="399">
        <v>2502</v>
      </c>
      <c r="K21" s="399">
        <f t="shared" si="0"/>
        <v>41.7</v>
      </c>
      <c r="L21" s="399" t="s">
        <v>45</v>
      </c>
      <c r="M21" s="400" t="s">
        <v>354</v>
      </c>
      <c r="N21" s="399" t="s">
        <v>434</v>
      </c>
      <c r="O21" s="401" t="s">
        <v>938</v>
      </c>
      <c r="P21" s="402">
        <v>2502.3000000000002</v>
      </c>
      <c r="Q21" s="399"/>
      <c r="R21" s="399"/>
      <c r="S21" s="399"/>
      <c r="T21" s="399"/>
      <c r="U21" s="403">
        <v>340</v>
      </c>
      <c r="V21" s="404">
        <f t="shared" si="1"/>
        <v>8.2459765943935395</v>
      </c>
      <c r="W21" s="397">
        <f t="shared" si="2"/>
        <v>17013.600000000002</v>
      </c>
    </row>
    <row r="22" spans="1:23" s="397" customFormat="1" ht="16.399999999999999" customHeight="1">
      <c r="A22" s="397" t="s">
        <v>350</v>
      </c>
      <c r="B22" s="398" t="s">
        <v>686</v>
      </c>
      <c r="C22" s="398" t="s">
        <v>239</v>
      </c>
      <c r="D22" s="398"/>
      <c r="E22" s="398" t="s">
        <v>908</v>
      </c>
      <c r="F22" s="398" t="s">
        <v>909</v>
      </c>
      <c r="G22" s="398" t="s">
        <v>43</v>
      </c>
      <c r="H22" s="399">
        <v>45</v>
      </c>
      <c r="I22" s="399">
        <v>32</v>
      </c>
      <c r="J22" s="399">
        <v>2720</v>
      </c>
      <c r="K22" s="399">
        <f t="shared" si="0"/>
        <v>45.333333333333336</v>
      </c>
      <c r="L22" s="399" t="s">
        <v>45</v>
      </c>
      <c r="M22" s="400" t="s">
        <v>354</v>
      </c>
      <c r="N22" s="399" t="s">
        <v>697</v>
      </c>
      <c r="O22" s="401" t="s">
        <v>939</v>
      </c>
      <c r="P22" s="402">
        <v>2720.8</v>
      </c>
      <c r="Q22" s="399"/>
      <c r="R22" s="399"/>
      <c r="S22" s="399"/>
      <c r="T22" s="399"/>
      <c r="U22" s="403">
        <v>335</v>
      </c>
      <c r="V22" s="404">
        <f t="shared" si="1"/>
        <v>3.7100063503583556</v>
      </c>
      <c r="W22" s="397">
        <f t="shared" si="2"/>
        <v>18224</v>
      </c>
    </row>
    <row r="23" spans="1:23" s="397" customFormat="1" ht="16.399999999999999" customHeight="1">
      <c r="A23" s="397" t="s">
        <v>350</v>
      </c>
      <c r="B23" s="398" t="s">
        <v>686</v>
      </c>
      <c r="C23" s="398" t="s">
        <v>239</v>
      </c>
      <c r="D23" s="398"/>
      <c r="E23" s="398" t="s">
        <v>908</v>
      </c>
      <c r="F23" s="398" t="s">
        <v>909</v>
      </c>
      <c r="G23" s="398" t="s">
        <v>45</v>
      </c>
      <c r="H23" s="399">
        <v>12</v>
      </c>
      <c r="I23" s="399">
        <v>52</v>
      </c>
      <c r="J23" s="399">
        <v>770</v>
      </c>
      <c r="K23" s="399">
        <f t="shared" si="0"/>
        <v>12.833333333333334</v>
      </c>
      <c r="L23" s="399" t="s">
        <v>356</v>
      </c>
      <c r="M23" s="400" t="s">
        <v>354</v>
      </c>
      <c r="N23" s="399" t="s">
        <v>932</v>
      </c>
      <c r="O23" s="401" t="s">
        <v>940</v>
      </c>
      <c r="P23" s="402">
        <v>770.8</v>
      </c>
      <c r="Q23" s="399">
        <v>13</v>
      </c>
      <c r="R23" s="399">
        <v>12</v>
      </c>
      <c r="S23" s="399">
        <v>57.3</v>
      </c>
      <c r="T23" s="399">
        <v>777.3</v>
      </c>
      <c r="U23" s="403">
        <v>305</v>
      </c>
      <c r="V23" s="404">
        <f t="shared" si="1"/>
        <v>-23.505815113852861</v>
      </c>
      <c r="W23" s="397">
        <f t="shared" si="2"/>
        <v>4697</v>
      </c>
    </row>
    <row r="24" spans="1:23" s="397" customFormat="1" ht="16.399999999999999" customHeight="1">
      <c r="A24" s="397" t="s">
        <v>350</v>
      </c>
      <c r="B24" s="398" t="s">
        <v>309</v>
      </c>
      <c r="C24" s="398" t="s">
        <v>235</v>
      </c>
      <c r="D24" s="398"/>
      <c r="E24" s="398" t="s">
        <v>908</v>
      </c>
      <c r="F24" s="398" t="s">
        <v>909</v>
      </c>
      <c r="G24" s="398" t="s">
        <v>42</v>
      </c>
      <c r="H24" s="399">
        <v>50</v>
      </c>
      <c r="I24" s="399">
        <v>53</v>
      </c>
      <c r="J24" s="399">
        <v>3053</v>
      </c>
      <c r="K24" s="399">
        <f t="shared" si="0"/>
        <v>50.883333333333333</v>
      </c>
      <c r="L24" s="399" t="s">
        <v>45</v>
      </c>
      <c r="M24" s="400" t="s">
        <v>354</v>
      </c>
      <c r="N24" s="399" t="s">
        <v>435</v>
      </c>
      <c r="O24" s="401"/>
      <c r="P24" s="402"/>
      <c r="Q24" s="399"/>
      <c r="R24" s="399"/>
      <c r="S24" s="399"/>
      <c r="T24" s="399"/>
      <c r="U24" s="403">
        <v>340</v>
      </c>
      <c r="V24" s="404">
        <f t="shared" si="1"/>
        <v>8.2459765943935395</v>
      </c>
      <c r="W24" s="397">
        <f t="shared" si="2"/>
        <v>20760.399999999998</v>
      </c>
    </row>
    <row r="25" spans="1:23" s="397" customFormat="1" ht="16.399999999999999" customHeight="1">
      <c r="A25" s="397" t="s">
        <v>350</v>
      </c>
      <c r="B25" s="398" t="s">
        <v>305</v>
      </c>
      <c r="C25" s="398" t="s">
        <v>238</v>
      </c>
      <c r="D25" s="398"/>
      <c r="E25" s="398" t="s">
        <v>908</v>
      </c>
      <c r="F25" s="398" t="s">
        <v>909</v>
      </c>
      <c r="G25" s="398" t="s">
        <v>45</v>
      </c>
      <c r="H25" s="399">
        <v>26</v>
      </c>
      <c r="I25" s="399">
        <v>23</v>
      </c>
      <c r="J25" s="399">
        <v>1581</v>
      </c>
      <c r="K25" s="399">
        <f t="shared" si="0"/>
        <v>26.35</v>
      </c>
      <c r="L25" s="399" t="s">
        <v>54</v>
      </c>
      <c r="M25" s="400" t="s">
        <v>354</v>
      </c>
      <c r="N25" s="399" t="s">
        <v>435</v>
      </c>
      <c r="O25" s="401">
        <v>70380</v>
      </c>
      <c r="P25" s="402">
        <v>1581</v>
      </c>
      <c r="Q25" s="399"/>
      <c r="R25" s="399"/>
      <c r="S25" s="399"/>
      <c r="T25" s="399"/>
      <c r="U25" s="403">
        <v>310</v>
      </c>
      <c r="V25" s="404">
        <f t="shared" si="1"/>
        <v>-18.969844869817678</v>
      </c>
      <c r="W25" s="397">
        <f t="shared" si="2"/>
        <v>9802.1999999999989</v>
      </c>
    </row>
    <row r="26" spans="1:23" s="397" customFormat="1" ht="16.399999999999999" customHeight="1">
      <c r="A26" s="397" t="s">
        <v>350</v>
      </c>
      <c r="B26" s="398" t="s">
        <v>305</v>
      </c>
      <c r="C26" s="398" t="s">
        <v>238</v>
      </c>
      <c r="D26" s="398"/>
      <c r="E26" s="398" t="s">
        <v>908</v>
      </c>
      <c r="F26" s="398" t="s">
        <v>909</v>
      </c>
      <c r="G26" s="398" t="s">
        <v>44</v>
      </c>
      <c r="H26" s="399">
        <v>14</v>
      </c>
      <c r="I26" s="399">
        <v>38</v>
      </c>
      <c r="J26" s="399">
        <v>877</v>
      </c>
      <c r="K26" s="399">
        <f t="shared" si="0"/>
        <v>14.616666666666667</v>
      </c>
      <c r="L26" s="399" t="s">
        <v>89</v>
      </c>
      <c r="M26" s="400" t="s">
        <v>910</v>
      </c>
      <c r="N26" s="399" t="s">
        <v>464</v>
      </c>
      <c r="O26" s="401">
        <v>70381</v>
      </c>
      <c r="P26" s="402">
        <v>877.2</v>
      </c>
      <c r="Q26" s="399"/>
      <c r="R26" s="399"/>
      <c r="S26" s="399"/>
      <c r="T26" s="399"/>
      <c r="U26" s="403">
        <v>350</v>
      </c>
      <c r="V26" s="404">
        <f t="shared" si="1"/>
        <v>17.317917082463907</v>
      </c>
      <c r="W26" s="397">
        <f t="shared" si="2"/>
        <v>6139.0000000000009</v>
      </c>
    </row>
    <row r="27" spans="1:23" s="397" customFormat="1" ht="16.399999999999999" customHeight="1">
      <c r="A27" s="405" t="s">
        <v>350</v>
      </c>
      <c r="B27" s="406" t="s">
        <v>941</v>
      </c>
      <c r="C27" s="406" t="s">
        <v>237</v>
      </c>
      <c r="D27" s="406"/>
      <c r="E27" s="406" t="s">
        <v>908</v>
      </c>
      <c r="F27" s="406" t="s">
        <v>909</v>
      </c>
      <c r="G27" s="406" t="s">
        <v>51</v>
      </c>
      <c r="H27" s="407">
        <v>70</v>
      </c>
      <c r="I27" s="407"/>
      <c r="J27" s="407">
        <v>4193</v>
      </c>
      <c r="K27" s="407">
        <f t="shared" si="0"/>
        <v>69.88333333333334</v>
      </c>
      <c r="L27" s="407" t="s">
        <v>56</v>
      </c>
      <c r="M27" s="408" t="s">
        <v>354</v>
      </c>
      <c r="N27" s="407" t="s">
        <v>847</v>
      </c>
      <c r="O27" s="1723" t="s">
        <v>942</v>
      </c>
      <c r="P27" s="1725">
        <v>7171.6</v>
      </c>
      <c r="Q27" s="407"/>
      <c r="R27" s="407"/>
      <c r="S27" s="407"/>
      <c r="T27" s="407"/>
      <c r="U27" s="409">
        <v>280</v>
      </c>
      <c r="V27" s="410">
        <f t="shared" si="1"/>
        <v>-46.185666334028838</v>
      </c>
      <c r="W27" s="397">
        <f t="shared" si="2"/>
        <v>23480.800000000003</v>
      </c>
    </row>
    <row r="28" spans="1:23" s="397" customFormat="1" ht="16.399999999999999" customHeight="1">
      <c r="A28" s="405" t="s">
        <v>350</v>
      </c>
      <c r="B28" s="411" t="s">
        <v>941</v>
      </c>
      <c r="C28" s="411" t="s">
        <v>237</v>
      </c>
      <c r="D28" s="411"/>
      <c r="E28" s="412"/>
      <c r="F28" s="412"/>
      <c r="G28" s="411" t="s">
        <v>51</v>
      </c>
      <c r="H28" s="408">
        <v>49</v>
      </c>
      <c r="I28" s="408">
        <v>47</v>
      </c>
      <c r="J28" s="413">
        <v>2978</v>
      </c>
      <c r="K28" s="414"/>
      <c r="L28" s="413" t="s">
        <v>356</v>
      </c>
      <c r="M28" s="408" t="s">
        <v>354</v>
      </c>
      <c r="N28" s="412" t="s">
        <v>749</v>
      </c>
      <c r="O28" s="1724"/>
      <c r="P28" s="1726"/>
      <c r="Q28" s="412"/>
      <c r="R28" s="412"/>
      <c r="S28" s="412"/>
      <c r="T28" s="412"/>
      <c r="U28" s="415">
        <v>270</v>
      </c>
      <c r="V28" s="410">
        <f t="shared" si="1"/>
        <v>-55.257606822099262</v>
      </c>
      <c r="W28" s="397">
        <f t="shared" si="2"/>
        <v>16081.199999999999</v>
      </c>
    </row>
    <row r="29" spans="1:23" s="397" customFormat="1" ht="16.399999999999999" customHeight="1">
      <c r="A29" s="397" t="s">
        <v>350</v>
      </c>
      <c r="B29" s="398" t="s">
        <v>687</v>
      </c>
      <c r="C29" s="398" t="s">
        <v>238</v>
      </c>
      <c r="D29" s="398"/>
      <c r="E29" s="398" t="s">
        <v>908</v>
      </c>
      <c r="F29" s="398" t="s">
        <v>909</v>
      </c>
      <c r="G29" s="398" t="s">
        <v>42</v>
      </c>
      <c r="H29" s="399">
        <v>90</v>
      </c>
      <c r="I29" s="399">
        <v>20</v>
      </c>
      <c r="J29" s="399">
        <v>5367</v>
      </c>
      <c r="K29" s="399">
        <f t="shared" si="0"/>
        <v>89.45</v>
      </c>
      <c r="L29" s="399" t="s">
        <v>89</v>
      </c>
      <c r="M29" s="400" t="s">
        <v>910</v>
      </c>
      <c r="N29" s="399" t="s">
        <v>911</v>
      </c>
      <c r="O29" s="401">
        <v>70382</v>
      </c>
      <c r="P29" s="402">
        <v>5367.8</v>
      </c>
      <c r="Q29" s="399"/>
      <c r="R29" s="399"/>
      <c r="S29" s="399"/>
      <c r="T29" s="399"/>
      <c r="U29" s="403">
        <v>355</v>
      </c>
      <c r="V29" s="404">
        <f t="shared" si="1"/>
        <v>21.853887326499148</v>
      </c>
      <c r="W29" s="397">
        <f t="shared" si="2"/>
        <v>38105.699999999997</v>
      </c>
    </row>
    <row r="30" spans="1:23" s="397" customFormat="1" ht="16.399999999999999" customHeight="1">
      <c r="A30" s="397" t="s">
        <v>350</v>
      </c>
      <c r="B30" s="398" t="s">
        <v>687</v>
      </c>
      <c r="C30" s="398" t="s">
        <v>238</v>
      </c>
      <c r="D30" s="398"/>
      <c r="E30" s="398" t="s">
        <v>908</v>
      </c>
      <c r="F30" s="398" t="s">
        <v>909</v>
      </c>
      <c r="G30" s="398" t="s">
        <v>43</v>
      </c>
      <c r="H30" s="399">
        <v>120</v>
      </c>
      <c r="I30" s="399">
        <v>53</v>
      </c>
      <c r="J30" s="399">
        <v>7208</v>
      </c>
      <c r="K30" s="399">
        <f t="shared" si="0"/>
        <v>120.13333333333334</v>
      </c>
      <c r="L30" s="399" t="s">
        <v>89</v>
      </c>
      <c r="M30" s="400" t="s">
        <v>910</v>
      </c>
      <c r="N30" s="399" t="s">
        <v>464</v>
      </c>
      <c r="O30" s="401">
        <v>70383</v>
      </c>
      <c r="P30" s="402">
        <v>7208.6</v>
      </c>
      <c r="Q30" s="399"/>
      <c r="R30" s="399"/>
      <c r="S30" s="399"/>
      <c r="T30" s="399"/>
      <c r="U30" s="403">
        <v>350</v>
      </c>
      <c r="V30" s="404">
        <f t="shared" si="1"/>
        <v>17.317917082463907</v>
      </c>
      <c r="W30" s="397">
        <f t="shared" si="2"/>
        <v>50456.000000000007</v>
      </c>
    </row>
    <row r="31" spans="1:23" s="397" customFormat="1" ht="16.399999999999999" customHeight="1">
      <c r="A31" s="397" t="s">
        <v>350</v>
      </c>
      <c r="B31" s="398" t="s">
        <v>943</v>
      </c>
      <c r="C31" s="398" t="s">
        <v>685</v>
      </c>
      <c r="D31" s="398"/>
      <c r="E31" s="398" t="s">
        <v>908</v>
      </c>
      <c r="F31" s="398" t="s">
        <v>909</v>
      </c>
      <c r="G31" s="398" t="s">
        <v>42</v>
      </c>
      <c r="H31" s="399">
        <v>12</v>
      </c>
      <c r="I31" s="399">
        <v>7</v>
      </c>
      <c r="J31" s="399">
        <v>718</v>
      </c>
      <c r="K31" s="399">
        <f t="shared" si="0"/>
        <v>11.966666666666667</v>
      </c>
      <c r="L31" s="399" t="s">
        <v>525</v>
      </c>
      <c r="M31" s="400" t="s">
        <v>354</v>
      </c>
      <c r="N31" s="399" t="s">
        <v>426</v>
      </c>
      <c r="O31" s="401" t="s">
        <v>944</v>
      </c>
      <c r="P31" s="402">
        <v>718.8</v>
      </c>
      <c r="Q31" s="399">
        <v>12</v>
      </c>
      <c r="R31" s="399">
        <v>12</v>
      </c>
      <c r="S31" s="399">
        <v>4.2</v>
      </c>
      <c r="T31" s="399">
        <v>724.2</v>
      </c>
      <c r="U31" s="403">
        <v>325</v>
      </c>
      <c r="V31" s="404">
        <f t="shared" si="1"/>
        <v>-5.3619341377120691</v>
      </c>
      <c r="W31" s="397">
        <f t="shared" si="2"/>
        <v>4667</v>
      </c>
    </row>
    <row r="32" spans="1:23" s="397" customFormat="1" ht="16.399999999999999" customHeight="1">
      <c r="A32" s="397" t="s">
        <v>350</v>
      </c>
      <c r="B32" s="398" t="s">
        <v>943</v>
      </c>
      <c r="C32" s="398" t="s">
        <v>685</v>
      </c>
      <c r="D32" s="398"/>
      <c r="E32" s="398" t="s">
        <v>908</v>
      </c>
      <c r="F32" s="398" t="s">
        <v>909</v>
      </c>
      <c r="G32" s="398" t="s">
        <v>43</v>
      </c>
      <c r="H32" s="399">
        <v>15</v>
      </c>
      <c r="I32" s="399">
        <v>7</v>
      </c>
      <c r="J32" s="399">
        <v>894</v>
      </c>
      <c r="K32" s="399">
        <f t="shared" si="0"/>
        <v>14.9</v>
      </c>
      <c r="L32" s="399" t="s">
        <v>525</v>
      </c>
      <c r="M32" s="400" t="s">
        <v>856</v>
      </c>
      <c r="N32" s="399" t="s">
        <v>927</v>
      </c>
      <c r="O32" s="401" t="s">
        <v>945</v>
      </c>
      <c r="P32" s="402">
        <v>894.7</v>
      </c>
      <c r="Q32" s="399"/>
      <c r="R32" s="399"/>
      <c r="S32" s="399"/>
      <c r="T32" s="399"/>
      <c r="U32" s="403">
        <v>300</v>
      </c>
      <c r="V32" s="404">
        <f t="shared" si="1"/>
        <v>-28.041785357888045</v>
      </c>
      <c r="W32" s="397">
        <f t="shared" si="2"/>
        <v>5364</v>
      </c>
    </row>
    <row r="33" spans="1:23" s="397" customFormat="1" ht="16.399999999999999" customHeight="1">
      <c r="A33" s="397" t="s">
        <v>350</v>
      </c>
      <c r="B33" s="398" t="s">
        <v>943</v>
      </c>
      <c r="C33" s="398" t="s">
        <v>685</v>
      </c>
      <c r="D33" s="398"/>
      <c r="E33" s="398" t="s">
        <v>908</v>
      </c>
      <c r="F33" s="398" t="s">
        <v>909</v>
      </c>
      <c r="G33" s="398" t="s">
        <v>45</v>
      </c>
      <c r="H33" s="399">
        <v>15</v>
      </c>
      <c r="I33" s="399">
        <v>43</v>
      </c>
      <c r="J33" s="399">
        <v>928</v>
      </c>
      <c r="K33" s="399">
        <f t="shared" si="0"/>
        <v>15.466666666666667</v>
      </c>
      <c r="L33" s="399" t="s">
        <v>60</v>
      </c>
      <c r="M33" s="400" t="s">
        <v>856</v>
      </c>
      <c r="N33" s="399" t="s">
        <v>856</v>
      </c>
      <c r="O33" s="401" t="s">
        <v>946</v>
      </c>
      <c r="P33" s="402">
        <v>928.5</v>
      </c>
      <c r="Q33" s="399"/>
      <c r="R33" s="399"/>
      <c r="S33" s="399"/>
      <c r="T33" s="399"/>
      <c r="U33" s="403">
        <v>270</v>
      </c>
      <c r="V33" s="404">
        <f t="shared" si="1"/>
        <v>-55.257606822099262</v>
      </c>
      <c r="W33" s="397">
        <f t="shared" si="2"/>
        <v>5011.2</v>
      </c>
    </row>
    <row r="34" spans="1:23" s="397" customFormat="1" ht="16.399999999999999" customHeight="1">
      <c r="A34" s="397" t="s">
        <v>350</v>
      </c>
      <c r="B34" s="398" t="s">
        <v>943</v>
      </c>
      <c r="C34" s="398" t="s">
        <v>243</v>
      </c>
      <c r="D34" s="398"/>
      <c r="E34" s="398" t="s">
        <v>908</v>
      </c>
      <c r="F34" s="398" t="s">
        <v>909</v>
      </c>
      <c r="G34" s="398" t="s">
        <v>44</v>
      </c>
      <c r="H34" s="399">
        <v>2</v>
      </c>
      <c r="I34" s="399">
        <v>48</v>
      </c>
      <c r="J34" s="399">
        <v>168</v>
      </c>
      <c r="K34" s="399">
        <f t="shared" si="0"/>
        <v>2.8</v>
      </c>
      <c r="L34" s="399" t="s">
        <v>59</v>
      </c>
      <c r="M34" s="400" t="s">
        <v>856</v>
      </c>
      <c r="N34" s="399" t="s">
        <v>927</v>
      </c>
      <c r="O34" s="401" t="s">
        <v>947</v>
      </c>
      <c r="P34" s="402">
        <v>168.2</v>
      </c>
      <c r="Q34" s="399"/>
      <c r="R34" s="399"/>
      <c r="S34" s="399"/>
      <c r="T34" s="399"/>
      <c r="U34" s="403">
        <v>300</v>
      </c>
      <c r="V34" s="404">
        <f t="shared" si="1"/>
        <v>-28.041785357888045</v>
      </c>
      <c r="W34" s="397">
        <f t="shared" si="2"/>
        <v>1008</v>
      </c>
    </row>
    <row r="35" spans="1:23" s="397" customFormat="1" ht="16.399999999999999" customHeight="1">
      <c r="A35" s="397" t="s">
        <v>350</v>
      </c>
      <c r="B35" s="398" t="s">
        <v>294</v>
      </c>
      <c r="C35" s="398" t="s">
        <v>235</v>
      </c>
      <c r="D35" s="398"/>
      <c r="E35" s="398" t="s">
        <v>908</v>
      </c>
      <c r="F35" s="398" t="s">
        <v>909</v>
      </c>
      <c r="G35" s="398" t="s">
        <v>45</v>
      </c>
      <c r="H35" s="399">
        <v>26</v>
      </c>
      <c r="I35" s="399">
        <v>7</v>
      </c>
      <c r="J35" s="399">
        <v>1560</v>
      </c>
      <c r="K35" s="399">
        <f t="shared" si="0"/>
        <v>26</v>
      </c>
      <c r="L35" s="399" t="s">
        <v>356</v>
      </c>
      <c r="M35" s="400" t="s">
        <v>354</v>
      </c>
      <c r="N35" s="399" t="s">
        <v>932</v>
      </c>
      <c r="O35" s="401" t="s">
        <v>948</v>
      </c>
      <c r="P35" s="402">
        <v>1560.9</v>
      </c>
      <c r="Q35" s="399"/>
      <c r="R35" s="399"/>
      <c r="S35" s="399"/>
      <c r="T35" s="399"/>
      <c r="U35" s="403">
        <v>300</v>
      </c>
      <c r="V35" s="404">
        <f t="shared" si="1"/>
        <v>-28.041785357888045</v>
      </c>
      <c r="W35" s="397">
        <f t="shared" si="2"/>
        <v>9360</v>
      </c>
    </row>
    <row r="36" spans="1:23" s="397" customFormat="1" ht="16.399999999999999" customHeight="1">
      <c r="A36" s="397" t="s">
        <v>350</v>
      </c>
      <c r="B36" s="398" t="s">
        <v>949</v>
      </c>
      <c r="C36" s="398" t="s">
        <v>240</v>
      </c>
      <c r="D36" s="398"/>
      <c r="E36" s="398" t="s">
        <v>908</v>
      </c>
      <c r="F36" s="398" t="s">
        <v>909</v>
      </c>
      <c r="G36" s="398" t="s">
        <v>42</v>
      </c>
      <c r="H36" s="399">
        <v>18</v>
      </c>
      <c r="I36" s="399">
        <v>59</v>
      </c>
      <c r="J36" s="399">
        <v>1136</v>
      </c>
      <c r="K36" s="399">
        <f t="shared" si="0"/>
        <v>18.933333333333334</v>
      </c>
      <c r="L36" s="399" t="s">
        <v>56</v>
      </c>
      <c r="M36" s="400" t="s">
        <v>354</v>
      </c>
      <c r="N36" s="399" t="s">
        <v>426</v>
      </c>
      <c r="O36" s="401" t="s">
        <v>950</v>
      </c>
      <c r="P36" s="402">
        <v>1136</v>
      </c>
      <c r="Q36" s="399">
        <v>19</v>
      </c>
      <c r="R36" s="399">
        <v>18</v>
      </c>
      <c r="S36" s="399">
        <v>58.9</v>
      </c>
      <c r="T36" s="399">
        <v>1138.9000000000001</v>
      </c>
      <c r="U36" s="403">
        <v>340</v>
      </c>
      <c r="V36" s="404">
        <f t="shared" si="1"/>
        <v>8.2459765943935395</v>
      </c>
      <c r="W36" s="397">
        <f t="shared" si="2"/>
        <v>7724.7999999999993</v>
      </c>
    </row>
    <row r="37" spans="1:23" s="397" customFormat="1" ht="16.399999999999999" customHeight="1">
      <c r="A37" s="397" t="s">
        <v>350</v>
      </c>
      <c r="B37" s="398" t="s">
        <v>949</v>
      </c>
      <c r="C37" s="398" t="s">
        <v>240</v>
      </c>
      <c r="D37" s="398"/>
      <c r="E37" s="398" t="s">
        <v>908</v>
      </c>
      <c r="F37" s="398" t="s">
        <v>909</v>
      </c>
      <c r="G37" s="398" t="s">
        <v>43</v>
      </c>
      <c r="H37" s="399">
        <v>17</v>
      </c>
      <c r="I37" s="399">
        <v>63</v>
      </c>
      <c r="J37" s="399">
        <v>1082</v>
      </c>
      <c r="K37" s="399">
        <f t="shared" si="0"/>
        <v>18.033333333333335</v>
      </c>
      <c r="L37" s="399" t="s">
        <v>56</v>
      </c>
      <c r="M37" s="400" t="s">
        <v>354</v>
      </c>
      <c r="N37" s="399" t="s">
        <v>847</v>
      </c>
      <c r="O37" s="401" t="s">
        <v>951</v>
      </c>
      <c r="P37" s="402">
        <v>1082.3</v>
      </c>
      <c r="Q37" s="399">
        <v>18</v>
      </c>
      <c r="R37" s="399">
        <v>18</v>
      </c>
      <c r="S37" s="399">
        <v>8.8000000000000007</v>
      </c>
      <c r="T37" s="399">
        <v>1088.8</v>
      </c>
      <c r="U37" s="403">
        <v>335</v>
      </c>
      <c r="V37" s="404">
        <f t="shared" si="1"/>
        <v>3.7100063503583556</v>
      </c>
      <c r="W37" s="397">
        <f t="shared" si="2"/>
        <v>7249.4000000000005</v>
      </c>
    </row>
    <row r="38" spans="1:23" s="397" customFormat="1" ht="16.399999999999999" customHeight="1">
      <c r="A38" s="397" t="s">
        <v>350</v>
      </c>
      <c r="B38" s="398" t="s">
        <v>949</v>
      </c>
      <c r="C38" s="398" t="s">
        <v>240</v>
      </c>
      <c r="D38" s="398"/>
      <c r="E38" s="398" t="s">
        <v>908</v>
      </c>
      <c r="F38" s="398" t="s">
        <v>909</v>
      </c>
      <c r="G38" s="398" t="s">
        <v>45</v>
      </c>
      <c r="H38" s="399">
        <v>6</v>
      </c>
      <c r="I38" s="399">
        <v>46</v>
      </c>
      <c r="J38" s="399">
        <v>405</v>
      </c>
      <c r="K38" s="399">
        <f t="shared" si="0"/>
        <v>6.75</v>
      </c>
      <c r="L38" s="399" t="s">
        <v>356</v>
      </c>
      <c r="M38" s="400" t="s">
        <v>354</v>
      </c>
      <c r="N38" s="399" t="s">
        <v>932</v>
      </c>
      <c r="O38" s="401" t="s">
        <v>952</v>
      </c>
      <c r="P38" s="402">
        <v>405.4</v>
      </c>
      <c r="Q38" s="399">
        <v>7</v>
      </c>
      <c r="R38" s="399">
        <v>6</v>
      </c>
      <c r="S38" s="399">
        <v>46.7</v>
      </c>
      <c r="T38" s="399">
        <v>406.7</v>
      </c>
      <c r="U38" s="403">
        <v>300</v>
      </c>
      <c r="V38" s="404">
        <f t="shared" si="1"/>
        <v>-28.041785357888045</v>
      </c>
      <c r="W38" s="397">
        <f t="shared" si="2"/>
        <v>2430</v>
      </c>
    </row>
    <row r="39" spans="1:23" s="397" customFormat="1" ht="16.399999999999999" customHeight="1">
      <c r="A39" s="397" t="s">
        <v>350</v>
      </c>
      <c r="B39" s="398" t="s">
        <v>949</v>
      </c>
      <c r="C39" s="398" t="s">
        <v>240</v>
      </c>
      <c r="D39" s="398"/>
      <c r="E39" s="398" t="s">
        <v>908</v>
      </c>
      <c r="F39" s="398" t="s">
        <v>909</v>
      </c>
      <c r="G39" s="398" t="s">
        <v>44</v>
      </c>
      <c r="H39" s="399">
        <v>3</v>
      </c>
      <c r="I39" s="399">
        <v>31</v>
      </c>
      <c r="J39" s="399">
        <v>210</v>
      </c>
      <c r="K39" s="399">
        <f t="shared" si="0"/>
        <v>3.5</v>
      </c>
      <c r="L39" s="399" t="s">
        <v>56</v>
      </c>
      <c r="M39" s="400" t="s">
        <v>354</v>
      </c>
      <c r="N39" s="399" t="s">
        <v>847</v>
      </c>
      <c r="O39" s="401" t="s">
        <v>953</v>
      </c>
      <c r="P39" s="402">
        <v>210.7</v>
      </c>
      <c r="Q39" s="399">
        <v>4</v>
      </c>
      <c r="R39" s="399">
        <v>3</v>
      </c>
      <c r="S39" s="399">
        <v>30.4</v>
      </c>
      <c r="T39" s="399">
        <v>210.4</v>
      </c>
      <c r="U39" s="403">
        <v>335</v>
      </c>
      <c r="V39" s="404">
        <f t="shared" si="1"/>
        <v>3.7100063503583556</v>
      </c>
      <c r="W39" s="397">
        <f t="shared" si="2"/>
        <v>1407</v>
      </c>
    </row>
    <row r="40" spans="1:23" s="397" customFormat="1" ht="16.399999999999999" customHeight="1">
      <c r="A40" s="397" t="s">
        <v>350</v>
      </c>
      <c r="B40" s="398" t="s">
        <v>210</v>
      </c>
      <c r="C40" s="398" t="s">
        <v>353</v>
      </c>
      <c r="D40" s="398"/>
      <c r="E40" s="398" t="s">
        <v>908</v>
      </c>
      <c r="F40" s="398" t="s">
        <v>909</v>
      </c>
      <c r="G40" s="398" t="s">
        <v>45</v>
      </c>
      <c r="H40" s="399">
        <v>19</v>
      </c>
      <c r="I40" s="399">
        <v>47</v>
      </c>
      <c r="J40" s="399">
        <v>1190</v>
      </c>
      <c r="K40" s="399">
        <f t="shared" si="0"/>
        <v>19.833333333333332</v>
      </c>
      <c r="L40" s="399" t="s">
        <v>54</v>
      </c>
      <c r="M40" s="400" t="s">
        <v>354</v>
      </c>
      <c r="N40" s="399" t="s">
        <v>435</v>
      </c>
      <c r="O40" s="401">
        <v>70375</v>
      </c>
      <c r="P40" s="402">
        <v>1190.2</v>
      </c>
      <c r="Q40" s="399">
        <v>20</v>
      </c>
      <c r="R40" s="399">
        <v>19</v>
      </c>
      <c r="S40" s="399">
        <v>58</v>
      </c>
      <c r="T40" s="399">
        <v>1198</v>
      </c>
      <c r="U40" s="403">
        <v>310</v>
      </c>
      <c r="V40" s="404">
        <f t="shared" si="1"/>
        <v>-18.969844869817678</v>
      </c>
      <c r="W40" s="397">
        <f t="shared" si="2"/>
        <v>7377.9999999999991</v>
      </c>
    </row>
    <row r="41" spans="1:23" s="397" customFormat="1" ht="16.399999999999999" customHeight="1">
      <c r="A41" s="397" t="s">
        <v>350</v>
      </c>
      <c r="B41" s="398" t="s">
        <v>280</v>
      </c>
      <c r="C41" s="398" t="s">
        <v>238</v>
      </c>
      <c r="D41" s="398"/>
      <c r="E41" s="398" t="s">
        <v>908</v>
      </c>
      <c r="F41" s="398" t="s">
        <v>909</v>
      </c>
      <c r="G41" s="398" t="s">
        <v>44</v>
      </c>
      <c r="H41" s="399">
        <v>7</v>
      </c>
      <c r="I41" s="399">
        <v>13</v>
      </c>
      <c r="J41" s="399">
        <v>432</v>
      </c>
      <c r="K41" s="399">
        <f t="shared" si="0"/>
        <v>7.2</v>
      </c>
      <c r="L41" s="399" t="s">
        <v>54</v>
      </c>
      <c r="M41" s="400" t="s">
        <v>354</v>
      </c>
      <c r="N41" s="399" t="s">
        <v>697</v>
      </c>
      <c r="O41" s="401" t="s">
        <v>954</v>
      </c>
      <c r="P41" s="402">
        <v>432.7</v>
      </c>
      <c r="Q41" s="399"/>
      <c r="R41" s="399"/>
      <c r="S41" s="399"/>
      <c r="T41" s="399"/>
      <c r="U41" s="403">
        <v>335</v>
      </c>
      <c r="V41" s="404">
        <f t="shared" si="1"/>
        <v>3.7100063503583556</v>
      </c>
      <c r="W41" s="397">
        <f t="shared" si="2"/>
        <v>2894.4</v>
      </c>
    </row>
    <row r="42" spans="1:23" s="397" customFormat="1" ht="16.399999999999999" customHeight="1">
      <c r="A42" s="397" t="s">
        <v>350</v>
      </c>
      <c r="B42" s="398" t="s">
        <v>955</v>
      </c>
      <c r="C42" s="398" t="s">
        <v>240</v>
      </c>
      <c r="D42" s="398"/>
      <c r="E42" s="398" t="s">
        <v>908</v>
      </c>
      <c r="F42" s="398" t="s">
        <v>909</v>
      </c>
      <c r="G42" s="398" t="s">
        <v>43</v>
      </c>
      <c r="H42" s="399">
        <v>21</v>
      </c>
      <c r="I42" s="399">
        <v>47</v>
      </c>
      <c r="J42" s="399">
        <v>1307</v>
      </c>
      <c r="K42" s="399">
        <f t="shared" si="0"/>
        <v>21.783333333333335</v>
      </c>
      <c r="L42" s="399" t="s">
        <v>54</v>
      </c>
      <c r="M42" s="400" t="s">
        <v>354</v>
      </c>
      <c r="N42" s="399" t="s">
        <v>697</v>
      </c>
      <c r="O42" s="401" t="s">
        <v>956</v>
      </c>
      <c r="P42" s="402">
        <v>1307.3</v>
      </c>
      <c r="Q42" s="399"/>
      <c r="R42" s="399"/>
      <c r="S42" s="399"/>
      <c r="T42" s="399"/>
      <c r="U42" s="403">
        <v>335</v>
      </c>
      <c r="V42" s="404">
        <f t="shared" si="1"/>
        <v>3.7100063503583556</v>
      </c>
      <c r="W42" s="397">
        <f t="shared" si="2"/>
        <v>8756.9</v>
      </c>
    </row>
    <row r="43" spans="1:23" s="397" customFormat="1" ht="16.399999999999999" customHeight="1">
      <c r="A43" s="397" t="s">
        <v>350</v>
      </c>
      <c r="B43" s="398" t="s">
        <v>688</v>
      </c>
      <c r="C43" s="398" t="s">
        <v>242</v>
      </c>
      <c r="D43" s="398"/>
      <c r="E43" s="398" t="s">
        <v>908</v>
      </c>
      <c r="F43" s="398" t="s">
        <v>909</v>
      </c>
      <c r="G43" s="398" t="s">
        <v>42</v>
      </c>
      <c r="H43" s="399">
        <v>9</v>
      </c>
      <c r="I43" s="399">
        <v>27</v>
      </c>
      <c r="J43" s="399">
        <v>564</v>
      </c>
      <c r="K43" s="399">
        <f t="shared" si="0"/>
        <v>9.4</v>
      </c>
      <c r="L43" s="399" t="s">
        <v>54</v>
      </c>
      <c r="M43" s="400" t="s">
        <v>354</v>
      </c>
      <c r="N43" s="399" t="s">
        <v>434</v>
      </c>
      <c r="O43" s="401" t="s">
        <v>957</v>
      </c>
      <c r="P43" s="402">
        <v>564.1</v>
      </c>
      <c r="Q43" s="399"/>
      <c r="R43" s="399"/>
      <c r="S43" s="399"/>
      <c r="T43" s="399"/>
      <c r="U43" s="403">
        <v>340</v>
      </c>
      <c r="V43" s="404">
        <f t="shared" si="1"/>
        <v>8.2459765943935395</v>
      </c>
      <c r="W43" s="397">
        <f t="shared" si="2"/>
        <v>3835.2</v>
      </c>
    </row>
    <row r="44" spans="1:23" s="397" customFormat="1" ht="16.399999999999999" customHeight="1">
      <c r="A44" s="397" t="s">
        <v>350</v>
      </c>
      <c r="B44" s="398" t="s">
        <v>688</v>
      </c>
      <c r="C44" s="398" t="s">
        <v>242</v>
      </c>
      <c r="D44" s="398"/>
      <c r="E44" s="398" t="s">
        <v>908</v>
      </c>
      <c r="F44" s="398" t="s">
        <v>909</v>
      </c>
      <c r="G44" s="398" t="s">
        <v>43</v>
      </c>
      <c r="H44" s="399">
        <v>9</v>
      </c>
      <c r="I44" s="399">
        <v>33</v>
      </c>
      <c r="J44" s="399">
        <v>569</v>
      </c>
      <c r="K44" s="399">
        <f t="shared" si="0"/>
        <v>9.4833333333333325</v>
      </c>
      <c r="L44" s="399" t="s">
        <v>57</v>
      </c>
      <c r="M44" s="400" t="s">
        <v>354</v>
      </c>
      <c r="N44" s="399" t="s">
        <v>847</v>
      </c>
      <c r="O44" s="401" t="s">
        <v>958</v>
      </c>
      <c r="P44" s="402">
        <v>569.1</v>
      </c>
      <c r="Q44" s="399"/>
      <c r="R44" s="399"/>
      <c r="S44" s="399"/>
      <c r="T44" s="399"/>
      <c r="U44" s="403">
        <v>335</v>
      </c>
      <c r="V44" s="404">
        <f t="shared" si="1"/>
        <v>3.7100063503583556</v>
      </c>
      <c r="W44" s="397">
        <f t="shared" si="2"/>
        <v>3812.2999999999997</v>
      </c>
    </row>
    <row r="45" spans="1:23" s="397" customFormat="1" ht="16.399999999999999" customHeight="1">
      <c r="A45" s="397" t="s">
        <v>350</v>
      </c>
      <c r="B45" s="398" t="s">
        <v>688</v>
      </c>
      <c r="C45" s="398" t="s">
        <v>242</v>
      </c>
      <c r="D45" s="398"/>
      <c r="E45" s="398" t="s">
        <v>908</v>
      </c>
      <c r="F45" s="398" t="s">
        <v>909</v>
      </c>
      <c r="G45" s="398" t="s">
        <v>45</v>
      </c>
      <c r="H45" s="399">
        <v>3</v>
      </c>
      <c r="I45" s="399">
        <v>53</v>
      </c>
      <c r="J45" s="399">
        <v>232</v>
      </c>
      <c r="K45" s="399">
        <f t="shared" si="0"/>
        <v>3.8666666666666667</v>
      </c>
      <c r="L45" s="399" t="s">
        <v>59</v>
      </c>
      <c r="M45" s="400" t="s">
        <v>856</v>
      </c>
      <c r="N45" s="399" t="s">
        <v>927</v>
      </c>
      <c r="O45" s="401" t="s">
        <v>959</v>
      </c>
      <c r="P45" s="402">
        <v>232.7</v>
      </c>
      <c r="Q45" s="399"/>
      <c r="R45" s="399"/>
      <c r="S45" s="399"/>
      <c r="T45" s="399"/>
      <c r="U45" s="403">
        <v>280</v>
      </c>
      <c r="V45" s="404">
        <f t="shared" si="1"/>
        <v>-46.185666334028838</v>
      </c>
      <c r="W45" s="397">
        <f t="shared" si="2"/>
        <v>1299.2</v>
      </c>
    </row>
    <row r="46" spans="1:23" s="397" customFormat="1" ht="16.399999999999999" customHeight="1">
      <c r="A46" s="397" t="s">
        <v>350</v>
      </c>
      <c r="B46" s="398" t="s">
        <v>689</v>
      </c>
      <c r="C46" s="398" t="s">
        <v>352</v>
      </c>
      <c r="D46" s="398"/>
      <c r="E46" s="398" t="s">
        <v>908</v>
      </c>
      <c r="F46" s="398" t="s">
        <v>909</v>
      </c>
      <c r="G46" s="398" t="s">
        <v>42</v>
      </c>
      <c r="H46" s="399">
        <v>92</v>
      </c>
      <c r="I46" s="399">
        <v>39</v>
      </c>
      <c r="J46" s="399">
        <v>5526</v>
      </c>
      <c r="K46" s="399">
        <f t="shared" si="0"/>
        <v>92.1</v>
      </c>
      <c r="L46" s="399" t="s">
        <v>54</v>
      </c>
      <c r="M46" s="400" t="s">
        <v>354</v>
      </c>
      <c r="N46" s="399" t="s">
        <v>434</v>
      </c>
      <c r="O46" s="401" t="s">
        <v>960</v>
      </c>
      <c r="P46" s="402">
        <v>5526.6</v>
      </c>
      <c r="Q46" s="399">
        <v>93</v>
      </c>
      <c r="R46" s="399">
        <v>92</v>
      </c>
      <c r="S46" s="399">
        <v>51.3</v>
      </c>
      <c r="T46" s="399">
        <v>5571.3</v>
      </c>
      <c r="U46" s="403">
        <v>340</v>
      </c>
      <c r="V46" s="404">
        <f t="shared" si="1"/>
        <v>8.2459765943935395</v>
      </c>
      <c r="W46" s="397">
        <f t="shared" si="2"/>
        <v>37576.799999999996</v>
      </c>
    </row>
    <row r="47" spans="1:23" s="397" customFormat="1" ht="16.399999999999999" customHeight="1">
      <c r="A47" s="397" t="s">
        <v>350</v>
      </c>
      <c r="B47" s="398" t="s">
        <v>689</v>
      </c>
      <c r="C47" s="398" t="s">
        <v>352</v>
      </c>
      <c r="D47" s="398"/>
      <c r="E47" s="398" t="s">
        <v>908</v>
      </c>
      <c r="F47" s="398" t="s">
        <v>909</v>
      </c>
      <c r="G47" s="398" t="s">
        <v>43</v>
      </c>
      <c r="H47" s="399">
        <v>82</v>
      </c>
      <c r="I47" s="399">
        <v>36</v>
      </c>
      <c r="J47" s="399">
        <v>4920</v>
      </c>
      <c r="K47" s="399">
        <f t="shared" si="0"/>
        <v>82</v>
      </c>
      <c r="L47" s="399" t="s">
        <v>356</v>
      </c>
      <c r="M47" s="400" t="s">
        <v>354</v>
      </c>
      <c r="N47" s="399" t="s">
        <v>847</v>
      </c>
      <c r="O47" s="401" t="s">
        <v>961</v>
      </c>
      <c r="P47" s="402">
        <v>4920.5</v>
      </c>
      <c r="Q47" s="399">
        <v>83</v>
      </c>
      <c r="R47" s="399">
        <v>82</v>
      </c>
      <c r="S47" s="399">
        <v>30.3</v>
      </c>
      <c r="T47" s="399">
        <v>4950.3</v>
      </c>
      <c r="U47" s="403">
        <v>300</v>
      </c>
      <c r="V47" s="404">
        <f t="shared" si="1"/>
        <v>-28.041785357888045</v>
      </c>
      <c r="W47" s="397">
        <f t="shared" si="2"/>
        <v>29520</v>
      </c>
    </row>
    <row r="48" spans="1:23" s="397" customFormat="1" ht="16.399999999999999" customHeight="1">
      <c r="A48" s="397" t="s">
        <v>350</v>
      </c>
      <c r="B48" s="398" t="s">
        <v>689</v>
      </c>
      <c r="C48" s="398" t="s">
        <v>352</v>
      </c>
      <c r="D48" s="398"/>
      <c r="E48" s="398" t="s">
        <v>908</v>
      </c>
      <c r="F48" s="398" t="s">
        <v>909</v>
      </c>
      <c r="G48" s="398" t="s">
        <v>45</v>
      </c>
      <c r="H48" s="399">
        <v>24</v>
      </c>
      <c r="I48" s="399">
        <v>21</v>
      </c>
      <c r="J48" s="399">
        <v>1449</v>
      </c>
      <c r="K48" s="399">
        <f t="shared" si="0"/>
        <v>24.15</v>
      </c>
      <c r="L48" s="399" t="s">
        <v>356</v>
      </c>
      <c r="M48" s="400" t="s">
        <v>354</v>
      </c>
      <c r="N48" s="399" t="s">
        <v>932</v>
      </c>
      <c r="O48" s="401" t="s">
        <v>962</v>
      </c>
      <c r="P48" s="402">
        <v>1449.9</v>
      </c>
      <c r="Q48" s="399">
        <v>25</v>
      </c>
      <c r="R48" s="399">
        <v>24</v>
      </c>
      <c r="S48" s="399">
        <v>25.5</v>
      </c>
      <c r="T48" s="399">
        <v>1465.5</v>
      </c>
      <c r="U48" s="403">
        <v>305</v>
      </c>
      <c r="V48" s="404">
        <f t="shared" si="1"/>
        <v>-23.505815113852861</v>
      </c>
      <c r="W48" s="397">
        <f t="shared" si="2"/>
        <v>8838.9</v>
      </c>
    </row>
    <row r="49" spans="1:23" s="397" customFormat="1" ht="16.399999999999999" customHeight="1">
      <c r="A49" s="397" t="s">
        <v>350</v>
      </c>
      <c r="B49" s="398" t="s">
        <v>690</v>
      </c>
      <c r="C49" s="398" t="s">
        <v>242</v>
      </c>
      <c r="D49" s="398"/>
      <c r="E49" s="398" t="s">
        <v>908</v>
      </c>
      <c r="F49" s="398" t="s">
        <v>909</v>
      </c>
      <c r="G49" s="398" t="s">
        <v>42</v>
      </c>
      <c r="H49" s="399">
        <v>12</v>
      </c>
      <c r="I49" s="399">
        <v>59</v>
      </c>
      <c r="J49" s="399">
        <v>777</v>
      </c>
      <c r="K49" s="399">
        <f t="shared" si="0"/>
        <v>12.95</v>
      </c>
      <c r="L49" s="399" t="s">
        <v>356</v>
      </c>
      <c r="M49" s="400" t="s">
        <v>354</v>
      </c>
      <c r="N49" s="399" t="s">
        <v>847</v>
      </c>
      <c r="O49" s="401" t="s">
        <v>963</v>
      </c>
      <c r="P49" s="402">
        <v>777.8</v>
      </c>
      <c r="Q49" s="399">
        <v>13</v>
      </c>
      <c r="R49" s="399">
        <v>12</v>
      </c>
      <c r="S49" s="399">
        <v>59.3</v>
      </c>
      <c r="T49" s="399">
        <v>779.3</v>
      </c>
      <c r="U49" s="403">
        <v>325</v>
      </c>
      <c r="V49" s="404">
        <f t="shared" si="1"/>
        <v>-5.3619341377120691</v>
      </c>
      <c r="W49" s="397">
        <f t="shared" si="2"/>
        <v>5050.5</v>
      </c>
    </row>
    <row r="50" spans="1:23" s="397" customFormat="1" ht="16.399999999999999" customHeight="1">
      <c r="A50" s="397" t="s">
        <v>350</v>
      </c>
      <c r="B50" s="398" t="s">
        <v>690</v>
      </c>
      <c r="C50" s="398" t="s">
        <v>242</v>
      </c>
      <c r="D50" s="398"/>
      <c r="E50" s="398" t="s">
        <v>908</v>
      </c>
      <c r="F50" s="398" t="s">
        <v>909</v>
      </c>
      <c r="G50" s="398" t="s">
        <v>43</v>
      </c>
      <c r="H50" s="399">
        <v>15</v>
      </c>
      <c r="I50" s="399">
        <v>8</v>
      </c>
      <c r="J50" s="399">
        <v>905</v>
      </c>
      <c r="K50" s="399">
        <f t="shared" si="0"/>
        <v>15.083333333333334</v>
      </c>
      <c r="L50" s="399" t="s">
        <v>356</v>
      </c>
      <c r="M50" s="400" t="s">
        <v>354</v>
      </c>
      <c r="N50" s="399" t="s">
        <v>847</v>
      </c>
      <c r="O50" s="401" t="s">
        <v>964</v>
      </c>
      <c r="P50" s="402">
        <v>905.1</v>
      </c>
      <c r="Q50" s="399">
        <v>16</v>
      </c>
      <c r="R50" s="399">
        <v>15</v>
      </c>
      <c r="S50" s="399">
        <v>8.6</v>
      </c>
      <c r="T50" s="399">
        <v>908.6</v>
      </c>
      <c r="U50" s="403">
        <v>300</v>
      </c>
      <c r="V50" s="404">
        <f t="shared" si="1"/>
        <v>-28.041785357888045</v>
      </c>
      <c r="W50" s="397">
        <f t="shared" si="2"/>
        <v>5430</v>
      </c>
    </row>
    <row r="51" spans="1:23" s="397" customFormat="1" ht="16.399999999999999" customHeight="1">
      <c r="A51" s="397" t="s">
        <v>350</v>
      </c>
      <c r="B51" s="398" t="s">
        <v>690</v>
      </c>
      <c r="C51" s="398" t="s">
        <v>242</v>
      </c>
      <c r="D51" s="398"/>
      <c r="E51" s="398" t="s">
        <v>908</v>
      </c>
      <c r="F51" s="398" t="s">
        <v>909</v>
      </c>
      <c r="G51" s="398" t="s">
        <v>45</v>
      </c>
      <c r="H51" s="399">
        <v>9</v>
      </c>
      <c r="I51" s="399">
        <v>43</v>
      </c>
      <c r="J51" s="399">
        <v>578</v>
      </c>
      <c r="K51" s="399">
        <f t="shared" si="0"/>
        <v>9.6333333333333329</v>
      </c>
      <c r="L51" s="399" t="s">
        <v>60</v>
      </c>
      <c r="M51" s="400" t="s">
        <v>856</v>
      </c>
      <c r="N51" s="399" t="s">
        <v>856</v>
      </c>
      <c r="O51" s="401" t="s">
        <v>965</v>
      </c>
      <c r="P51" s="402">
        <v>578.70000000000005</v>
      </c>
      <c r="Q51" s="399"/>
      <c r="R51" s="399"/>
      <c r="S51" s="399"/>
      <c r="T51" s="399"/>
      <c r="U51" s="403">
        <v>270</v>
      </c>
      <c r="V51" s="404">
        <f t="shared" si="1"/>
        <v>-55.257606822099262</v>
      </c>
      <c r="W51" s="397">
        <f t="shared" si="2"/>
        <v>3121.2</v>
      </c>
    </row>
    <row r="52" spans="1:23" s="397" customFormat="1" ht="16.399999999999999" customHeight="1">
      <c r="A52" s="397" t="s">
        <v>350</v>
      </c>
      <c r="B52" s="398" t="s">
        <v>966</v>
      </c>
      <c r="C52" s="398" t="s">
        <v>352</v>
      </c>
      <c r="D52" s="398"/>
      <c r="E52" s="398" t="s">
        <v>908</v>
      </c>
      <c r="F52" s="398" t="s">
        <v>909</v>
      </c>
      <c r="G52" s="398" t="s">
        <v>51</v>
      </c>
      <c r="H52" s="399">
        <v>52</v>
      </c>
      <c r="I52" s="399">
        <v>10</v>
      </c>
      <c r="J52" s="399">
        <v>3130</v>
      </c>
      <c r="K52" s="399">
        <f t="shared" si="0"/>
        <v>52.166666666666664</v>
      </c>
      <c r="L52" s="399" t="s">
        <v>356</v>
      </c>
      <c r="M52" s="400" t="s">
        <v>354</v>
      </c>
      <c r="N52" s="399" t="s">
        <v>847</v>
      </c>
      <c r="O52" s="401" t="s">
        <v>967</v>
      </c>
      <c r="P52" s="402">
        <v>3130.1</v>
      </c>
      <c r="Q52" s="337">
        <v>53</v>
      </c>
      <c r="R52" s="338">
        <v>52</v>
      </c>
      <c r="S52" s="337">
        <v>20.3</v>
      </c>
      <c r="T52" s="338">
        <v>3140.3</v>
      </c>
      <c r="U52" s="403">
        <v>300</v>
      </c>
      <c r="V52" s="404">
        <f t="shared" si="1"/>
        <v>-28.041785357888045</v>
      </c>
      <c r="W52" s="397">
        <f t="shared" si="2"/>
        <v>18780</v>
      </c>
    </row>
    <row r="53" spans="1:23" s="397" customFormat="1" ht="16.399999999999999" customHeight="1">
      <c r="A53" s="397" t="s">
        <v>350</v>
      </c>
      <c r="B53" s="398" t="s">
        <v>966</v>
      </c>
      <c r="C53" s="398" t="s">
        <v>352</v>
      </c>
      <c r="D53" s="398"/>
      <c r="E53" s="398" t="s">
        <v>908</v>
      </c>
      <c r="F53" s="398" t="s">
        <v>909</v>
      </c>
      <c r="G53" s="398" t="s">
        <v>52</v>
      </c>
      <c r="H53" s="399">
        <v>8</v>
      </c>
      <c r="I53" s="399">
        <v>30</v>
      </c>
      <c r="J53" s="399">
        <v>509</v>
      </c>
      <c r="K53" s="399">
        <f t="shared" si="0"/>
        <v>8.4833333333333325</v>
      </c>
      <c r="L53" s="399" t="s">
        <v>355</v>
      </c>
      <c r="M53" s="400" t="s">
        <v>856</v>
      </c>
      <c r="N53" s="399" t="s">
        <v>1062</v>
      </c>
      <c r="O53" s="401" t="s">
        <v>968</v>
      </c>
      <c r="P53" s="402">
        <v>509.4</v>
      </c>
      <c r="Q53" s="399"/>
      <c r="R53" s="399"/>
      <c r="S53" s="399"/>
      <c r="T53" s="399"/>
      <c r="U53" s="403">
        <v>150</v>
      </c>
      <c r="V53" s="404">
        <f t="shared" si="1"/>
        <v>-164.12089267894402</v>
      </c>
      <c r="W53" s="397">
        <f t="shared" si="2"/>
        <v>1526.9999999999998</v>
      </c>
    </row>
    <row r="54" spans="1:23" s="397" customFormat="1" ht="16.399999999999999" customHeight="1">
      <c r="A54" s="397" t="s">
        <v>350</v>
      </c>
      <c r="B54" s="398" t="s">
        <v>969</v>
      </c>
      <c r="C54" s="398" t="s">
        <v>970</v>
      </c>
      <c r="D54" s="398"/>
      <c r="E54" s="398" t="s">
        <v>908</v>
      </c>
      <c r="F54" s="398" t="s">
        <v>909</v>
      </c>
      <c r="G54" s="398" t="s">
        <v>51</v>
      </c>
      <c r="H54" s="399">
        <v>80</v>
      </c>
      <c r="I54" s="399">
        <v>30</v>
      </c>
      <c r="J54" s="399">
        <v>4810</v>
      </c>
      <c r="K54" s="399">
        <f t="shared" si="0"/>
        <v>80.166666666666671</v>
      </c>
      <c r="L54" s="399" t="s">
        <v>356</v>
      </c>
      <c r="M54" s="400" t="s">
        <v>354</v>
      </c>
      <c r="N54" s="399" t="s">
        <v>847</v>
      </c>
      <c r="O54" s="401" t="s">
        <v>971</v>
      </c>
      <c r="P54" s="402">
        <v>4810</v>
      </c>
      <c r="Q54" s="399"/>
      <c r="R54" s="399"/>
      <c r="S54" s="399"/>
      <c r="T54" s="399"/>
      <c r="U54" s="403">
        <v>300</v>
      </c>
      <c r="V54" s="404">
        <f t="shared" si="1"/>
        <v>-28.041785357888045</v>
      </c>
      <c r="W54" s="397">
        <f t="shared" si="2"/>
        <v>28860</v>
      </c>
    </row>
    <row r="55" spans="1:23" s="397" customFormat="1" ht="16.399999999999999" customHeight="1">
      <c r="A55" s="397" t="s">
        <v>350</v>
      </c>
      <c r="B55" s="398" t="s">
        <v>969</v>
      </c>
      <c r="C55" s="398" t="s">
        <v>682</v>
      </c>
      <c r="D55" s="398"/>
      <c r="E55" s="398" t="s">
        <v>908</v>
      </c>
      <c r="F55" s="398" t="s">
        <v>909</v>
      </c>
      <c r="G55" s="398" t="s">
        <v>52</v>
      </c>
      <c r="H55" s="399">
        <v>4</v>
      </c>
      <c r="I55" s="399">
        <v>14</v>
      </c>
      <c r="J55" s="399">
        <v>252</v>
      </c>
      <c r="K55" s="399">
        <f t="shared" si="0"/>
        <v>4.2</v>
      </c>
      <c r="L55" s="399" t="s">
        <v>62</v>
      </c>
      <c r="M55" s="400" t="s">
        <v>856</v>
      </c>
      <c r="N55" s="399" t="s">
        <v>972</v>
      </c>
      <c r="O55" s="401" t="s">
        <v>973</v>
      </c>
      <c r="P55" s="402">
        <v>252.5</v>
      </c>
      <c r="Q55" s="399"/>
      <c r="R55" s="399"/>
      <c r="S55" s="399"/>
      <c r="T55" s="399"/>
      <c r="U55" s="403">
        <v>230</v>
      </c>
      <c r="V55" s="404">
        <f t="shared" si="1"/>
        <v>-91.545368774380847</v>
      </c>
      <c r="W55" s="397">
        <f t="shared" si="2"/>
        <v>1159.2</v>
      </c>
    </row>
    <row r="56" spans="1:23" s="397" customFormat="1" ht="16.399999999999999" customHeight="1">
      <c r="A56" s="397" t="s">
        <v>350</v>
      </c>
      <c r="B56" s="398" t="s">
        <v>691</v>
      </c>
      <c r="C56" s="398" t="s">
        <v>238</v>
      </c>
      <c r="D56" s="398"/>
      <c r="E56" s="398" t="s">
        <v>908</v>
      </c>
      <c r="F56" s="398" t="s">
        <v>909</v>
      </c>
      <c r="G56" s="398" t="s">
        <v>42</v>
      </c>
      <c r="H56" s="399">
        <v>91</v>
      </c>
      <c r="I56" s="399">
        <v>45</v>
      </c>
      <c r="J56" s="399">
        <v>5480</v>
      </c>
      <c r="K56" s="399">
        <f t="shared" si="0"/>
        <v>91.333333333333329</v>
      </c>
      <c r="L56" s="399" t="s">
        <v>45</v>
      </c>
      <c r="M56" s="400" t="s">
        <v>354</v>
      </c>
      <c r="N56" s="399" t="s">
        <v>434</v>
      </c>
      <c r="O56" s="401" t="s">
        <v>974</v>
      </c>
      <c r="P56" s="402">
        <v>5480</v>
      </c>
      <c r="Q56" s="399"/>
      <c r="R56" s="399"/>
      <c r="S56" s="399"/>
      <c r="T56" s="399"/>
      <c r="U56" s="403">
        <v>340</v>
      </c>
      <c r="V56" s="404">
        <f t="shared" si="1"/>
        <v>8.2459765943935395</v>
      </c>
      <c r="W56" s="397">
        <f t="shared" si="2"/>
        <v>37264</v>
      </c>
    </row>
    <row r="57" spans="1:23" s="397" customFormat="1" ht="16.399999999999999" customHeight="1">
      <c r="A57" s="397" t="s">
        <v>350</v>
      </c>
      <c r="B57" s="398" t="s">
        <v>691</v>
      </c>
      <c r="C57" s="398" t="s">
        <v>238</v>
      </c>
      <c r="D57" s="398"/>
      <c r="E57" s="398" t="s">
        <v>908</v>
      </c>
      <c r="F57" s="398" t="s">
        <v>909</v>
      </c>
      <c r="G57" s="398" t="s">
        <v>43</v>
      </c>
      <c r="H57" s="399">
        <v>86</v>
      </c>
      <c r="I57" s="399">
        <v>37</v>
      </c>
      <c r="J57" s="399">
        <v>5174</v>
      </c>
      <c r="K57" s="399">
        <f t="shared" si="0"/>
        <v>86.233333333333334</v>
      </c>
      <c r="L57" s="399" t="s">
        <v>45</v>
      </c>
      <c r="M57" s="400" t="s">
        <v>354</v>
      </c>
      <c r="N57" s="399" t="s">
        <v>697</v>
      </c>
      <c r="O57" s="401" t="s">
        <v>975</v>
      </c>
      <c r="P57" s="402">
        <v>5174.2</v>
      </c>
      <c r="Q57" s="399"/>
      <c r="R57" s="399"/>
      <c r="S57" s="399"/>
      <c r="T57" s="399"/>
      <c r="U57" s="403">
        <v>335</v>
      </c>
      <c r="V57" s="404">
        <f t="shared" si="1"/>
        <v>3.7100063503583556</v>
      </c>
      <c r="W57" s="397">
        <f t="shared" si="2"/>
        <v>34665.800000000003</v>
      </c>
    </row>
    <row r="58" spans="1:23" s="397" customFormat="1" ht="16.399999999999999" customHeight="1">
      <c r="A58" s="397" t="s">
        <v>350</v>
      </c>
      <c r="B58" s="398" t="s">
        <v>691</v>
      </c>
      <c r="C58" s="398" t="s">
        <v>238</v>
      </c>
      <c r="D58" s="398"/>
      <c r="E58" s="398" t="s">
        <v>908</v>
      </c>
      <c r="F58" s="398" t="s">
        <v>909</v>
      </c>
      <c r="G58" s="398" t="s">
        <v>45</v>
      </c>
      <c r="H58" s="399">
        <v>19</v>
      </c>
      <c r="I58" s="399">
        <v>20</v>
      </c>
      <c r="J58" s="399">
        <v>1155</v>
      </c>
      <c r="K58" s="399">
        <f t="shared" si="0"/>
        <v>19.25</v>
      </c>
      <c r="L58" s="399" t="s">
        <v>356</v>
      </c>
      <c r="M58" s="400" t="s">
        <v>354</v>
      </c>
      <c r="N58" s="399" t="s">
        <v>932</v>
      </c>
      <c r="O58" s="401" t="s">
        <v>976</v>
      </c>
      <c r="P58" s="402">
        <v>1155.3</v>
      </c>
      <c r="Q58" s="399"/>
      <c r="R58" s="399"/>
      <c r="S58" s="399"/>
      <c r="T58" s="399"/>
      <c r="U58" s="403">
        <v>305</v>
      </c>
      <c r="V58" s="404">
        <f t="shared" si="1"/>
        <v>-23.505815113852861</v>
      </c>
      <c r="W58" s="397">
        <f t="shared" si="2"/>
        <v>7045.5</v>
      </c>
    </row>
    <row r="59" spans="1:23" s="397" customFormat="1" ht="16.399999999999999" customHeight="1">
      <c r="A59" s="397" t="s">
        <v>350</v>
      </c>
      <c r="B59" s="398" t="s">
        <v>368</v>
      </c>
      <c r="C59" s="398" t="s">
        <v>237</v>
      </c>
      <c r="D59" s="398"/>
      <c r="E59" s="398" t="s">
        <v>908</v>
      </c>
      <c r="F59" s="398" t="s">
        <v>909</v>
      </c>
      <c r="G59" s="398" t="s">
        <v>42</v>
      </c>
      <c r="H59" s="399">
        <v>49</v>
      </c>
      <c r="I59" s="399">
        <v>24</v>
      </c>
      <c r="J59" s="399">
        <v>2949</v>
      </c>
      <c r="K59" s="399">
        <f t="shared" si="0"/>
        <v>49.15</v>
      </c>
      <c r="L59" s="399" t="s">
        <v>45</v>
      </c>
      <c r="M59" s="400" t="s">
        <v>354</v>
      </c>
      <c r="N59" s="399" t="s">
        <v>434</v>
      </c>
      <c r="O59" s="401" t="s">
        <v>977</v>
      </c>
      <c r="P59" s="402">
        <v>2949.6</v>
      </c>
      <c r="Q59" s="399">
        <v>50</v>
      </c>
      <c r="R59" s="399">
        <v>49</v>
      </c>
      <c r="S59" s="399">
        <v>25</v>
      </c>
      <c r="T59" s="399">
        <v>2965</v>
      </c>
      <c r="U59" s="403">
        <v>340</v>
      </c>
      <c r="V59" s="404">
        <f t="shared" si="1"/>
        <v>8.2459765943935395</v>
      </c>
      <c r="W59" s="397">
        <f t="shared" si="2"/>
        <v>20053.2</v>
      </c>
    </row>
    <row r="60" spans="1:23" s="397" customFormat="1" ht="16.399999999999999" customHeight="1">
      <c r="A60" s="397" t="s">
        <v>350</v>
      </c>
      <c r="B60" s="398" t="s">
        <v>368</v>
      </c>
      <c r="C60" s="398" t="s">
        <v>237</v>
      </c>
      <c r="D60" s="398"/>
      <c r="E60" s="398" t="s">
        <v>908</v>
      </c>
      <c r="F60" s="398" t="s">
        <v>909</v>
      </c>
      <c r="G60" s="398" t="s">
        <v>43</v>
      </c>
      <c r="H60" s="399">
        <v>61</v>
      </c>
      <c r="I60" s="399">
        <v>61</v>
      </c>
      <c r="J60" s="399">
        <v>3702</v>
      </c>
      <c r="K60" s="399">
        <f t="shared" si="0"/>
        <v>61.7</v>
      </c>
      <c r="L60" s="399" t="s">
        <v>94</v>
      </c>
      <c r="M60" s="400" t="s">
        <v>910</v>
      </c>
      <c r="N60" s="399" t="s">
        <v>464</v>
      </c>
      <c r="O60" s="401" t="s">
        <v>978</v>
      </c>
      <c r="P60" s="402">
        <v>3702.2</v>
      </c>
      <c r="Q60" s="399">
        <v>62</v>
      </c>
      <c r="R60" s="399">
        <v>62</v>
      </c>
      <c r="S60" s="399">
        <v>5.2</v>
      </c>
      <c r="T60" s="399">
        <v>3725.2</v>
      </c>
      <c r="U60" s="403">
        <v>350</v>
      </c>
      <c r="V60" s="404">
        <f t="shared" si="1"/>
        <v>17.317917082463907</v>
      </c>
      <c r="W60" s="397">
        <f t="shared" si="2"/>
        <v>25914</v>
      </c>
    </row>
    <row r="61" spans="1:23" s="397" customFormat="1" ht="16.399999999999999" customHeight="1">
      <c r="A61" s="397" t="s">
        <v>350</v>
      </c>
      <c r="B61" s="398" t="s">
        <v>368</v>
      </c>
      <c r="C61" s="398" t="s">
        <v>237</v>
      </c>
      <c r="D61" s="398"/>
      <c r="E61" s="398" t="s">
        <v>908</v>
      </c>
      <c r="F61" s="398" t="s">
        <v>909</v>
      </c>
      <c r="G61" s="398" t="s">
        <v>45</v>
      </c>
      <c r="H61" s="399">
        <v>17</v>
      </c>
      <c r="I61" s="399">
        <v>11</v>
      </c>
      <c r="J61" s="399">
        <v>1028</v>
      </c>
      <c r="K61" s="399">
        <f t="shared" si="0"/>
        <v>17.133333333333333</v>
      </c>
      <c r="L61" s="399" t="s">
        <v>54</v>
      </c>
      <c r="M61" s="400" t="s">
        <v>354</v>
      </c>
      <c r="N61" s="399" t="s">
        <v>435</v>
      </c>
      <c r="O61" s="401" t="s">
        <v>979</v>
      </c>
      <c r="P61" s="402">
        <v>1028.2</v>
      </c>
      <c r="Q61" s="399"/>
      <c r="R61" s="399"/>
      <c r="S61" s="399"/>
      <c r="T61" s="399"/>
      <c r="U61" s="403">
        <v>310</v>
      </c>
      <c r="V61" s="404">
        <f t="shared" si="1"/>
        <v>-18.969844869817678</v>
      </c>
      <c r="W61" s="397">
        <f t="shared" si="2"/>
        <v>6373.5999999999995</v>
      </c>
    </row>
    <row r="62" spans="1:23" s="397" customFormat="1" ht="16.399999999999999" customHeight="1">
      <c r="A62" s="397" t="s">
        <v>350</v>
      </c>
      <c r="B62" s="398" t="s">
        <v>980</v>
      </c>
      <c r="C62" s="398" t="s">
        <v>981</v>
      </c>
      <c r="D62" s="398"/>
      <c r="E62" s="398" t="s">
        <v>908</v>
      </c>
      <c r="F62" s="398" t="s">
        <v>909</v>
      </c>
      <c r="G62" s="398" t="s">
        <v>51</v>
      </c>
      <c r="H62" s="399">
        <v>53</v>
      </c>
      <c r="I62" s="399">
        <v>62</v>
      </c>
      <c r="J62" s="399">
        <v>3228</v>
      </c>
      <c r="K62" s="399">
        <f t="shared" si="0"/>
        <v>53.8</v>
      </c>
      <c r="L62" s="399" t="s">
        <v>356</v>
      </c>
      <c r="M62" s="400" t="s">
        <v>354</v>
      </c>
      <c r="N62" s="399" t="s">
        <v>847</v>
      </c>
      <c r="O62" s="401" t="s">
        <v>982</v>
      </c>
      <c r="P62" s="402">
        <v>3228</v>
      </c>
      <c r="Q62" s="399"/>
      <c r="R62" s="399"/>
      <c r="S62" s="399"/>
      <c r="T62" s="399"/>
      <c r="U62" s="403">
        <v>300</v>
      </c>
      <c r="V62" s="404">
        <f t="shared" si="1"/>
        <v>-28.041785357888045</v>
      </c>
      <c r="W62" s="397">
        <f t="shared" si="2"/>
        <v>19368</v>
      </c>
    </row>
    <row r="63" spans="1:23" s="397" customFormat="1" ht="16.399999999999999" customHeight="1">
      <c r="A63" s="397" t="s">
        <v>350</v>
      </c>
      <c r="B63" s="398" t="s">
        <v>980</v>
      </c>
      <c r="C63" s="398" t="s">
        <v>981</v>
      </c>
      <c r="D63" s="398"/>
      <c r="E63" s="398" t="s">
        <v>908</v>
      </c>
      <c r="F63" s="398" t="s">
        <v>909</v>
      </c>
      <c r="G63" s="398" t="s">
        <v>52</v>
      </c>
      <c r="H63" s="399">
        <v>9</v>
      </c>
      <c r="I63" s="399">
        <v>42</v>
      </c>
      <c r="J63" s="399">
        <v>580</v>
      </c>
      <c r="K63" s="399">
        <f t="shared" si="0"/>
        <v>9.6666666666666661</v>
      </c>
      <c r="L63" s="399" t="s">
        <v>355</v>
      </c>
      <c r="M63" s="400" t="s">
        <v>856</v>
      </c>
      <c r="N63" s="399" t="s">
        <v>1062</v>
      </c>
      <c r="O63" s="401" t="s">
        <v>983</v>
      </c>
      <c r="P63" s="402">
        <v>580</v>
      </c>
      <c r="Q63" s="399"/>
      <c r="R63" s="399"/>
      <c r="S63" s="399"/>
      <c r="T63" s="399"/>
      <c r="U63" s="403">
        <v>150</v>
      </c>
      <c r="V63" s="404">
        <f t="shared" si="1"/>
        <v>-164.12089267894402</v>
      </c>
      <c r="W63" s="397">
        <f t="shared" si="2"/>
        <v>1740</v>
      </c>
    </row>
    <row r="64" spans="1:23" s="397" customFormat="1" ht="16.399999999999999" customHeight="1">
      <c r="A64" s="397" t="s">
        <v>350</v>
      </c>
      <c r="B64" s="398" t="s">
        <v>692</v>
      </c>
      <c r="C64" s="398" t="s">
        <v>984</v>
      </c>
      <c r="D64" s="398"/>
      <c r="E64" s="398" t="s">
        <v>908</v>
      </c>
      <c r="F64" s="398" t="s">
        <v>909</v>
      </c>
      <c r="G64" s="398" t="s">
        <v>42</v>
      </c>
      <c r="H64" s="399">
        <v>87</v>
      </c>
      <c r="I64" s="399">
        <v>64</v>
      </c>
      <c r="J64" s="399">
        <v>5254</v>
      </c>
      <c r="K64" s="399">
        <f t="shared" si="0"/>
        <v>87.566666666666663</v>
      </c>
      <c r="L64" s="399" t="s">
        <v>54</v>
      </c>
      <c r="M64" s="400" t="s">
        <v>354</v>
      </c>
      <c r="N64" s="399" t="s">
        <v>434</v>
      </c>
      <c r="O64" s="401" t="s">
        <v>985</v>
      </c>
      <c r="P64" s="402">
        <v>5254.7</v>
      </c>
      <c r="Q64" s="399"/>
      <c r="R64" s="399"/>
      <c r="S64" s="399"/>
      <c r="T64" s="399"/>
      <c r="U64" s="403">
        <v>340</v>
      </c>
      <c r="V64" s="404">
        <f t="shared" si="1"/>
        <v>8.2459765943935395</v>
      </c>
      <c r="W64" s="397">
        <f t="shared" si="2"/>
        <v>35727.199999999997</v>
      </c>
    </row>
    <row r="65" spans="1:23" s="397" customFormat="1" ht="16.399999999999999" customHeight="1">
      <c r="A65" s="397" t="s">
        <v>350</v>
      </c>
      <c r="B65" s="398" t="s">
        <v>692</v>
      </c>
      <c r="C65" s="398" t="s">
        <v>984</v>
      </c>
      <c r="D65" s="398"/>
      <c r="E65" s="398" t="s">
        <v>908</v>
      </c>
      <c r="F65" s="398" t="s">
        <v>909</v>
      </c>
      <c r="G65" s="398" t="s">
        <v>43</v>
      </c>
      <c r="H65" s="399">
        <v>81</v>
      </c>
      <c r="I65" s="399">
        <v>25</v>
      </c>
      <c r="J65" s="399">
        <v>4873</v>
      </c>
      <c r="K65" s="399">
        <f t="shared" si="0"/>
        <v>81.216666666666669</v>
      </c>
      <c r="L65" s="399" t="s">
        <v>56</v>
      </c>
      <c r="M65" s="400" t="s">
        <v>354</v>
      </c>
      <c r="N65" s="399" t="s">
        <v>847</v>
      </c>
      <c r="O65" s="401" t="s">
        <v>986</v>
      </c>
      <c r="P65" s="402">
        <v>4873.8999999999996</v>
      </c>
      <c r="Q65" s="399"/>
      <c r="R65" s="399"/>
      <c r="S65" s="399"/>
      <c r="T65" s="399"/>
      <c r="U65" s="403">
        <v>335</v>
      </c>
      <c r="V65" s="404">
        <f t="shared" si="1"/>
        <v>3.7100063503583556</v>
      </c>
      <c r="W65" s="397">
        <f t="shared" si="2"/>
        <v>32649.100000000002</v>
      </c>
    </row>
    <row r="66" spans="1:23" s="397" customFormat="1" ht="16.399999999999999" customHeight="1">
      <c r="A66" s="397" t="s">
        <v>350</v>
      </c>
      <c r="B66" s="398" t="s">
        <v>692</v>
      </c>
      <c r="C66" s="398" t="s">
        <v>984</v>
      </c>
      <c r="D66" s="398"/>
      <c r="E66" s="398" t="s">
        <v>908</v>
      </c>
      <c r="F66" s="398" t="s">
        <v>909</v>
      </c>
      <c r="G66" s="398" t="s">
        <v>45</v>
      </c>
      <c r="H66" s="399">
        <v>23</v>
      </c>
      <c r="I66" s="399">
        <v>17</v>
      </c>
      <c r="J66" s="399">
        <v>1391</v>
      </c>
      <c r="K66" s="399">
        <f t="shared" si="0"/>
        <v>23.183333333333334</v>
      </c>
      <c r="L66" s="399" t="s">
        <v>397</v>
      </c>
      <c r="M66" s="400" t="s">
        <v>856</v>
      </c>
      <c r="N66" s="399" t="s">
        <v>927</v>
      </c>
      <c r="O66" s="401" t="s">
        <v>987</v>
      </c>
      <c r="P66" s="402">
        <v>1391.6</v>
      </c>
      <c r="Q66" s="399"/>
      <c r="R66" s="399"/>
      <c r="S66" s="399"/>
      <c r="T66" s="399"/>
      <c r="U66" s="403">
        <v>280</v>
      </c>
      <c r="V66" s="404">
        <f t="shared" si="1"/>
        <v>-46.185666334028838</v>
      </c>
      <c r="W66" s="397">
        <f t="shared" si="2"/>
        <v>7789.5999999999995</v>
      </c>
    </row>
    <row r="67" spans="1:23" s="397" customFormat="1" ht="16.399999999999999" customHeight="1">
      <c r="A67" s="397" t="s">
        <v>350</v>
      </c>
      <c r="B67" s="398" t="s">
        <v>988</v>
      </c>
      <c r="C67" s="398" t="s">
        <v>989</v>
      </c>
      <c r="D67" s="398"/>
      <c r="E67" s="398" t="s">
        <v>908</v>
      </c>
      <c r="F67" s="398" t="s">
        <v>909</v>
      </c>
      <c r="G67" s="398" t="s">
        <v>51</v>
      </c>
      <c r="H67" s="399">
        <v>14</v>
      </c>
      <c r="I67" s="399">
        <v>43</v>
      </c>
      <c r="J67" s="399">
        <v>879</v>
      </c>
      <c r="K67" s="399">
        <f t="shared" si="0"/>
        <v>14.65</v>
      </c>
      <c r="L67" s="399" t="s">
        <v>60</v>
      </c>
      <c r="M67" s="400" t="s">
        <v>856</v>
      </c>
      <c r="N67" s="400" t="s">
        <v>856</v>
      </c>
      <c r="O67" s="401" t="s">
        <v>990</v>
      </c>
      <c r="P67" s="416">
        <v>879</v>
      </c>
      <c r="Q67" s="399"/>
      <c r="R67" s="400"/>
      <c r="S67" s="400"/>
      <c r="T67" s="400"/>
      <c r="U67" s="403">
        <v>270</v>
      </c>
      <c r="V67" s="404">
        <f t="shared" si="1"/>
        <v>-55.257606822099262</v>
      </c>
      <c r="W67" s="397">
        <f t="shared" si="2"/>
        <v>4746.5999999999995</v>
      </c>
    </row>
    <row r="68" spans="1:23" s="397" customFormat="1" ht="16.399999999999999" customHeight="1">
      <c r="A68" s="397" t="s">
        <v>350</v>
      </c>
      <c r="B68" s="398" t="s">
        <v>988</v>
      </c>
      <c r="C68" s="398" t="s">
        <v>989</v>
      </c>
      <c r="D68" s="398"/>
      <c r="E68" s="398" t="s">
        <v>908</v>
      </c>
      <c r="F68" s="398" t="s">
        <v>909</v>
      </c>
      <c r="G68" s="398" t="s">
        <v>52</v>
      </c>
      <c r="H68" s="399">
        <v>6</v>
      </c>
      <c r="I68" s="399">
        <v>8</v>
      </c>
      <c r="J68" s="399">
        <v>366</v>
      </c>
      <c r="K68" s="399">
        <f t="shared" ref="K68:K93" si="3">+J68/60</f>
        <v>6.1</v>
      </c>
      <c r="L68" s="399" t="s">
        <v>62</v>
      </c>
      <c r="M68" s="400" t="s">
        <v>856</v>
      </c>
      <c r="N68" s="399" t="s">
        <v>972</v>
      </c>
      <c r="O68" s="401" t="s">
        <v>991</v>
      </c>
      <c r="P68" s="402">
        <v>366.4</v>
      </c>
      <c r="Q68" s="399"/>
      <c r="R68" s="399"/>
      <c r="S68" s="399"/>
      <c r="T68" s="399"/>
      <c r="U68" s="403">
        <v>230</v>
      </c>
      <c r="V68" s="404">
        <f t="shared" ref="V68:V131" si="4">U68/1.1023-$X$1</f>
        <v>-91.545368774380847</v>
      </c>
      <c r="W68" s="397">
        <f t="shared" si="2"/>
        <v>1683.6</v>
      </c>
    </row>
    <row r="69" spans="1:23" s="397" customFormat="1" ht="16.399999999999999" customHeight="1">
      <c r="A69" s="397" t="s">
        <v>350</v>
      </c>
      <c r="B69" s="398" t="s">
        <v>992</v>
      </c>
      <c r="C69" s="398" t="s">
        <v>352</v>
      </c>
      <c r="D69" s="398"/>
      <c r="E69" s="398" t="s">
        <v>908</v>
      </c>
      <c r="F69" s="398" t="s">
        <v>909</v>
      </c>
      <c r="G69" s="398" t="s">
        <v>51</v>
      </c>
      <c r="H69" s="399">
        <v>46</v>
      </c>
      <c r="I69" s="399">
        <v>37</v>
      </c>
      <c r="J69" s="399">
        <v>2770</v>
      </c>
      <c r="K69" s="399">
        <f t="shared" si="3"/>
        <v>46.166666666666664</v>
      </c>
      <c r="L69" s="399" t="s">
        <v>60</v>
      </c>
      <c r="M69" s="400" t="s">
        <v>856</v>
      </c>
      <c r="N69" s="400" t="s">
        <v>856</v>
      </c>
      <c r="O69" s="401" t="s">
        <v>993</v>
      </c>
      <c r="P69" s="416">
        <v>2770.9</v>
      </c>
      <c r="Q69" s="399"/>
      <c r="R69" s="400"/>
      <c r="S69" s="400"/>
      <c r="T69" s="400"/>
      <c r="U69" s="403">
        <v>270</v>
      </c>
      <c r="V69" s="404">
        <f t="shared" si="4"/>
        <v>-55.257606822099262</v>
      </c>
      <c r="W69" s="397">
        <f t="shared" ref="W69:W132" si="5">(J69/60*U69)*1.2</f>
        <v>14958</v>
      </c>
    </row>
    <row r="70" spans="1:23" s="397" customFormat="1" ht="16.399999999999999" customHeight="1">
      <c r="A70" s="397" t="s">
        <v>350</v>
      </c>
      <c r="B70" s="398" t="s">
        <v>992</v>
      </c>
      <c r="C70" s="398" t="s">
        <v>352</v>
      </c>
      <c r="D70" s="398"/>
      <c r="E70" s="398" t="s">
        <v>908</v>
      </c>
      <c r="F70" s="398" t="s">
        <v>909</v>
      </c>
      <c r="G70" s="398" t="s">
        <v>52</v>
      </c>
      <c r="H70" s="399">
        <v>3</v>
      </c>
      <c r="I70" s="399">
        <v>43</v>
      </c>
      <c r="J70" s="399">
        <v>221</v>
      </c>
      <c r="K70" s="399">
        <f t="shared" si="3"/>
        <v>3.6833333333333331</v>
      </c>
      <c r="L70" s="399" t="s">
        <v>62</v>
      </c>
      <c r="M70" s="400" t="s">
        <v>856</v>
      </c>
      <c r="N70" s="399" t="s">
        <v>972</v>
      </c>
      <c r="O70" s="401" t="s">
        <v>994</v>
      </c>
      <c r="P70" s="402">
        <v>221.2</v>
      </c>
      <c r="Q70" s="399"/>
      <c r="R70" s="399"/>
      <c r="S70" s="399"/>
      <c r="T70" s="399"/>
      <c r="U70" s="403">
        <v>230</v>
      </c>
      <c r="V70" s="404">
        <f t="shared" si="4"/>
        <v>-91.545368774380847</v>
      </c>
      <c r="W70" s="397">
        <f t="shared" si="5"/>
        <v>1016.5999999999999</v>
      </c>
    </row>
    <row r="71" spans="1:23" s="397" customFormat="1" ht="16.399999999999999" customHeight="1">
      <c r="A71" s="397" t="s">
        <v>350</v>
      </c>
      <c r="B71" s="398" t="s">
        <v>693</v>
      </c>
      <c r="C71" s="398" t="s">
        <v>685</v>
      </c>
      <c r="D71" s="398"/>
      <c r="E71" s="398" t="s">
        <v>908</v>
      </c>
      <c r="F71" s="398" t="s">
        <v>909</v>
      </c>
      <c r="G71" s="398" t="s">
        <v>42</v>
      </c>
      <c r="H71" s="399">
        <v>26</v>
      </c>
      <c r="I71" s="399">
        <v>15</v>
      </c>
      <c r="J71" s="399">
        <v>1575</v>
      </c>
      <c r="K71" s="399">
        <f t="shared" si="3"/>
        <v>26.25</v>
      </c>
      <c r="L71" s="399" t="s">
        <v>56</v>
      </c>
      <c r="M71" s="400" t="s">
        <v>354</v>
      </c>
      <c r="N71" s="399" t="s">
        <v>426</v>
      </c>
      <c r="O71" s="401" t="s">
        <v>995</v>
      </c>
      <c r="P71" s="402">
        <v>1575.2</v>
      </c>
      <c r="Q71" s="399">
        <v>27</v>
      </c>
      <c r="R71" s="399">
        <v>26</v>
      </c>
      <c r="S71" s="399">
        <v>21.7</v>
      </c>
      <c r="T71" s="399">
        <v>1581.7</v>
      </c>
      <c r="U71" s="403">
        <v>340</v>
      </c>
      <c r="V71" s="404">
        <f t="shared" si="4"/>
        <v>8.2459765943935395</v>
      </c>
      <c r="W71" s="397">
        <f t="shared" si="5"/>
        <v>10710</v>
      </c>
    </row>
    <row r="72" spans="1:23" s="397" customFormat="1" ht="16.399999999999999" customHeight="1">
      <c r="A72" s="397" t="s">
        <v>350</v>
      </c>
      <c r="B72" s="398" t="s">
        <v>693</v>
      </c>
      <c r="C72" s="398" t="s">
        <v>685</v>
      </c>
      <c r="D72" s="398"/>
      <c r="E72" s="398" t="s">
        <v>908</v>
      </c>
      <c r="F72" s="398" t="s">
        <v>909</v>
      </c>
      <c r="G72" s="398" t="s">
        <v>43</v>
      </c>
      <c r="H72" s="399">
        <v>26</v>
      </c>
      <c r="I72" s="399">
        <v>65</v>
      </c>
      <c r="J72" s="399">
        <v>1624</v>
      </c>
      <c r="K72" s="399">
        <f t="shared" si="3"/>
        <v>27.066666666666666</v>
      </c>
      <c r="L72" s="399" t="s">
        <v>57</v>
      </c>
      <c r="M72" s="400" t="s">
        <v>354</v>
      </c>
      <c r="N72" s="399" t="s">
        <v>847</v>
      </c>
      <c r="O72" s="401" t="s">
        <v>996</v>
      </c>
      <c r="P72" s="402">
        <v>1624.4</v>
      </c>
      <c r="Q72" s="399">
        <v>27</v>
      </c>
      <c r="R72" s="399">
        <v>27</v>
      </c>
      <c r="S72" s="399">
        <v>12.7</v>
      </c>
      <c r="T72" s="399">
        <v>1632.7</v>
      </c>
      <c r="U72" s="403">
        <v>335</v>
      </c>
      <c r="V72" s="404">
        <f t="shared" si="4"/>
        <v>3.7100063503583556</v>
      </c>
      <c r="W72" s="397">
        <f t="shared" si="5"/>
        <v>10880.800000000001</v>
      </c>
    </row>
    <row r="73" spans="1:23" s="397" customFormat="1" ht="16.399999999999999" customHeight="1">
      <c r="A73" s="397" t="s">
        <v>350</v>
      </c>
      <c r="B73" s="398" t="s">
        <v>693</v>
      </c>
      <c r="C73" s="398" t="s">
        <v>685</v>
      </c>
      <c r="D73" s="398"/>
      <c r="E73" s="398" t="s">
        <v>908</v>
      </c>
      <c r="F73" s="398" t="s">
        <v>909</v>
      </c>
      <c r="G73" s="398" t="s">
        <v>45</v>
      </c>
      <c r="H73" s="399">
        <v>12</v>
      </c>
      <c r="I73" s="399">
        <v>8</v>
      </c>
      <c r="J73" s="399">
        <v>728</v>
      </c>
      <c r="K73" s="399">
        <f t="shared" si="3"/>
        <v>12.133333333333333</v>
      </c>
      <c r="L73" s="399" t="s">
        <v>356</v>
      </c>
      <c r="M73" s="400" t="s">
        <v>354</v>
      </c>
      <c r="N73" s="399" t="s">
        <v>932</v>
      </c>
      <c r="O73" s="401" t="s">
        <v>997</v>
      </c>
      <c r="P73" s="402">
        <v>728.4</v>
      </c>
      <c r="Q73" s="399">
        <v>13</v>
      </c>
      <c r="R73" s="399">
        <v>12</v>
      </c>
      <c r="S73" s="399">
        <v>10.3</v>
      </c>
      <c r="T73" s="399">
        <v>730.3</v>
      </c>
      <c r="U73" s="403">
        <v>305</v>
      </c>
      <c r="V73" s="404">
        <f t="shared" si="4"/>
        <v>-23.505815113852861</v>
      </c>
      <c r="W73" s="397">
        <f t="shared" si="5"/>
        <v>4440.7999999999993</v>
      </c>
    </row>
    <row r="74" spans="1:23" s="397" customFormat="1" ht="16.399999999999999" customHeight="1">
      <c r="A74" s="397" t="s">
        <v>350</v>
      </c>
      <c r="B74" s="398" t="s">
        <v>693</v>
      </c>
      <c r="C74" s="398" t="s">
        <v>685</v>
      </c>
      <c r="D74" s="398"/>
      <c r="E74" s="398" t="s">
        <v>908</v>
      </c>
      <c r="F74" s="398" t="s">
        <v>909</v>
      </c>
      <c r="G74" s="398" t="s">
        <v>44</v>
      </c>
      <c r="H74" s="399">
        <v>5</v>
      </c>
      <c r="I74" s="399">
        <v>22</v>
      </c>
      <c r="J74" s="399">
        <v>321</v>
      </c>
      <c r="K74" s="399">
        <f t="shared" si="3"/>
        <v>5.35</v>
      </c>
      <c r="L74" s="399" t="s">
        <v>56</v>
      </c>
      <c r="M74" s="400" t="s">
        <v>354</v>
      </c>
      <c r="N74" s="399" t="s">
        <v>847</v>
      </c>
      <c r="O74" s="401" t="s">
        <v>998</v>
      </c>
      <c r="P74" s="402">
        <v>321.3</v>
      </c>
      <c r="Q74" s="337">
        <v>6</v>
      </c>
      <c r="R74" s="338">
        <v>5</v>
      </c>
      <c r="S74" s="337">
        <v>24.6</v>
      </c>
      <c r="T74" s="338">
        <v>324.60000000000002</v>
      </c>
      <c r="U74" s="403">
        <v>335</v>
      </c>
      <c r="V74" s="404">
        <f t="shared" si="4"/>
        <v>3.7100063503583556</v>
      </c>
      <c r="W74" s="397">
        <f t="shared" si="5"/>
        <v>2150.6999999999998</v>
      </c>
    </row>
    <row r="75" spans="1:23" s="397" customFormat="1" ht="16.399999999999999" customHeight="1">
      <c r="A75" s="397" t="s">
        <v>350</v>
      </c>
      <c r="B75" s="398" t="s">
        <v>999</v>
      </c>
      <c r="C75" s="398" t="s">
        <v>237</v>
      </c>
      <c r="D75" s="398"/>
      <c r="E75" s="398" t="s">
        <v>908</v>
      </c>
      <c r="F75" s="398" t="s">
        <v>909</v>
      </c>
      <c r="G75" s="398" t="s">
        <v>51</v>
      </c>
      <c r="H75" s="399">
        <v>85</v>
      </c>
      <c r="I75" s="399">
        <v>23</v>
      </c>
      <c r="J75" s="399">
        <v>5109</v>
      </c>
      <c r="K75" s="399">
        <f t="shared" si="3"/>
        <v>85.15</v>
      </c>
      <c r="L75" s="399" t="s">
        <v>56</v>
      </c>
      <c r="M75" s="400" t="s">
        <v>354</v>
      </c>
      <c r="N75" s="399" t="s">
        <v>847</v>
      </c>
      <c r="O75" s="401" t="s">
        <v>1000</v>
      </c>
      <c r="P75" s="402">
        <v>5109.5</v>
      </c>
      <c r="Q75" s="399"/>
      <c r="R75" s="399"/>
      <c r="S75" s="399"/>
      <c r="T75" s="399"/>
      <c r="U75" s="403">
        <v>270</v>
      </c>
      <c r="V75" s="404">
        <f t="shared" si="4"/>
        <v>-55.257606822099262</v>
      </c>
      <c r="W75" s="397">
        <f t="shared" si="5"/>
        <v>27588.6</v>
      </c>
    </row>
    <row r="76" spans="1:23" s="397" customFormat="1" ht="16.399999999999999" customHeight="1">
      <c r="A76" s="397" t="s">
        <v>350</v>
      </c>
      <c r="B76" s="398" t="s">
        <v>999</v>
      </c>
      <c r="C76" s="398" t="s">
        <v>237</v>
      </c>
      <c r="D76" s="398"/>
      <c r="E76" s="398" t="s">
        <v>908</v>
      </c>
      <c r="F76" s="398" t="s">
        <v>909</v>
      </c>
      <c r="G76" s="398" t="s">
        <v>52</v>
      </c>
      <c r="H76" s="399">
        <v>6</v>
      </c>
      <c r="I76" s="399">
        <v>20</v>
      </c>
      <c r="J76" s="399">
        <v>371</v>
      </c>
      <c r="K76" s="399">
        <f t="shared" si="3"/>
        <v>6.1833333333333336</v>
      </c>
      <c r="L76" s="399" t="s">
        <v>62</v>
      </c>
      <c r="M76" s="400" t="s">
        <v>856</v>
      </c>
      <c r="N76" s="399" t="s">
        <v>972</v>
      </c>
      <c r="O76" s="401" t="s">
        <v>1001</v>
      </c>
      <c r="P76" s="402">
        <v>371.4</v>
      </c>
      <c r="Q76" s="399">
        <v>7</v>
      </c>
      <c r="R76" s="399">
        <v>6</v>
      </c>
      <c r="S76" s="399">
        <v>20.7</v>
      </c>
      <c r="T76" s="399">
        <v>380.7</v>
      </c>
      <c r="U76" s="403">
        <v>230</v>
      </c>
      <c r="V76" s="404">
        <f t="shared" si="4"/>
        <v>-91.545368774380847</v>
      </c>
      <c r="W76" s="397">
        <f t="shared" si="5"/>
        <v>1706.6000000000001</v>
      </c>
    </row>
    <row r="77" spans="1:23" s="397" customFormat="1" ht="16.399999999999999" customHeight="1">
      <c r="A77" s="397" t="s">
        <v>350</v>
      </c>
      <c r="B77" s="398" t="s">
        <v>372</v>
      </c>
      <c r="C77" s="398" t="s">
        <v>694</v>
      </c>
      <c r="D77" s="398"/>
      <c r="E77" s="398" t="s">
        <v>908</v>
      </c>
      <c r="F77" s="398" t="s">
        <v>909</v>
      </c>
      <c r="G77" s="398" t="s">
        <v>42</v>
      </c>
      <c r="H77" s="399">
        <v>22</v>
      </c>
      <c r="I77" s="399">
        <v>40</v>
      </c>
      <c r="J77" s="399">
        <v>1362</v>
      </c>
      <c r="K77" s="399">
        <f t="shared" si="3"/>
        <v>22.7</v>
      </c>
      <c r="L77" s="399" t="s">
        <v>45</v>
      </c>
      <c r="M77" s="400" t="s">
        <v>354</v>
      </c>
      <c r="N77" s="399" t="s">
        <v>434</v>
      </c>
      <c r="O77" s="401" t="s">
        <v>1002</v>
      </c>
      <c r="P77" s="402">
        <v>1362.6</v>
      </c>
      <c r="Q77" s="399">
        <v>23</v>
      </c>
      <c r="R77" s="399">
        <v>22</v>
      </c>
      <c r="S77" s="399">
        <v>46.3</v>
      </c>
      <c r="T77" s="399">
        <v>1366.3</v>
      </c>
      <c r="U77" s="403">
        <v>340</v>
      </c>
      <c r="V77" s="404">
        <f t="shared" si="4"/>
        <v>8.2459765943935395</v>
      </c>
      <c r="W77" s="397">
        <f t="shared" si="5"/>
        <v>9261.6</v>
      </c>
    </row>
    <row r="78" spans="1:23" s="397" customFormat="1" ht="16.399999999999999" customHeight="1">
      <c r="A78" s="397" t="s">
        <v>350</v>
      </c>
      <c r="B78" s="398" t="s">
        <v>372</v>
      </c>
      <c r="C78" s="398" t="s">
        <v>694</v>
      </c>
      <c r="D78" s="398"/>
      <c r="E78" s="398" t="s">
        <v>908</v>
      </c>
      <c r="F78" s="398" t="s">
        <v>909</v>
      </c>
      <c r="G78" s="398" t="s">
        <v>43</v>
      </c>
      <c r="H78" s="399">
        <v>30</v>
      </c>
      <c r="I78" s="399">
        <v>41</v>
      </c>
      <c r="J78" s="399">
        <v>1845</v>
      </c>
      <c r="K78" s="399">
        <f t="shared" si="3"/>
        <v>30.75</v>
      </c>
      <c r="L78" s="399" t="s">
        <v>45</v>
      </c>
      <c r="M78" s="400" t="s">
        <v>354</v>
      </c>
      <c r="N78" s="399" t="s">
        <v>697</v>
      </c>
      <c r="O78" s="401" t="s">
        <v>1003</v>
      </c>
      <c r="P78" s="402">
        <v>1845</v>
      </c>
      <c r="Q78" s="399">
        <v>31</v>
      </c>
      <c r="R78" s="399">
        <v>30</v>
      </c>
      <c r="S78" s="399">
        <v>58.1</v>
      </c>
      <c r="T78" s="399">
        <v>1858.1</v>
      </c>
      <c r="U78" s="403">
        <v>335</v>
      </c>
      <c r="V78" s="404">
        <f t="shared" si="4"/>
        <v>3.7100063503583556</v>
      </c>
      <c r="W78" s="397">
        <f t="shared" si="5"/>
        <v>12361.5</v>
      </c>
    </row>
    <row r="79" spans="1:23" s="397" customFormat="1" ht="16.399999999999999" customHeight="1">
      <c r="A79" s="397" t="s">
        <v>350</v>
      </c>
      <c r="B79" s="398" t="s">
        <v>372</v>
      </c>
      <c r="C79" s="398" t="s">
        <v>694</v>
      </c>
      <c r="D79" s="398"/>
      <c r="E79" s="398" t="s">
        <v>908</v>
      </c>
      <c r="F79" s="398" t="s">
        <v>909</v>
      </c>
      <c r="G79" s="398" t="s">
        <v>44</v>
      </c>
      <c r="H79" s="399">
        <v>3</v>
      </c>
      <c r="I79" s="399">
        <v>45</v>
      </c>
      <c r="J79" s="399">
        <v>225</v>
      </c>
      <c r="K79" s="399">
        <f t="shared" si="3"/>
        <v>3.75</v>
      </c>
      <c r="L79" s="399" t="s">
        <v>45</v>
      </c>
      <c r="M79" s="400" t="s">
        <v>354</v>
      </c>
      <c r="N79" s="399" t="s">
        <v>697</v>
      </c>
      <c r="O79" s="401" t="s">
        <v>1004</v>
      </c>
      <c r="P79" s="402">
        <v>225.7</v>
      </c>
      <c r="Q79" s="399">
        <v>4</v>
      </c>
      <c r="R79" s="399">
        <v>3</v>
      </c>
      <c r="S79" s="399">
        <v>46.4</v>
      </c>
      <c r="T79" s="399">
        <v>226.4</v>
      </c>
      <c r="U79" s="403">
        <v>335</v>
      </c>
      <c r="V79" s="404">
        <f t="shared" si="4"/>
        <v>3.7100063503583556</v>
      </c>
      <c r="W79" s="397">
        <f t="shared" si="5"/>
        <v>1507.5</v>
      </c>
    </row>
    <row r="80" spans="1:23" s="397" customFormat="1" ht="16.399999999999999" customHeight="1">
      <c r="A80" s="397" t="s">
        <v>350</v>
      </c>
      <c r="B80" s="398" t="s">
        <v>373</v>
      </c>
      <c r="C80" s="398" t="s">
        <v>233</v>
      </c>
      <c r="D80" s="398"/>
      <c r="E80" s="398" t="s">
        <v>908</v>
      </c>
      <c r="F80" s="398" t="s">
        <v>909</v>
      </c>
      <c r="G80" s="398" t="s">
        <v>43</v>
      </c>
      <c r="H80" s="399">
        <v>40</v>
      </c>
      <c r="I80" s="399">
        <v>26</v>
      </c>
      <c r="J80" s="399">
        <v>2423</v>
      </c>
      <c r="K80" s="399">
        <f t="shared" si="3"/>
        <v>40.383333333333333</v>
      </c>
      <c r="L80" s="399" t="s">
        <v>45</v>
      </c>
      <c r="M80" s="400" t="s">
        <v>354</v>
      </c>
      <c r="N80" s="399" t="s">
        <v>697</v>
      </c>
      <c r="O80" s="401">
        <v>70376</v>
      </c>
      <c r="P80" s="402">
        <v>2423.1</v>
      </c>
      <c r="Q80" s="399"/>
      <c r="R80" s="399"/>
      <c r="S80" s="399"/>
      <c r="T80" s="399"/>
      <c r="U80" s="403">
        <v>335</v>
      </c>
      <c r="V80" s="404">
        <f t="shared" si="4"/>
        <v>3.7100063503583556</v>
      </c>
      <c r="W80" s="397">
        <f t="shared" si="5"/>
        <v>16234.099999999999</v>
      </c>
    </row>
    <row r="81" spans="1:23" s="397" customFormat="1" ht="16.399999999999999" customHeight="1">
      <c r="A81" s="397" t="s">
        <v>350</v>
      </c>
      <c r="B81" s="398" t="s">
        <v>373</v>
      </c>
      <c r="C81" s="398" t="s">
        <v>233</v>
      </c>
      <c r="D81" s="398"/>
      <c r="E81" s="398" t="s">
        <v>908</v>
      </c>
      <c r="F81" s="398" t="s">
        <v>909</v>
      </c>
      <c r="G81" s="398" t="s">
        <v>45</v>
      </c>
      <c r="H81" s="399">
        <v>9</v>
      </c>
      <c r="I81" s="399">
        <v>24</v>
      </c>
      <c r="J81" s="399">
        <v>564</v>
      </c>
      <c r="K81" s="399">
        <f t="shared" si="3"/>
        <v>9.4</v>
      </c>
      <c r="L81" s="399" t="s">
        <v>56</v>
      </c>
      <c r="M81" s="400" t="s">
        <v>354</v>
      </c>
      <c r="N81" s="399" t="s">
        <v>847</v>
      </c>
      <c r="O81" s="401">
        <v>70377</v>
      </c>
      <c r="P81" s="402">
        <v>564</v>
      </c>
      <c r="Q81" s="399"/>
      <c r="R81" s="399"/>
      <c r="S81" s="399"/>
      <c r="T81" s="399"/>
      <c r="U81" s="403">
        <v>310</v>
      </c>
      <c r="V81" s="404">
        <f t="shared" si="4"/>
        <v>-18.969844869817678</v>
      </c>
      <c r="W81" s="397">
        <f t="shared" si="5"/>
        <v>3496.7999999999997</v>
      </c>
    </row>
    <row r="82" spans="1:23" s="397" customFormat="1" ht="16.399999999999999" customHeight="1">
      <c r="A82" s="397" t="s">
        <v>350</v>
      </c>
      <c r="B82" s="398" t="s">
        <v>695</v>
      </c>
      <c r="C82" s="398" t="s">
        <v>682</v>
      </c>
      <c r="D82" s="398"/>
      <c r="E82" s="398" t="s">
        <v>908</v>
      </c>
      <c r="F82" s="398" t="s">
        <v>909</v>
      </c>
      <c r="G82" s="398" t="s">
        <v>42</v>
      </c>
      <c r="H82" s="399">
        <v>32</v>
      </c>
      <c r="I82" s="399">
        <v>23</v>
      </c>
      <c r="J82" s="399">
        <v>1937</v>
      </c>
      <c r="K82" s="399">
        <f t="shared" si="3"/>
        <v>32.283333333333331</v>
      </c>
      <c r="L82" s="399" t="s">
        <v>45</v>
      </c>
      <c r="M82" s="400" t="s">
        <v>354</v>
      </c>
      <c r="N82" s="399" t="s">
        <v>434</v>
      </c>
      <c r="O82" s="401" t="s">
        <v>1005</v>
      </c>
      <c r="P82" s="402">
        <v>1937</v>
      </c>
      <c r="Q82" s="399">
        <v>33</v>
      </c>
      <c r="R82" s="399">
        <v>32</v>
      </c>
      <c r="S82" s="399">
        <v>23.3</v>
      </c>
      <c r="T82" s="399">
        <v>1943.3</v>
      </c>
      <c r="U82" s="403">
        <v>340</v>
      </c>
      <c r="V82" s="404">
        <f t="shared" si="4"/>
        <v>8.2459765943935395</v>
      </c>
      <c r="W82" s="397">
        <f t="shared" si="5"/>
        <v>13171.599999999999</v>
      </c>
    </row>
    <row r="83" spans="1:23" s="397" customFormat="1" ht="16.399999999999999" customHeight="1">
      <c r="A83" s="397" t="s">
        <v>350</v>
      </c>
      <c r="B83" s="398" t="s">
        <v>695</v>
      </c>
      <c r="C83" s="398" t="s">
        <v>238</v>
      </c>
      <c r="D83" s="398"/>
      <c r="E83" s="398" t="s">
        <v>908</v>
      </c>
      <c r="F83" s="398" t="s">
        <v>909</v>
      </c>
      <c r="G83" s="398" t="s">
        <v>43</v>
      </c>
      <c r="H83" s="399">
        <v>46</v>
      </c>
      <c r="I83" s="399">
        <v>7</v>
      </c>
      <c r="J83" s="399">
        <v>2738</v>
      </c>
      <c r="K83" s="399">
        <f t="shared" si="3"/>
        <v>45.633333333333333</v>
      </c>
      <c r="L83" s="399" t="s">
        <v>45</v>
      </c>
      <c r="M83" s="400" t="s">
        <v>354</v>
      </c>
      <c r="N83" s="399" t="s">
        <v>697</v>
      </c>
      <c r="O83" s="401" t="s">
        <v>1006</v>
      </c>
      <c r="P83" s="402">
        <v>2738.2</v>
      </c>
      <c r="Q83" s="399"/>
      <c r="R83" s="399"/>
      <c r="S83" s="399"/>
      <c r="T83" s="399"/>
      <c r="U83" s="403">
        <v>335</v>
      </c>
      <c r="V83" s="404">
        <f t="shared" si="4"/>
        <v>3.7100063503583556</v>
      </c>
      <c r="W83" s="397">
        <f t="shared" si="5"/>
        <v>18344.599999999999</v>
      </c>
    </row>
    <row r="84" spans="1:23" s="397" customFormat="1" ht="16.399999999999999" customHeight="1">
      <c r="A84" s="397" t="s">
        <v>350</v>
      </c>
      <c r="B84" s="398" t="s">
        <v>695</v>
      </c>
      <c r="C84" s="398" t="s">
        <v>682</v>
      </c>
      <c r="D84" s="398"/>
      <c r="E84" s="398" t="s">
        <v>908</v>
      </c>
      <c r="F84" s="398" t="s">
        <v>909</v>
      </c>
      <c r="G84" s="398" t="s">
        <v>45</v>
      </c>
      <c r="H84" s="399">
        <v>15</v>
      </c>
      <c r="I84" s="399">
        <v>7</v>
      </c>
      <c r="J84" s="399">
        <v>900</v>
      </c>
      <c r="K84" s="399">
        <f t="shared" si="3"/>
        <v>15</v>
      </c>
      <c r="L84" s="399" t="s">
        <v>56</v>
      </c>
      <c r="M84" s="400" t="s">
        <v>354</v>
      </c>
      <c r="N84" s="399" t="s">
        <v>847</v>
      </c>
      <c r="O84" s="401" t="s">
        <v>1007</v>
      </c>
      <c r="P84" s="402">
        <v>900.3</v>
      </c>
      <c r="Q84" s="399">
        <v>16</v>
      </c>
      <c r="R84" s="399">
        <v>15</v>
      </c>
      <c r="S84" s="399">
        <v>4.5999999999999996</v>
      </c>
      <c r="T84" s="399">
        <v>904.6</v>
      </c>
      <c r="U84" s="403">
        <v>310</v>
      </c>
      <c r="V84" s="404">
        <f t="shared" si="4"/>
        <v>-18.969844869817678</v>
      </c>
      <c r="W84" s="397">
        <f t="shared" si="5"/>
        <v>5580</v>
      </c>
    </row>
    <row r="85" spans="1:23" s="397" customFormat="1" ht="16.399999999999999" customHeight="1">
      <c r="A85" s="397" t="s">
        <v>350</v>
      </c>
      <c r="B85" s="398" t="s">
        <v>695</v>
      </c>
      <c r="C85" s="398" t="s">
        <v>238</v>
      </c>
      <c r="D85" s="398"/>
      <c r="E85" s="398" t="s">
        <v>908</v>
      </c>
      <c r="F85" s="398" t="s">
        <v>909</v>
      </c>
      <c r="G85" s="398" t="s">
        <v>44</v>
      </c>
      <c r="H85" s="399">
        <v>6</v>
      </c>
      <c r="I85" s="399">
        <v>24</v>
      </c>
      <c r="J85" s="399">
        <v>381</v>
      </c>
      <c r="K85" s="399">
        <f t="shared" si="3"/>
        <v>6.35</v>
      </c>
      <c r="L85" s="399" t="s">
        <v>45</v>
      </c>
      <c r="M85" s="400" t="s">
        <v>354</v>
      </c>
      <c r="N85" s="399" t="s">
        <v>697</v>
      </c>
      <c r="O85" s="401" t="s">
        <v>1008</v>
      </c>
      <c r="P85" s="402">
        <v>381.4</v>
      </c>
      <c r="Q85" s="399">
        <v>7</v>
      </c>
      <c r="R85" s="399">
        <v>6</v>
      </c>
      <c r="S85" s="399">
        <v>22.7</v>
      </c>
      <c r="T85" s="399">
        <v>382.7</v>
      </c>
      <c r="U85" s="403">
        <v>335</v>
      </c>
      <c r="V85" s="404">
        <f t="shared" si="4"/>
        <v>3.7100063503583556</v>
      </c>
      <c r="W85" s="397">
        <f t="shared" si="5"/>
        <v>2552.6999999999998</v>
      </c>
    </row>
    <row r="86" spans="1:23" s="397" customFormat="1" ht="16.399999999999999" customHeight="1">
      <c r="A86" s="397" t="s">
        <v>350</v>
      </c>
      <c r="B86" s="398" t="s">
        <v>376</v>
      </c>
      <c r="C86" s="398" t="s">
        <v>239</v>
      </c>
      <c r="D86" s="398"/>
      <c r="E86" s="398" t="s">
        <v>908</v>
      </c>
      <c r="F86" s="398" t="s">
        <v>909</v>
      </c>
      <c r="G86" s="398" t="s">
        <v>42</v>
      </c>
      <c r="H86" s="399">
        <v>54</v>
      </c>
      <c r="I86" s="399">
        <v>26</v>
      </c>
      <c r="J86" s="399">
        <v>3244</v>
      </c>
      <c r="K86" s="399">
        <f t="shared" si="3"/>
        <v>54.06666666666667</v>
      </c>
      <c r="L86" s="399" t="s">
        <v>45</v>
      </c>
      <c r="M86" s="400" t="s">
        <v>354</v>
      </c>
      <c r="N86" s="399" t="s">
        <v>434</v>
      </c>
      <c r="O86" s="401" t="s">
        <v>1009</v>
      </c>
      <c r="P86" s="402">
        <v>3244.2</v>
      </c>
      <c r="Q86" s="399"/>
      <c r="R86" s="399"/>
      <c r="S86" s="399"/>
      <c r="T86" s="399"/>
      <c r="U86" s="403">
        <v>340</v>
      </c>
      <c r="V86" s="404">
        <f t="shared" si="4"/>
        <v>8.2459765943935395</v>
      </c>
      <c r="W86" s="397">
        <f t="shared" si="5"/>
        <v>22059.200000000001</v>
      </c>
    </row>
    <row r="87" spans="1:23" s="397" customFormat="1" ht="16.399999999999999" customHeight="1">
      <c r="A87" s="397" t="s">
        <v>350</v>
      </c>
      <c r="B87" s="398" t="s">
        <v>376</v>
      </c>
      <c r="C87" s="398" t="s">
        <v>239</v>
      </c>
      <c r="D87" s="398"/>
      <c r="E87" s="398" t="s">
        <v>908</v>
      </c>
      <c r="F87" s="398" t="s">
        <v>909</v>
      </c>
      <c r="G87" s="398" t="s">
        <v>43</v>
      </c>
      <c r="H87" s="399">
        <v>73</v>
      </c>
      <c r="I87" s="399">
        <v>11</v>
      </c>
      <c r="J87" s="399">
        <v>4361</v>
      </c>
      <c r="K87" s="399">
        <f t="shared" si="3"/>
        <v>72.683333333333337</v>
      </c>
      <c r="L87" s="399" t="s">
        <v>45</v>
      </c>
      <c r="M87" s="400" t="s">
        <v>354</v>
      </c>
      <c r="N87" s="399" t="s">
        <v>697</v>
      </c>
      <c r="O87" s="401" t="s">
        <v>1010</v>
      </c>
      <c r="P87" s="402">
        <v>4361.8</v>
      </c>
      <c r="Q87" s="399"/>
      <c r="R87" s="399"/>
      <c r="S87" s="399"/>
      <c r="T87" s="399"/>
      <c r="U87" s="403">
        <v>335</v>
      </c>
      <c r="V87" s="404">
        <f t="shared" si="4"/>
        <v>3.7100063503583556</v>
      </c>
      <c r="W87" s="397">
        <f t="shared" si="5"/>
        <v>29218.7</v>
      </c>
    </row>
    <row r="88" spans="1:23" s="397" customFormat="1" ht="16.399999999999999" customHeight="1">
      <c r="A88" s="397" t="s">
        <v>350</v>
      </c>
      <c r="B88" s="398" t="s">
        <v>377</v>
      </c>
      <c r="C88" s="398" t="s">
        <v>233</v>
      </c>
      <c r="D88" s="398"/>
      <c r="E88" s="398" t="s">
        <v>908</v>
      </c>
      <c r="F88" s="398" t="s">
        <v>909</v>
      </c>
      <c r="G88" s="398" t="s">
        <v>42</v>
      </c>
      <c r="H88" s="399">
        <v>78</v>
      </c>
      <c r="I88" s="399">
        <v>36</v>
      </c>
      <c r="J88" s="399">
        <v>4681</v>
      </c>
      <c r="K88" s="399">
        <f t="shared" si="3"/>
        <v>78.016666666666666</v>
      </c>
      <c r="L88" s="399" t="s">
        <v>54</v>
      </c>
      <c r="M88" s="400" t="s">
        <v>354</v>
      </c>
      <c r="N88" s="399" t="s">
        <v>434</v>
      </c>
      <c r="O88" s="401">
        <v>70378</v>
      </c>
      <c r="P88" s="402">
        <v>4681.2</v>
      </c>
      <c r="Q88" s="399"/>
      <c r="R88" s="399"/>
      <c r="S88" s="399"/>
      <c r="T88" s="399"/>
      <c r="U88" s="403">
        <v>340</v>
      </c>
      <c r="V88" s="404">
        <f t="shared" si="4"/>
        <v>8.2459765943935395</v>
      </c>
      <c r="W88" s="397">
        <f t="shared" si="5"/>
        <v>31830.799999999999</v>
      </c>
    </row>
    <row r="89" spans="1:23" s="397" customFormat="1" ht="16.399999999999999" customHeight="1">
      <c r="A89" s="397" t="s">
        <v>350</v>
      </c>
      <c r="B89" s="398" t="s">
        <v>377</v>
      </c>
      <c r="C89" s="398" t="s">
        <v>233</v>
      </c>
      <c r="D89" s="398"/>
      <c r="E89" s="398" t="s">
        <v>908</v>
      </c>
      <c r="F89" s="398" t="s">
        <v>909</v>
      </c>
      <c r="G89" s="398" t="s">
        <v>43</v>
      </c>
      <c r="H89" s="399">
        <v>80</v>
      </c>
      <c r="I89" s="399">
        <v>32</v>
      </c>
      <c r="J89" s="399">
        <v>4807</v>
      </c>
      <c r="K89" s="399">
        <f t="shared" si="3"/>
        <v>80.11666666666666</v>
      </c>
      <c r="L89" s="399" t="s">
        <v>54</v>
      </c>
      <c r="M89" s="400" t="s">
        <v>354</v>
      </c>
      <c r="N89" s="399" t="s">
        <v>697</v>
      </c>
      <c r="O89" s="401">
        <v>70379</v>
      </c>
      <c r="P89" s="402">
        <v>4807.2</v>
      </c>
      <c r="Q89" s="399"/>
      <c r="R89" s="399"/>
      <c r="S89" s="399"/>
      <c r="T89" s="399"/>
      <c r="U89" s="403">
        <v>335</v>
      </c>
      <c r="V89" s="404">
        <f t="shared" si="4"/>
        <v>3.7100063503583556</v>
      </c>
      <c r="W89" s="397">
        <f t="shared" si="5"/>
        <v>32206.899999999998</v>
      </c>
    </row>
    <row r="90" spans="1:23" s="397" customFormat="1" ht="16.399999999999999" customHeight="1">
      <c r="A90" s="397" t="s">
        <v>350</v>
      </c>
      <c r="B90" s="398" t="s">
        <v>1011</v>
      </c>
      <c r="C90" s="398" t="s">
        <v>696</v>
      </c>
      <c r="D90" s="398"/>
      <c r="E90" s="398" t="s">
        <v>908</v>
      </c>
      <c r="F90" s="398" t="s">
        <v>909</v>
      </c>
      <c r="G90" s="398" t="s">
        <v>42</v>
      </c>
      <c r="H90" s="399">
        <v>8</v>
      </c>
      <c r="I90" s="399">
        <v>10</v>
      </c>
      <c r="J90" s="399">
        <v>480</v>
      </c>
      <c r="K90" s="399">
        <f t="shared" si="3"/>
        <v>8</v>
      </c>
      <c r="L90" s="399" t="s">
        <v>45</v>
      </c>
      <c r="M90" s="400" t="s">
        <v>354</v>
      </c>
      <c r="N90" s="399" t="s">
        <v>434</v>
      </c>
      <c r="O90" s="401" t="s">
        <v>1012</v>
      </c>
      <c r="P90" s="402">
        <v>480</v>
      </c>
      <c r="Q90" s="399">
        <v>8</v>
      </c>
      <c r="R90" s="399">
        <v>8</v>
      </c>
      <c r="S90" s="399">
        <v>7.8</v>
      </c>
      <c r="T90" s="399">
        <v>487.8</v>
      </c>
      <c r="U90" s="403">
        <v>340</v>
      </c>
      <c r="V90" s="404">
        <f t="shared" si="4"/>
        <v>8.2459765943935395</v>
      </c>
      <c r="W90" s="397">
        <f t="shared" si="5"/>
        <v>3264</v>
      </c>
    </row>
    <row r="91" spans="1:23" s="397" customFormat="1" ht="16.399999999999999" customHeight="1">
      <c r="A91" s="397" t="s">
        <v>350</v>
      </c>
      <c r="B91" s="398" t="s">
        <v>1011</v>
      </c>
      <c r="C91" s="398" t="s">
        <v>696</v>
      </c>
      <c r="D91" s="398"/>
      <c r="E91" s="398" t="s">
        <v>908</v>
      </c>
      <c r="F91" s="398" t="s">
        <v>909</v>
      </c>
      <c r="G91" s="398" t="s">
        <v>43</v>
      </c>
      <c r="H91" s="399">
        <v>19</v>
      </c>
      <c r="I91" s="399">
        <v>28</v>
      </c>
      <c r="J91" s="399">
        <v>1156</v>
      </c>
      <c r="K91" s="399">
        <f t="shared" si="3"/>
        <v>19.266666666666666</v>
      </c>
      <c r="L91" s="399" t="s">
        <v>45</v>
      </c>
      <c r="M91" s="400" t="s">
        <v>354</v>
      </c>
      <c r="N91" s="399" t="s">
        <v>697</v>
      </c>
      <c r="O91" s="401" t="s">
        <v>1013</v>
      </c>
      <c r="P91" s="402">
        <v>1156.0999999999999</v>
      </c>
      <c r="Q91" s="399"/>
      <c r="R91" s="399"/>
      <c r="S91" s="399"/>
      <c r="T91" s="399"/>
      <c r="U91" s="403">
        <v>335</v>
      </c>
      <c r="V91" s="404">
        <f t="shared" si="4"/>
        <v>3.7100063503583556</v>
      </c>
      <c r="W91" s="397">
        <f t="shared" si="5"/>
        <v>7745.1999999999989</v>
      </c>
    </row>
    <row r="92" spans="1:23" s="397" customFormat="1" ht="16.399999999999999" customHeight="1">
      <c r="A92" s="397" t="s">
        <v>350</v>
      </c>
      <c r="B92" s="398" t="s">
        <v>1011</v>
      </c>
      <c r="C92" s="398" t="s">
        <v>696</v>
      </c>
      <c r="D92" s="398"/>
      <c r="E92" s="398" t="s">
        <v>908</v>
      </c>
      <c r="F92" s="398" t="s">
        <v>909</v>
      </c>
      <c r="G92" s="398" t="s">
        <v>45</v>
      </c>
      <c r="H92" s="399">
        <v>8</v>
      </c>
      <c r="I92" s="399">
        <v>28</v>
      </c>
      <c r="J92" s="399">
        <v>497</v>
      </c>
      <c r="K92" s="399">
        <f t="shared" si="3"/>
        <v>8.2833333333333332</v>
      </c>
      <c r="L92" s="399" t="s">
        <v>54</v>
      </c>
      <c r="M92" s="400" t="s">
        <v>354</v>
      </c>
      <c r="N92" s="399" t="s">
        <v>435</v>
      </c>
      <c r="O92" s="401" t="s">
        <v>1014</v>
      </c>
      <c r="P92" s="402">
        <v>497.2</v>
      </c>
      <c r="Q92" s="399">
        <v>9</v>
      </c>
      <c r="R92" s="399">
        <v>8</v>
      </c>
      <c r="S92" s="399">
        <v>25.9</v>
      </c>
      <c r="T92" s="399">
        <v>505.9</v>
      </c>
      <c r="U92" s="403">
        <v>310</v>
      </c>
      <c r="V92" s="404">
        <f t="shared" si="4"/>
        <v>-18.969844869817678</v>
      </c>
      <c r="W92" s="397">
        <f t="shared" si="5"/>
        <v>3081.4</v>
      </c>
    </row>
    <row r="93" spans="1:23" s="397" customFormat="1" ht="16.399999999999999" customHeight="1">
      <c r="A93" s="397" t="s">
        <v>350</v>
      </c>
      <c r="B93" s="398" t="s">
        <v>1011</v>
      </c>
      <c r="C93" s="398" t="s">
        <v>239</v>
      </c>
      <c r="D93" s="398"/>
      <c r="E93" s="398" t="s">
        <v>908</v>
      </c>
      <c r="F93" s="398" t="s">
        <v>909</v>
      </c>
      <c r="G93" s="398" t="s">
        <v>44</v>
      </c>
      <c r="H93" s="399">
        <v>1</v>
      </c>
      <c r="I93" s="399">
        <v>62</v>
      </c>
      <c r="J93" s="399">
        <v>122</v>
      </c>
      <c r="K93" s="399">
        <f t="shared" si="3"/>
        <v>2.0333333333333332</v>
      </c>
      <c r="L93" s="399" t="s">
        <v>45</v>
      </c>
      <c r="M93" s="400" t="s">
        <v>354</v>
      </c>
      <c r="N93" s="399" t="s">
        <v>697</v>
      </c>
      <c r="O93" s="401" t="s">
        <v>1015</v>
      </c>
      <c r="P93" s="402">
        <v>122.1</v>
      </c>
      <c r="Q93" s="399">
        <v>2</v>
      </c>
      <c r="R93" s="399">
        <v>2</v>
      </c>
      <c r="S93" s="399">
        <v>2.2000000000000002</v>
      </c>
      <c r="T93" s="399">
        <v>122.2</v>
      </c>
      <c r="U93" s="403">
        <v>335</v>
      </c>
      <c r="V93" s="404">
        <f t="shared" si="4"/>
        <v>3.7100063503583556</v>
      </c>
      <c r="W93" s="397">
        <f t="shared" si="5"/>
        <v>817.4</v>
      </c>
    </row>
    <row r="94" spans="1:23" ht="14.5">
      <c r="A94" s="493" t="s">
        <v>350</v>
      </c>
      <c r="B94" s="494" t="s">
        <v>339</v>
      </c>
      <c r="C94" s="494" t="s">
        <v>239</v>
      </c>
      <c r="D94" s="514" t="s">
        <v>1092</v>
      </c>
      <c r="E94" s="495"/>
      <c r="F94" s="495"/>
      <c r="G94" s="494" t="s">
        <v>60</v>
      </c>
      <c r="H94" s="496">
        <v>1</v>
      </c>
      <c r="I94" s="496">
        <v>47</v>
      </c>
      <c r="J94" s="496">
        <v>107</v>
      </c>
      <c r="K94" s="343"/>
      <c r="L94" s="497" t="s">
        <v>59</v>
      </c>
      <c r="M94" s="496" t="s">
        <v>418</v>
      </c>
      <c r="N94" s="495"/>
      <c r="O94" s="481" t="s">
        <v>1108</v>
      </c>
      <c r="P94" s="482" t="s">
        <v>1114</v>
      </c>
      <c r="Q94" s="399"/>
      <c r="R94" s="201"/>
      <c r="S94" s="201"/>
      <c r="T94" s="201"/>
      <c r="U94" s="8">
        <v>245</v>
      </c>
      <c r="V94" s="404">
        <f t="shared" si="4"/>
        <v>-77.937458042275239</v>
      </c>
      <c r="W94" s="397">
        <f t="shared" si="5"/>
        <v>524.29999999999995</v>
      </c>
    </row>
    <row r="95" spans="1:23" ht="14.5">
      <c r="A95" s="498" t="s">
        <v>350</v>
      </c>
      <c r="B95" s="494" t="s">
        <v>203</v>
      </c>
      <c r="C95" s="494" t="s">
        <v>239</v>
      </c>
      <c r="D95" s="514" t="s">
        <v>1092</v>
      </c>
      <c r="E95" s="495"/>
      <c r="F95" s="495"/>
      <c r="G95" s="494" t="s">
        <v>60</v>
      </c>
      <c r="H95" s="496">
        <v>1</v>
      </c>
      <c r="I95" s="496">
        <v>28</v>
      </c>
      <c r="J95" s="496">
        <v>88</v>
      </c>
      <c r="K95" s="343"/>
      <c r="L95" s="497" t="s">
        <v>356</v>
      </c>
      <c r="M95" s="496" t="s">
        <v>418</v>
      </c>
      <c r="N95" s="495"/>
      <c r="O95" s="481" t="s">
        <v>1108</v>
      </c>
      <c r="P95" s="482" t="s">
        <v>1114</v>
      </c>
      <c r="Q95" s="399"/>
      <c r="R95" s="201"/>
      <c r="S95" s="201"/>
      <c r="T95" s="201"/>
      <c r="U95" s="8">
        <v>260</v>
      </c>
      <c r="V95" s="404">
        <f t="shared" si="4"/>
        <v>-64.329547310169659</v>
      </c>
      <c r="W95" s="397">
        <f t="shared" si="5"/>
        <v>457.59999999999997</v>
      </c>
    </row>
    <row r="96" spans="1:23" ht="14.5">
      <c r="A96" s="498" t="s">
        <v>350</v>
      </c>
      <c r="B96" s="494" t="s">
        <v>698</v>
      </c>
      <c r="C96" s="494" t="s">
        <v>239</v>
      </c>
      <c r="D96" s="514" t="s">
        <v>1092</v>
      </c>
      <c r="E96" s="495"/>
      <c r="F96" s="495"/>
      <c r="G96" s="494" t="s">
        <v>60</v>
      </c>
      <c r="H96" s="496">
        <v>0</v>
      </c>
      <c r="I96" s="496">
        <v>35</v>
      </c>
      <c r="J96" s="496">
        <v>35</v>
      </c>
      <c r="K96" s="343"/>
      <c r="L96" s="497" t="s">
        <v>356</v>
      </c>
      <c r="M96" s="496" t="s">
        <v>418</v>
      </c>
      <c r="N96" s="495"/>
      <c r="O96" s="481" t="s">
        <v>1108</v>
      </c>
      <c r="P96" s="482" t="s">
        <v>1114</v>
      </c>
      <c r="Q96" s="399"/>
      <c r="R96" s="201"/>
      <c r="S96" s="201"/>
      <c r="T96" s="201"/>
      <c r="U96" s="8">
        <v>260</v>
      </c>
      <c r="V96" s="404">
        <f t="shared" si="4"/>
        <v>-64.329547310169659</v>
      </c>
      <c r="W96" s="397">
        <f t="shared" si="5"/>
        <v>182.00000000000003</v>
      </c>
    </row>
    <row r="97" spans="1:23" ht="14.5">
      <c r="A97" s="498" t="s">
        <v>350</v>
      </c>
      <c r="B97" s="494" t="s">
        <v>329</v>
      </c>
      <c r="C97" s="494" t="s">
        <v>234</v>
      </c>
      <c r="D97" s="514" t="s">
        <v>1092</v>
      </c>
      <c r="E97" s="495"/>
      <c r="F97" s="495"/>
      <c r="G97" s="494" t="s">
        <v>60</v>
      </c>
      <c r="H97" s="496">
        <v>2</v>
      </c>
      <c r="I97" s="496">
        <v>26</v>
      </c>
      <c r="J97" s="496">
        <v>145</v>
      </c>
      <c r="K97" s="343"/>
      <c r="L97" s="497" t="s">
        <v>59</v>
      </c>
      <c r="M97" s="496" t="s">
        <v>418</v>
      </c>
      <c r="N97" s="495"/>
      <c r="O97" s="481" t="s">
        <v>1108</v>
      </c>
      <c r="P97" s="482" t="s">
        <v>1114</v>
      </c>
      <c r="Q97" s="399"/>
      <c r="R97" s="201"/>
      <c r="S97" s="201"/>
      <c r="T97" s="201"/>
      <c r="U97" s="8">
        <v>245</v>
      </c>
      <c r="V97" s="404">
        <f t="shared" si="4"/>
        <v>-77.937458042275239</v>
      </c>
      <c r="W97" s="397">
        <f t="shared" si="5"/>
        <v>710.49999999999989</v>
      </c>
    </row>
    <row r="98" spans="1:23" ht="14.5">
      <c r="A98" s="498" t="s">
        <v>350</v>
      </c>
      <c r="B98" s="494" t="s">
        <v>226</v>
      </c>
      <c r="C98" s="494" t="s">
        <v>243</v>
      </c>
      <c r="D98" s="514" t="s">
        <v>1092</v>
      </c>
      <c r="E98" s="495"/>
      <c r="F98" s="495"/>
      <c r="G98" s="494" t="s">
        <v>60</v>
      </c>
      <c r="H98" s="496">
        <v>1</v>
      </c>
      <c r="I98" s="496">
        <v>54</v>
      </c>
      <c r="J98" s="496">
        <v>114</v>
      </c>
      <c r="K98" s="343"/>
      <c r="L98" s="497" t="s">
        <v>356</v>
      </c>
      <c r="M98" s="496" t="s">
        <v>418</v>
      </c>
      <c r="N98" s="495"/>
      <c r="O98" s="481" t="s">
        <v>1108</v>
      </c>
      <c r="P98" s="482" t="s">
        <v>1114</v>
      </c>
      <c r="Q98" s="399"/>
      <c r="R98" s="201"/>
      <c r="S98" s="201"/>
      <c r="T98" s="201"/>
      <c r="U98" s="8">
        <v>260</v>
      </c>
      <c r="V98" s="404">
        <f t="shared" si="4"/>
        <v>-64.329547310169659</v>
      </c>
      <c r="W98" s="397">
        <f t="shared" si="5"/>
        <v>592.79999999999995</v>
      </c>
    </row>
    <row r="99" spans="1:23" ht="14.5">
      <c r="A99" s="498" t="s">
        <v>350</v>
      </c>
      <c r="B99" s="494" t="s">
        <v>328</v>
      </c>
      <c r="C99" s="494" t="s">
        <v>242</v>
      </c>
      <c r="D99" s="514" t="s">
        <v>1092</v>
      </c>
      <c r="E99" s="495"/>
      <c r="F99" s="495"/>
      <c r="G99" s="494" t="s">
        <v>60</v>
      </c>
      <c r="H99" s="496">
        <v>0</v>
      </c>
      <c r="I99" s="496">
        <v>46</v>
      </c>
      <c r="J99" s="496">
        <v>46</v>
      </c>
      <c r="K99" s="343"/>
      <c r="L99" s="497" t="s">
        <v>356</v>
      </c>
      <c r="M99" s="496" t="s">
        <v>418</v>
      </c>
      <c r="N99" s="495"/>
      <c r="O99" s="481" t="s">
        <v>1108</v>
      </c>
      <c r="P99" s="482" t="s">
        <v>1114</v>
      </c>
      <c r="Q99" s="399"/>
      <c r="R99" s="201"/>
      <c r="S99" s="201"/>
      <c r="T99" s="201"/>
      <c r="U99" s="8">
        <v>260</v>
      </c>
      <c r="V99" s="404">
        <f t="shared" si="4"/>
        <v>-64.329547310169659</v>
      </c>
      <c r="W99" s="397">
        <f t="shared" si="5"/>
        <v>239.2</v>
      </c>
    </row>
    <row r="100" spans="1:23" ht="14.5">
      <c r="A100" s="498" t="s">
        <v>350</v>
      </c>
      <c r="B100" s="494" t="s">
        <v>1016</v>
      </c>
      <c r="C100" s="494" t="s">
        <v>989</v>
      </c>
      <c r="D100" s="514" t="s">
        <v>1092</v>
      </c>
      <c r="E100" s="495"/>
      <c r="F100" s="495"/>
      <c r="G100" s="494" t="s">
        <v>60</v>
      </c>
      <c r="H100" s="496">
        <v>2</v>
      </c>
      <c r="I100" s="496">
        <v>18</v>
      </c>
      <c r="J100" s="496">
        <v>138</v>
      </c>
      <c r="K100" s="343"/>
      <c r="L100" s="497" t="s">
        <v>356</v>
      </c>
      <c r="M100" s="496" t="s">
        <v>418</v>
      </c>
      <c r="N100" s="495"/>
      <c r="O100" s="481" t="s">
        <v>1108</v>
      </c>
      <c r="P100" s="482" t="s">
        <v>1114</v>
      </c>
      <c r="Q100" s="399"/>
      <c r="R100" s="201"/>
      <c r="S100" s="201"/>
      <c r="T100" s="201"/>
      <c r="U100" s="8">
        <v>260</v>
      </c>
      <c r="V100" s="404">
        <f t="shared" si="4"/>
        <v>-64.329547310169659</v>
      </c>
      <c r="W100" s="397">
        <f t="shared" si="5"/>
        <v>717.6</v>
      </c>
    </row>
    <row r="101" spans="1:23" ht="14.5">
      <c r="A101" s="498" t="s">
        <v>350</v>
      </c>
      <c r="B101" s="494" t="s">
        <v>212</v>
      </c>
      <c r="C101" s="494" t="s">
        <v>236</v>
      </c>
      <c r="D101" s="514" t="s">
        <v>1092</v>
      </c>
      <c r="E101" s="495"/>
      <c r="F101" s="495"/>
      <c r="G101" s="494" t="s">
        <v>60</v>
      </c>
      <c r="H101" s="496">
        <v>1</v>
      </c>
      <c r="I101" s="496">
        <v>23</v>
      </c>
      <c r="J101" s="496">
        <v>83</v>
      </c>
      <c r="K101" s="343"/>
      <c r="L101" s="497" t="s">
        <v>356</v>
      </c>
      <c r="M101" s="496" t="s">
        <v>418</v>
      </c>
      <c r="N101" s="495"/>
      <c r="O101" s="481" t="s">
        <v>1108</v>
      </c>
      <c r="P101" s="482" t="s">
        <v>1114</v>
      </c>
      <c r="Q101" s="399"/>
      <c r="R101" s="201"/>
      <c r="S101" s="201"/>
      <c r="T101" s="201"/>
      <c r="U101" s="8">
        <v>260</v>
      </c>
      <c r="V101" s="404">
        <f t="shared" si="4"/>
        <v>-64.329547310169659</v>
      </c>
      <c r="W101" s="397">
        <f t="shared" si="5"/>
        <v>431.6</v>
      </c>
    </row>
    <row r="102" spans="1:23" ht="14.5">
      <c r="A102" s="498" t="s">
        <v>350</v>
      </c>
      <c r="B102" s="494" t="s">
        <v>189</v>
      </c>
      <c r="C102" s="494" t="s">
        <v>238</v>
      </c>
      <c r="D102" s="514" t="s">
        <v>1092</v>
      </c>
      <c r="E102" s="495"/>
      <c r="F102" s="495"/>
      <c r="G102" s="494" t="s">
        <v>60</v>
      </c>
      <c r="H102" s="496">
        <v>0</v>
      </c>
      <c r="I102" s="496">
        <v>47</v>
      </c>
      <c r="J102" s="496">
        <v>47</v>
      </c>
      <c r="K102" s="343"/>
      <c r="L102" s="497" t="s">
        <v>356</v>
      </c>
      <c r="M102" s="496" t="s">
        <v>418</v>
      </c>
      <c r="N102" s="495"/>
      <c r="O102" s="481" t="s">
        <v>1108</v>
      </c>
      <c r="P102" s="482" t="s">
        <v>1114</v>
      </c>
      <c r="Q102" s="399"/>
      <c r="R102" s="201"/>
      <c r="S102" s="201"/>
      <c r="T102" s="201"/>
      <c r="U102" s="8">
        <v>260</v>
      </c>
      <c r="V102" s="404">
        <f t="shared" si="4"/>
        <v>-64.329547310169659</v>
      </c>
      <c r="W102" s="397">
        <f t="shared" si="5"/>
        <v>244.39999999999998</v>
      </c>
    </row>
    <row r="103" spans="1:23" ht="14.5">
      <c r="A103" s="498" t="s">
        <v>350</v>
      </c>
      <c r="B103" s="494" t="s">
        <v>187</v>
      </c>
      <c r="C103" s="494" t="s">
        <v>239</v>
      </c>
      <c r="D103" s="514" t="s">
        <v>1092</v>
      </c>
      <c r="E103" s="495"/>
      <c r="F103" s="495"/>
      <c r="G103" s="494" t="s">
        <v>60</v>
      </c>
      <c r="H103" s="496">
        <v>1</v>
      </c>
      <c r="I103" s="496">
        <v>20</v>
      </c>
      <c r="J103" s="496">
        <v>80</v>
      </c>
      <c r="K103" s="343"/>
      <c r="L103" s="497" t="s">
        <v>356</v>
      </c>
      <c r="M103" s="496" t="s">
        <v>418</v>
      </c>
      <c r="N103" s="495"/>
      <c r="O103" s="481" t="s">
        <v>1108</v>
      </c>
      <c r="P103" s="482" t="s">
        <v>1114</v>
      </c>
      <c r="Q103" s="399"/>
      <c r="R103" s="201"/>
      <c r="S103" s="201"/>
      <c r="T103" s="201"/>
      <c r="U103" s="8">
        <v>260</v>
      </c>
      <c r="V103" s="404">
        <f t="shared" si="4"/>
        <v>-64.329547310169659</v>
      </c>
      <c r="W103" s="397">
        <f t="shared" si="5"/>
        <v>415.99999999999994</v>
      </c>
    </row>
    <row r="104" spans="1:23" ht="14.5">
      <c r="A104" s="498" t="s">
        <v>350</v>
      </c>
      <c r="B104" s="494" t="s">
        <v>327</v>
      </c>
      <c r="C104" s="494" t="s">
        <v>240</v>
      </c>
      <c r="D104" s="514" t="s">
        <v>1092</v>
      </c>
      <c r="E104" s="495"/>
      <c r="F104" s="495"/>
      <c r="G104" s="494" t="s">
        <v>60</v>
      </c>
      <c r="H104" s="496">
        <v>1</v>
      </c>
      <c r="I104" s="496">
        <v>21</v>
      </c>
      <c r="J104" s="496">
        <v>81</v>
      </c>
      <c r="K104" s="343"/>
      <c r="L104" s="497" t="s">
        <v>356</v>
      </c>
      <c r="M104" s="496" t="s">
        <v>418</v>
      </c>
      <c r="N104" s="495"/>
      <c r="O104" s="481" t="s">
        <v>1108</v>
      </c>
      <c r="P104" s="482" t="s">
        <v>1114</v>
      </c>
      <c r="Q104" s="399"/>
      <c r="R104" s="201"/>
      <c r="S104" s="201"/>
      <c r="T104" s="201"/>
      <c r="U104" s="8">
        <v>260</v>
      </c>
      <c r="V104" s="404">
        <f t="shared" si="4"/>
        <v>-64.329547310169659</v>
      </c>
      <c r="W104" s="397">
        <f t="shared" si="5"/>
        <v>421.2</v>
      </c>
    </row>
    <row r="105" spans="1:23" ht="14.5">
      <c r="A105" s="498" t="s">
        <v>350</v>
      </c>
      <c r="B105" s="494" t="s">
        <v>322</v>
      </c>
      <c r="C105" s="494" t="s">
        <v>241</v>
      </c>
      <c r="D105" s="514" t="s">
        <v>1092</v>
      </c>
      <c r="E105" s="495"/>
      <c r="F105" s="495"/>
      <c r="G105" s="494" t="s">
        <v>60</v>
      </c>
      <c r="H105" s="496">
        <v>0</v>
      </c>
      <c r="I105" s="496">
        <v>59</v>
      </c>
      <c r="J105" s="496">
        <v>59</v>
      </c>
      <c r="K105" s="343"/>
      <c r="L105" s="497" t="s">
        <v>356</v>
      </c>
      <c r="M105" s="496" t="s">
        <v>418</v>
      </c>
      <c r="N105" s="495"/>
      <c r="O105" s="481" t="s">
        <v>1108</v>
      </c>
      <c r="P105" s="482" t="s">
        <v>1114</v>
      </c>
      <c r="Q105" s="399"/>
      <c r="R105" s="201"/>
      <c r="S105" s="201"/>
      <c r="T105" s="201"/>
      <c r="U105" s="8">
        <v>260</v>
      </c>
      <c r="V105" s="404">
        <f t="shared" si="4"/>
        <v>-64.329547310169659</v>
      </c>
      <c r="W105" s="397">
        <f t="shared" si="5"/>
        <v>306.79999999999995</v>
      </c>
    </row>
    <row r="106" spans="1:23" ht="14.5">
      <c r="A106" s="498" t="s">
        <v>350</v>
      </c>
      <c r="B106" s="494" t="s">
        <v>206</v>
      </c>
      <c r="C106" s="494" t="s">
        <v>241</v>
      </c>
      <c r="D106" s="514" t="s">
        <v>1092</v>
      </c>
      <c r="E106" s="495"/>
      <c r="F106" s="495"/>
      <c r="G106" s="494" t="s">
        <v>60</v>
      </c>
      <c r="H106" s="496">
        <v>0</v>
      </c>
      <c r="I106" s="496">
        <v>9</v>
      </c>
      <c r="J106" s="496">
        <v>9</v>
      </c>
      <c r="K106" s="343"/>
      <c r="L106" s="497" t="s">
        <v>356</v>
      </c>
      <c r="M106" s="496" t="s">
        <v>418</v>
      </c>
      <c r="N106" s="495"/>
      <c r="O106" s="481" t="s">
        <v>1108</v>
      </c>
      <c r="P106" s="482" t="s">
        <v>1114</v>
      </c>
      <c r="Q106" s="399"/>
      <c r="R106" s="201"/>
      <c r="S106" s="201"/>
      <c r="T106" s="201"/>
      <c r="U106" s="8">
        <v>260</v>
      </c>
      <c r="V106" s="404">
        <f t="shared" si="4"/>
        <v>-64.329547310169659</v>
      </c>
      <c r="W106" s="397">
        <f t="shared" si="5"/>
        <v>46.8</v>
      </c>
    </row>
    <row r="107" spans="1:23" ht="14.5">
      <c r="A107" s="498" t="s">
        <v>350</v>
      </c>
      <c r="B107" s="494" t="s">
        <v>1017</v>
      </c>
      <c r="C107" s="494" t="s">
        <v>240</v>
      </c>
      <c r="D107" s="514" t="s">
        <v>1092</v>
      </c>
      <c r="E107" s="495"/>
      <c r="F107" s="495"/>
      <c r="G107" s="494" t="s">
        <v>60</v>
      </c>
      <c r="H107" s="496">
        <v>0</v>
      </c>
      <c r="I107" s="496">
        <v>41</v>
      </c>
      <c r="J107" s="496">
        <v>41</v>
      </c>
      <c r="K107" s="343"/>
      <c r="L107" s="497" t="s">
        <v>356</v>
      </c>
      <c r="M107" s="496" t="s">
        <v>418</v>
      </c>
      <c r="N107" s="495"/>
      <c r="O107" s="481" t="s">
        <v>1108</v>
      </c>
      <c r="P107" s="482" t="s">
        <v>1114</v>
      </c>
      <c r="Q107" s="399"/>
      <c r="R107" s="201"/>
      <c r="S107" s="201"/>
      <c r="T107" s="201"/>
      <c r="U107" s="8">
        <v>260</v>
      </c>
      <c r="V107" s="404">
        <f t="shared" si="4"/>
        <v>-64.329547310169659</v>
      </c>
      <c r="W107" s="397">
        <f t="shared" si="5"/>
        <v>213.2</v>
      </c>
    </row>
    <row r="108" spans="1:23" ht="14.5" customHeight="1">
      <c r="A108" s="508" t="s">
        <v>350</v>
      </c>
      <c r="B108" s="509" t="s">
        <v>321</v>
      </c>
      <c r="C108" s="509" t="s">
        <v>242</v>
      </c>
      <c r="D108" s="515" t="s">
        <v>1093</v>
      </c>
      <c r="E108" s="510"/>
      <c r="F108" s="510"/>
      <c r="G108" s="509" t="s">
        <v>60</v>
      </c>
      <c r="H108" s="511">
        <v>2</v>
      </c>
      <c r="I108" s="511">
        <v>62</v>
      </c>
      <c r="J108" s="511">
        <v>182</v>
      </c>
      <c r="K108" s="512"/>
      <c r="L108" s="513" t="s">
        <v>60</v>
      </c>
      <c r="M108" s="511" t="s">
        <v>418</v>
      </c>
      <c r="N108" s="510"/>
      <c r="O108" s="481" t="s">
        <v>1109</v>
      </c>
      <c r="P108" s="482" t="s">
        <v>1115</v>
      </c>
      <c r="Q108" s="399"/>
      <c r="R108" s="201"/>
      <c r="S108" s="201"/>
      <c r="T108" s="201"/>
      <c r="U108" s="8">
        <v>245</v>
      </c>
      <c r="V108" s="404">
        <f t="shared" si="4"/>
        <v>-77.937458042275239</v>
      </c>
      <c r="W108" s="397">
        <f t="shared" si="5"/>
        <v>891.8</v>
      </c>
    </row>
    <row r="109" spans="1:23" ht="14.5">
      <c r="A109" s="498" t="s">
        <v>350</v>
      </c>
      <c r="B109" s="494" t="s">
        <v>320</v>
      </c>
      <c r="C109" s="494" t="s">
        <v>352</v>
      </c>
      <c r="D109" s="514" t="s">
        <v>1092</v>
      </c>
      <c r="E109" s="495"/>
      <c r="F109" s="495"/>
      <c r="G109" s="494" t="s">
        <v>60</v>
      </c>
      <c r="H109" s="496">
        <v>1</v>
      </c>
      <c r="I109" s="496">
        <v>23</v>
      </c>
      <c r="J109" s="496">
        <v>83</v>
      </c>
      <c r="K109" s="343"/>
      <c r="L109" s="497" t="s">
        <v>356</v>
      </c>
      <c r="M109" s="496" t="s">
        <v>418</v>
      </c>
      <c r="N109" s="495"/>
      <c r="O109" s="481" t="s">
        <v>1108</v>
      </c>
      <c r="P109" s="482" t="s">
        <v>1114</v>
      </c>
      <c r="Q109" s="399"/>
      <c r="R109" s="201"/>
      <c r="S109" s="201"/>
      <c r="T109" s="201"/>
      <c r="U109" s="8">
        <v>260</v>
      </c>
      <c r="V109" s="404">
        <f t="shared" si="4"/>
        <v>-64.329547310169659</v>
      </c>
      <c r="W109" s="397">
        <f t="shared" si="5"/>
        <v>431.6</v>
      </c>
    </row>
    <row r="110" spans="1:23" ht="14.5">
      <c r="A110" s="498" t="s">
        <v>350</v>
      </c>
      <c r="B110" s="494" t="s">
        <v>190</v>
      </c>
      <c r="C110" s="494" t="s">
        <v>238</v>
      </c>
      <c r="D110" s="514" t="s">
        <v>1092</v>
      </c>
      <c r="E110" s="495"/>
      <c r="F110" s="495"/>
      <c r="G110" s="494" t="s">
        <v>60</v>
      </c>
      <c r="H110" s="496">
        <v>0</v>
      </c>
      <c r="I110" s="496">
        <v>34</v>
      </c>
      <c r="J110" s="496">
        <v>34</v>
      </c>
      <c r="K110" s="343"/>
      <c r="L110" s="497" t="s">
        <v>356</v>
      </c>
      <c r="M110" s="496" t="s">
        <v>418</v>
      </c>
      <c r="N110" s="495"/>
      <c r="O110" s="481" t="s">
        <v>1108</v>
      </c>
      <c r="P110" s="482" t="s">
        <v>1114</v>
      </c>
      <c r="Q110" s="399"/>
      <c r="R110" s="201"/>
      <c r="S110" s="201"/>
      <c r="T110" s="201"/>
      <c r="U110" s="8">
        <v>260</v>
      </c>
      <c r="V110" s="404">
        <f t="shared" si="4"/>
        <v>-64.329547310169659</v>
      </c>
      <c r="W110" s="397">
        <f t="shared" si="5"/>
        <v>176.8</v>
      </c>
    </row>
    <row r="111" spans="1:23" ht="14.5">
      <c r="A111" s="498" t="s">
        <v>350</v>
      </c>
      <c r="B111" s="494" t="s">
        <v>211</v>
      </c>
      <c r="C111" s="494" t="s">
        <v>235</v>
      </c>
      <c r="D111" s="514" t="s">
        <v>1092</v>
      </c>
      <c r="E111" s="495"/>
      <c r="F111" s="495"/>
      <c r="G111" s="494" t="s">
        <v>60</v>
      </c>
      <c r="H111" s="496">
        <v>0</v>
      </c>
      <c r="I111" s="496">
        <v>32</v>
      </c>
      <c r="J111" s="496">
        <v>32</v>
      </c>
      <c r="K111" s="343"/>
      <c r="L111" s="497" t="s">
        <v>356</v>
      </c>
      <c r="M111" s="496" t="s">
        <v>418</v>
      </c>
      <c r="N111" s="495"/>
      <c r="O111" s="481" t="s">
        <v>1108</v>
      </c>
      <c r="P111" s="482" t="s">
        <v>1114</v>
      </c>
      <c r="Q111" s="399"/>
      <c r="R111" s="201"/>
      <c r="S111" s="201"/>
      <c r="T111" s="201"/>
      <c r="U111" s="8">
        <v>260</v>
      </c>
      <c r="V111" s="404">
        <f t="shared" si="4"/>
        <v>-64.329547310169659</v>
      </c>
      <c r="W111" s="397">
        <f t="shared" si="5"/>
        <v>166.39999999999998</v>
      </c>
    </row>
    <row r="112" spans="1:23" ht="14.5">
      <c r="A112" s="498" t="s">
        <v>350</v>
      </c>
      <c r="B112" s="494" t="s">
        <v>207</v>
      </c>
      <c r="C112" s="494" t="s">
        <v>237</v>
      </c>
      <c r="D112" s="514" t="s">
        <v>1092</v>
      </c>
      <c r="E112" s="495"/>
      <c r="F112" s="495"/>
      <c r="G112" s="494" t="s">
        <v>60</v>
      </c>
      <c r="H112" s="496">
        <v>1</v>
      </c>
      <c r="I112" s="496">
        <v>29</v>
      </c>
      <c r="J112" s="496">
        <v>88</v>
      </c>
      <c r="K112" s="343"/>
      <c r="L112" s="497" t="s">
        <v>356</v>
      </c>
      <c r="M112" s="496" t="s">
        <v>418</v>
      </c>
      <c r="N112" s="495"/>
      <c r="O112" s="481" t="s">
        <v>1108</v>
      </c>
      <c r="P112" s="482" t="s">
        <v>1114</v>
      </c>
      <c r="Q112" s="399"/>
      <c r="R112" s="201"/>
      <c r="S112" s="201"/>
      <c r="T112" s="201"/>
      <c r="U112" s="8">
        <v>260</v>
      </c>
      <c r="V112" s="404">
        <f t="shared" si="4"/>
        <v>-64.329547310169659</v>
      </c>
      <c r="W112" s="397">
        <f t="shared" si="5"/>
        <v>457.59999999999997</v>
      </c>
    </row>
    <row r="113" spans="1:23" ht="14.5" customHeight="1">
      <c r="A113" s="508" t="s">
        <v>350</v>
      </c>
      <c r="B113" s="509" t="s">
        <v>313</v>
      </c>
      <c r="C113" s="509" t="s">
        <v>699</v>
      </c>
      <c r="D113" s="515" t="s">
        <v>1093</v>
      </c>
      <c r="E113" s="510"/>
      <c r="F113" s="510"/>
      <c r="G113" s="509" t="s">
        <v>60</v>
      </c>
      <c r="H113" s="511">
        <v>0</v>
      </c>
      <c r="I113" s="511">
        <v>53</v>
      </c>
      <c r="J113" s="511">
        <v>53</v>
      </c>
      <c r="K113" s="512"/>
      <c r="L113" s="513" t="s">
        <v>60</v>
      </c>
      <c r="M113" s="511" t="s">
        <v>418</v>
      </c>
      <c r="N113" s="510"/>
      <c r="O113" s="481" t="s">
        <v>1109</v>
      </c>
      <c r="P113" s="482" t="s">
        <v>1115</v>
      </c>
      <c r="Q113" s="399"/>
      <c r="R113" s="201"/>
      <c r="S113" s="201"/>
      <c r="T113" s="201"/>
      <c r="U113" s="8">
        <v>245</v>
      </c>
      <c r="V113" s="404">
        <f t="shared" si="4"/>
        <v>-77.937458042275239</v>
      </c>
      <c r="W113" s="397">
        <f t="shared" si="5"/>
        <v>259.7</v>
      </c>
    </row>
    <row r="114" spans="1:23" ht="14.5">
      <c r="A114" s="498" t="s">
        <v>350</v>
      </c>
      <c r="B114" s="494" t="s">
        <v>310</v>
      </c>
      <c r="C114" s="494" t="s">
        <v>243</v>
      </c>
      <c r="D114" s="514" t="s">
        <v>1092</v>
      </c>
      <c r="E114" s="495"/>
      <c r="F114" s="495"/>
      <c r="G114" s="494" t="s">
        <v>60</v>
      </c>
      <c r="H114" s="496">
        <v>1</v>
      </c>
      <c r="I114" s="496">
        <v>33</v>
      </c>
      <c r="J114" s="496">
        <v>92</v>
      </c>
      <c r="K114" s="343"/>
      <c r="L114" s="497" t="s">
        <v>356</v>
      </c>
      <c r="M114" s="496" t="s">
        <v>418</v>
      </c>
      <c r="N114" s="495"/>
      <c r="O114" s="481" t="s">
        <v>1108</v>
      </c>
      <c r="P114" s="482" t="s">
        <v>1114</v>
      </c>
      <c r="Q114" s="399"/>
      <c r="R114" s="201"/>
      <c r="S114" s="201"/>
      <c r="T114" s="201"/>
      <c r="U114" s="8">
        <v>260</v>
      </c>
      <c r="V114" s="404">
        <f t="shared" si="4"/>
        <v>-64.329547310169659</v>
      </c>
      <c r="W114" s="397">
        <f t="shared" si="5"/>
        <v>478.4</v>
      </c>
    </row>
    <row r="115" spans="1:23" ht="14.5">
      <c r="A115" s="498" t="s">
        <v>350</v>
      </c>
      <c r="B115" s="494" t="s">
        <v>362</v>
      </c>
      <c r="C115" s="494" t="s">
        <v>352</v>
      </c>
      <c r="D115" s="514" t="s">
        <v>1092</v>
      </c>
      <c r="E115" s="495"/>
      <c r="F115" s="495"/>
      <c r="G115" s="494" t="s">
        <v>60</v>
      </c>
      <c r="H115" s="496">
        <v>1</v>
      </c>
      <c r="I115" s="496">
        <v>55</v>
      </c>
      <c r="J115" s="496">
        <v>115</v>
      </c>
      <c r="K115" s="343"/>
      <c r="L115" s="497" t="s">
        <v>356</v>
      </c>
      <c r="M115" s="496" t="s">
        <v>418</v>
      </c>
      <c r="N115" s="495"/>
      <c r="O115" s="481" t="s">
        <v>1108</v>
      </c>
      <c r="P115" s="482" t="s">
        <v>1114</v>
      </c>
      <c r="Q115" s="399"/>
      <c r="R115" s="201"/>
      <c r="S115" s="201"/>
      <c r="T115" s="201"/>
      <c r="U115" s="8">
        <v>260</v>
      </c>
      <c r="V115" s="404">
        <f t="shared" si="4"/>
        <v>-64.329547310169659</v>
      </c>
      <c r="W115" s="397">
        <f t="shared" si="5"/>
        <v>598</v>
      </c>
    </row>
    <row r="116" spans="1:23" ht="14.5">
      <c r="A116" s="498" t="s">
        <v>350</v>
      </c>
      <c r="B116" s="494" t="s">
        <v>307</v>
      </c>
      <c r="C116" s="494" t="s">
        <v>696</v>
      </c>
      <c r="D116" s="514" t="s">
        <v>1092</v>
      </c>
      <c r="E116" s="495"/>
      <c r="F116" s="495"/>
      <c r="G116" s="494" t="s">
        <v>60</v>
      </c>
      <c r="H116" s="496">
        <v>1</v>
      </c>
      <c r="I116" s="496">
        <v>13</v>
      </c>
      <c r="J116" s="496">
        <v>73</v>
      </c>
      <c r="K116" s="343"/>
      <c r="L116" s="497" t="s">
        <v>356</v>
      </c>
      <c r="M116" s="496" t="s">
        <v>418</v>
      </c>
      <c r="N116" s="495"/>
      <c r="O116" s="481" t="s">
        <v>1108</v>
      </c>
      <c r="P116" s="482" t="s">
        <v>1114</v>
      </c>
      <c r="Q116" s="399"/>
      <c r="R116" s="201"/>
      <c r="S116" s="201"/>
      <c r="T116" s="201"/>
      <c r="U116" s="8">
        <v>260</v>
      </c>
      <c r="V116" s="404">
        <f t="shared" si="4"/>
        <v>-64.329547310169659</v>
      </c>
      <c r="W116" s="397">
        <f t="shared" si="5"/>
        <v>379.59999999999997</v>
      </c>
    </row>
    <row r="117" spans="1:23" ht="14.5">
      <c r="A117" s="498" t="s">
        <v>350</v>
      </c>
      <c r="B117" s="494" t="s">
        <v>363</v>
      </c>
      <c r="C117" s="494" t="s">
        <v>989</v>
      </c>
      <c r="D117" s="514" t="s">
        <v>1092</v>
      </c>
      <c r="E117" s="495"/>
      <c r="F117" s="495"/>
      <c r="G117" s="494" t="s">
        <v>60</v>
      </c>
      <c r="H117" s="496">
        <v>0</v>
      </c>
      <c r="I117" s="496">
        <v>57</v>
      </c>
      <c r="J117" s="496">
        <v>57</v>
      </c>
      <c r="K117" s="343"/>
      <c r="L117" s="497" t="s">
        <v>356</v>
      </c>
      <c r="M117" s="496" t="s">
        <v>418</v>
      </c>
      <c r="N117" s="495"/>
      <c r="O117" s="481" t="s">
        <v>1108</v>
      </c>
      <c r="P117" s="482" t="s">
        <v>1114</v>
      </c>
      <c r="Q117" s="399"/>
      <c r="R117" s="201"/>
      <c r="S117" s="201"/>
      <c r="T117" s="201"/>
      <c r="U117" s="8">
        <v>260</v>
      </c>
      <c r="V117" s="404">
        <f t="shared" si="4"/>
        <v>-64.329547310169659</v>
      </c>
      <c r="W117" s="397">
        <f t="shared" si="5"/>
        <v>296.39999999999998</v>
      </c>
    </row>
    <row r="118" spans="1:23" ht="14.5">
      <c r="A118" s="498" t="s">
        <v>350</v>
      </c>
      <c r="B118" s="494" t="s">
        <v>305</v>
      </c>
      <c r="C118" s="494" t="s">
        <v>682</v>
      </c>
      <c r="D118" s="514" t="s">
        <v>1092</v>
      </c>
      <c r="E118" s="495"/>
      <c r="F118" s="495"/>
      <c r="G118" s="494" t="s">
        <v>60</v>
      </c>
      <c r="H118" s="496">
        <v>1</v>
      </c>
      <c r="I118" s="496">
        <v>19</v>
      </c>
      <c r="J118" s="496">
        <v>79</v>
      </c>
      <c r="K118" s="343"/>
      <c r="L118" s="497" t="s">
        <v>356</v>
      </c>
      <c r="M118" s="496" t="s">
        <v>418</v>
      </c>
      <c r="N118" s="495"/>
      <c r="O118" s="481" t="s">
        <v>1108</v>
      </c>
      <c r="P118" s="482" t="s">
        <v>1114</v>
      </c>
      <c r="Q118" s="399"/>
      <c r="R118" s="201"/>
      <c r="S118" s="201"/>
      <c r="T118" s="201"/>
      <c r="U118" s="8">
        <v>260</v>
      </c>
      <c r="V118" s="404">
        <f t="shared" si="4"/>
        <v>-64.329547310169659</v>
      </c>
      <c r="W118" s="397">
        <f t="shared" si="5"/>
        <v>410.79999999999995</v>
      </c>
    </row>
    <row r="119" spans="1:23" ht="14.5">
      <c r="A119" s="498" t="s">
        <v>350</v>
      </c>
      <c r="B119" s="494" t="s">
        <v>296</v>
      </c>
      <c r="C119" s="494" t="s">
        <v>243</v>
      </c>
      <c r="D119" s="514" t="s">
        <v>1092</v>
      </c>
      <c r="E119" s="495"/>
      <c r="F119" s="495"/>
      <c r="G119" s="494" t="s">
        <v>60</v>
      </c>
      <c r="H119" s="496">
        <v>2</v>
      </c>
      <c r="I119" s="496">
        <v>45</v>
      </c>
      <c r="J119" s="496">
        <v>165</v>
      </c>
      <c r="K119" s="343"/>
      <c r="L119" s="497" t="s">
        <v>356</v>
      </c>
      <c r="M119" s="496" t="s">
        <v>418</v>
      </c>
      <c r="N119" s="495"/>
      <c r="O119" s="481" t="s">
        <v>1108</v>
      </c>
      <c r="P119" s="482" t="s">
        <v>1114</v>
      </c>
      <c r="Q119" s="399"/>
      <c r="R119" s="201"/>
      <c r="S119" s="201"/>
      <c r="T119" s="201"/>
      <c r="U119" s="8">
        <v>260</v>
      </c>
      <c r="V119" s="404">
        <f t="shared" si="4"/>
        <v>-64.329547310169659</v>
      </c>
      <c r="W119" s="397">
        <f t="shared" si="5"/>
        <v>858</v>
      </c>
    </row>
    <row r="120" spans="1:23" ht="14.5">
      <c r="A120" s="498" t="s">
        <v>350</v>
      </c>
      <c r="B120" s="494" t="s">
        <v>1018</v>
      </c>
      <c r="C120" s="494" t="s">
        <v>694</v>
      </c>
      <c r="D120" s="514" t="s">
        <v>1092</v>
      </c>
      <c r="E120" s="495"/>
      <c r="F120" s="495"/>
      <c r="G120" s="494" t="s">
        <v>60</v>
      </c>
      <c r="H120" s="496">
        <v>0</v>
      </c>
      <c r="I120" s="496">
        <v>41</v>
      </c>
      <c r="J120" s="496">
        <v>41</v>
      </c>
      <c r="K120" s="343"/>
      <c r="L120" s="497" t="s">
        <v>356</v>
      </c>
      <c r="M120" s="496" t="s">
        <v>418</v>
      </c>
      <c r="N120" s="495"/>
      <c r="O120" s="481" t="s">
        <v>1108</v>
      </c>
      <c r="P120" s="482" t="s">
        <v>1114</v>
      </c>
      <c r="Q120" s="399"/>
      <c r="R120" s="201"/>
      <c r="S120" s="201"/>
      <c r="T120" s="201"/>
      <c r="U120" s="8">
        <v>260</v>
      </c>
      <c r="V120" s="404">
        <f t="shared" si="4"/>
        <v>-64.329547310169659</v>
      </c>
      <c r="W120" s="397">
        <f t="shared" si="5"/>
        <v>213.2</v>
      </c>
    </row>
    <row r="121" spans="1:23" ht="14.5" customHeight="1">
      <c r="A121" s="508" t="s">
        <v>350</v>
      </c>
      <c r="B121" s="509" t="s">
        <v>943</v>
      </c>
      <c r="C121" s="509" t="s">
        <v>243</v>
      </c>
      <c r="D121" s="515" t="s">
        <v>1093</v>
      </c>
      <c r="E121" s="510"/>
      <c r="F121" s="510"/>
      <c r="G121" s="509" t="s">
        <v>60</v>
      </c>
      <c r="H121" s="511">
        <v>0</v>
      </c>
      <c r="I121" s="511">
        <v>42</v>
      </c>
      <c r="J121" s="511">
        <v>42</v>
      </c>
      <c r="K121" s="512"/>
      <c r="L121" s="513" t="s">
        <v>60</v>
      </c>
      <c r="M121" s="511" t="s">
        <v>418</v>
      </c>
      <c r="N121" s="510"/>
      <c r="O121" s="481" t="s">
        <v>1109</v>
      </c>
      <c r="P121" s="482" t="s">
        <v>1115</v>
      </c>
      <c r="Q121" s="399"/>
      <c r="R121" s="201"/>
      <c r="S121" s="201"/>
      <c r="T121" s="201"/>
      <c r="U121" s="8">
        <v>245</v>
      </c>
      <c r="V121" s="404">
        <f t="shared" si="4"/>
        <v>-77.937458042275239</v>
      </c>
      <c r="W121" s="397">
        <f t="shared" si="5"/>
        <v>205.79999999999998</v>
      </c>
    </row>
    <row r="122" spans="1:23" ht="14.5" customHeight="1">
      <c r="A122" s="508" t="s">
        <v>350</v>
      </c>
      <c r="B122" s="509" t="s">
        <v>293</v>
      </c>
      <c r="C122" s="509" t="s">
        <v>236</v>
      </c>
      <c r="D122" s="515" t="s">
        <v>1093</v>
      </c>
      <c r="E122" s="510"/>
      <c r="F122" s="510"/>
      <c r="G122" s="509" t="s">
        <v>60</v>
      </c>
      <c r="H122" s="511">
        <v>1</v>
      </c>
      <c r="I122" s="511">
        <v>64</v>
      </c>
      <c r="J122" s="511">
        <v>124</v>
      </c>
      <c r="K122" s="512"/>
      <c r="L122" s="513" t="s">
        <v>60</v>
      </c>
      <c r="M122" s="511" t="s">
        <v>418</v>
      </c>
      <c r="N122" s="510"/>
      <c r="O122" s="481" t="s">
        <v>1109</v>
      </c>
      <c r="P122" s="482" t="s">
        <v>1115</v>
      </c>
      <c r="Q122" s="399"/>
      <c r="R122" s="201"/>
      <c r="S122" s="201"/>
      <c r="T122" s="201"/>
      <c r="U122" s="8">
        <v>245</v>
      </c>
      <c r="V122" s="404">
        <f t="shared" si="4"/>
        <v>-77.937458042275239</v>
      </c>
      <c r="W122" s="397">
        <f t="shared" si="5"/>
        <v>607.6</v>
      </c>
    </row>
    <row r="123" spans="1:23" ht="14.5">
      <c r="A123" s="498" t="s">
        <v>350</v>
      </c>
      <c r="B123" s="494" t="s">
        <v>231</v>
      </c>
      <c r="C123" s="494" t="s">
        <v>239</v>
      </c>
      <c r="D123" s="514" t="s">
        <v>1092</v>
      </c>
      <c r="E123" s="495"/>
      <c r="F123" s="495"/>
      <c r="G123" s="494" t="s">
        <v>60</v>
      </c>
      <c r="H123" s="496">
        <v>0</v>
      </c>
      <c r="I123" s="496">
        <v>53</v>
      </c>
      <c r="J123" s="496">
        <v>53</v>
      </c>
      <c r="K123" s="343"/>
      <c r="L123" s="497" t="s">
        <v>356</v>
      </c>
      <c r="M123" s="496" t="s">
        <v>418</v>
      </c>
      <c r="N123" s="495"/>
      <c r="O123" s="481" t="s">
        <v>1108</v>
      </c>
      <c r="P123" s="482" t="s">
        <v>1114</v>
      </c>
      <c r="Q123" s="399"/>
      <c r="R123" s="201"/>
      <c r="S123" s="201"/>
      <c r="T123" s="201"/>
      <c r="U123" s="8">
        <v>260</v>
      </c>
      <c r="V123" s="404">
        <f t="shared" si="4"/>
        <v>-64.329547310169659</v>
      </c>
      <c r="W123" s="397">
        <f t="shared" si="5"/>
        <v>275.59999999999997</v>
      </c>
    </row>
    <row r="124" spans="1:23" ht="14.5">
      <c r="A124" s="498" t="s">
        <v>350</v>
      </c>
      <c r="B124" s="494" t="s">
        <v>292</v>
      </c>
      <c r="C124" s="494" t="s">
        <v>685</v>
      </c>
      <c r="D124" s="514" t="s">
        <v>1092</v>
      </c>
      <c r="E124" s="495"/>
      <c r="F124" s="495"/>
      <c r="G124" s="494" t="s">
        <v>60</v>
      </c>
      <c r="H124" s="496">
        <v>3</v>
      </c>
      <c r="I124" s="496">
        <v>36</v>
      </c>
      <c r="J124" s="496">
        <v>213</v>
      </c>
      <c r="K124" s="343"/>
      <c r="L124" s="497" t="s">
        <v>356</v>
      </c>
      <c r="M124" s="496" t="s">
        <v>418</v>
      </c>
      <c r="N124" s="495"/>
      <c r="O124" s="481" t="s">
        <v>1108</v>
      </c>
      <c r="P124" s="482" t="s">
        <v>1114</v>
      </c>
      <c r="Q124" s="399"/>
      <c r="R124" s="201"/>
      <c r="S124" s="201"/>
      <c r="T124" s="201"/>
      <c r="U124" s="8">
        <v>260</v>
      </c>
      <c r="V124" s="404">
        <f t="shared" si="4"/>
        <v>-64.329547310169659</v>
      </c>
      <c r="W124" s="397">
        <f t="shared" si="5"/>
        <v>1107.5999999999999</v>
      </c>
    </row>
    <row r="125" spans="1:23" ht="14.5">
      <c r="A125" s="498" t="s">
        <v>350</v>
      </c>
      <c r="B125" s="494" t="s">
        <v>287</v>
      </c>
      <c r="C125" s="494" t="s">
        <v>239</v>
      </c>
      <c r="D125" s="514" t="s">
        <v>1092</v>
      </c>
      <c r="E125" s="495"/>
      <c r="F125" s="495"/>
      <c r="G125" s="494" t="s">
        <v>60</v>
      </c>
      <c r="H125" s="496">
        <v>0</v>
      </c>
      <c r="I125" s="496">
        <v>41</v>
      </c>
      <c r="J125" s="496">
        <v>41</v>
      </c>
      <c r="K125" s="343"/>
      <c r="L125" s="497" t="s">
        <v>356</v>
      </c>
      <c r="M125" s="496" t="s">
        <v>418</v>
      </c>
      <c r="N125" s="495"/>
      <c r="O125" s="481" t="s">
        <v>1108</v>
      </c>
      <c r="P125" s="482" t="s">
        <v>1114</v>
      </c>
      <c r="Q125" s="399"/>
      <c r="R125" s="201"/>
      <c r="S125" s="201"/>
      <c r="T125" s="201"/>
      <c r="U125" s="8">
        <v>260</v>
      </c>
      <c r="V125" s="404">
        <f t="shared" si="4"/>
        <v>-64.329547310169659</v>
      </c>
      <c r="W125" s="397">
        <f t="shared" si="5"/>
        <v>213.2</v>
      </c>
    </row>
    <row r="126" spans="1:23" ht="14.5">
      <c r="A126" s="498" t="s">
        <v>350</v>
      </c>
      <c r="B126" s="494" t="s">
        <v>282</v>
      </c>
      <c r="C126" s="494" t="s">
        <v>238</v>
      </c>
      <c r="D126" s="514" t="s">
        <v>1092</v>
      </c>
      <c r="E126" s="495"/>
      <c r="F126" s="495"/>
      <c r="G126" s="494" t="s">
        <v>60</v>
      </c>
      <c r="H126" s="496">
        <v>2</v>
      </c>
      <c r="I126" s="496">
        <v>45</v>
      </c>
      <c r="J126" s="496">
        <v>164</v>
      </c>
      <c r="K126" s="343"/>
      <c r="L126" s="497" t="s">
        <v>356</v>
      </c>
      <c r="M126" s="496" t="s">
        <v>418</v>
      </c>
      <c r="N126" s="495"/>
      <c r="O126" s="481" t="s">
        <v>1108</v>
      </c>
      <c r="P126" s="482" t="s">
        <v>1114</v>
      </c>
      <c r="Q126" s="399"/>
      <c r="R126" s="201"/>
      <c r="S126" s="201"/>
      <c r="T126" s="201"/>
      <c r="U126" s="8">
        <v>260</v>
      </c>
      <c r="V126" s="404">
        <f t="shared" si="4"/>
        <v>-64.329547310169659</v>
      </c>
      <c r="W126" s="397">
        <f t="shared" si="5"/>
        <v>852.8</v>
      </c>
    </row>
    <row r="127" spans="1:23" ht="14.5" customHeight="1">
      <c r="A127" s="508" t="s">
        <v>350</v>
      </c>
      <c r="B127" s="509" t="s">
        <v>949</v>
      </c>
      <c r="C127" s="509" t="s">
        <v>699</v>
      </c>
      <c r="D127" s="515" t="s">
        <v>1093</v>
      </c>
      <c r="E127" s="510"/>
      <c r="F127" s="510"/>
      <c r="G127" s="509" t="s">
        <v>60</v>
      </c>
      <c r="H127" s="511">
        <v>0</v>
      </c>
      <c r="I127" s="511">
        <v>52</v>
      </c>
      <c r="J127" s="511">
        <v>52</v>
      </c>
      <c r="K127" s="512"/>
      <c r="L127" s="513" t="s">
        <v>60</v>
      </c>
      <c r="M127" s="511" t="s">
        <v>418</v>
      </c>
      <c r="N127" s="510"/>
      <c r="O127" s="481" t="s">
        <v>1109</v>
      </c>
      <c r="P127" s="482" t="s">
        <v>1115</v>
      </c>
      <c r="Q127" s="399"/>
      <c r="R127" s="201"/>
      <c r="S127" s="201"/>
      <c r="T127" s="201"/>
      <c r="U127" s="8">
        <v>245</v>
      </c>
      <c r="V127" s="404">
        <f t="shared" si="4"/>
        <v>-77.937458042275239</v>
      </c>
      <c r="W127" s="397">
        <f t="shared" si="5"/>
        <v>254.8</v>
      </c>
    </row>
    <row r="128" spans="1:23" ht="14.5">
      <c r="A128" s="498" t="s">
        <v>350</v>
      </c>
      <c r="B128" s="494" t="s">
        <v>280</v>
      </c>
      <c r="C128" s="494" t="s">
        <v>682</v>
      </c>
      <c r="D128" s="514" t="s">
        <v>1092</v>
      </c>
      <c r="E128" s="495"/>
      <c r="F128" s="495"/>
      <c r="G128" s="494" t="s">
        <v>60</v>
      </c>
      <c r="H128" s="496">
        <v>2</v>
      </c>
      <c r="I128" s="496">
        <v>51</v>
      </c>
      <c r="J128" s="496">
        <v>170</v>
      </c>
      <c r="K128" s="343"/>
      <c r="L128" s="497" t="s">
        <v>356</v>
      </c>
      <c r="M128" s="496" t="s">
        <v>418</v>
      </c>
      <c r="N128" s="495"/>
      <c r="O128" s="481" t="s">
        <v>1108</v>
      </c>
      <c r="P128" s="482" t="s">
        <v>1114</v>
      </c>
      <c r="Q128" s="399"/>
      <c r="R128" s="201"/>
      <c r="S128" s="201"/>
      <c r="T128" s="201"/>
      <c r="U128" s="8">
        <v>260</v>
      </c>
      <c r="V128" s="404">
        <f t="shared" si="4"/>
        <v>-64.329547310169659</v>
      </c>
      <c r="W128" s="397">
        <f t="shared" si="5"/>
        <v>884.00000000000011</v>
      </c>
    </row>
    <row r="129" spans="1:23" ht="14.5">
      <c r="A129" s="498" t="s">
        <v>350</v>
      </c>
      <c r="B129" s="494" t="s">
        <v>955</v>
      </c>
      <c r="C129" s="494" t="s">
        <v>699</v>
      </c>
      <c r="D129" s="514" t="s">
        <v>1092</v>
      </c>
      <c r="E129" s="495"/>
      <c r="F129" s="495"/>
      <c r="G129" s="494" t="s">
        <v>60</v>
      </c>
      <c r="H129" s="496">
        <v>0</v>
      </c>
      <c r="I129" s="496">
        <v>48</v>
      </c>
      <c r="J129" s="496">
        <v>48</v>
      </c>
      <c r="K129" s="343"/>
      <c r="L129" s="497" t="s">
        <v>356</v>
      </c>
      <c r="M129" s="496" t="s">
        <v>418</v>
      </c>
      <c r="N129" s="495"/>
      <c r="O129" s="481" t="s">
        <v>1108</v>
      </c>
      <c r="P129" s="482" t="s">
        <v>1114</v>
      </c>
      <c r="Q129" s="399"/>
      <c r="R129" s="201"/>
      <c r="S129" s="201"/>
      <c r="T129" s="201"/>
      <c r="U129" s="8">
        <v>260</v>
      </c>
      <c r="V129" s="404">
        <f t="shared" si="4"/>
        <v>-64.329547310169659</v>
      </c>
      <c r="W129" s="397">
        <f t="shared" si="5"/>
        <v>249.6</v>
      </c>
    </row>
    <row r="130" spans="1:23" ht="14.5">
      <c r="A130" s="498" t="s">
        <v>350</v>
      </c>
      <c r="B130" s="494" t="s">
        <v>272</v>
      </c>
      <c r="C130" s="494" t="s">
        <v>236</v>
      </c>
      <c r="D130" s="514" t="s">
        <v>1092</v>
      </c>
      <c r="E130" s="495"/>
      <c r="F130" s="495"/>
      <c r="G130" s="494" t="s">
        <v>60</v>
      </c>
      <c r="H130" s="496">
        <v>2</v>
      </c>
      <c r="I130" s="496">
        <v>29</v>
      </c>
      <c r="J130" s="496">
        <v>149</v>
      </c>
      <c r="K130" s="343"/>
      <c r="L130" s="497" t="s">
        <v>356</v>
      </c>
      <c r="M130" s="496" t="s">
        <v>418</v>
      </c>
      <c r="N130" s="495"/>
      <c r="O130" s="481" t="s">
        <v>1108</v>
      </c>
      <c r="P130" s="482" t="s">
        <v>1114</v>
      </c>
      <c r="Q130" s="399"/>
      <c r="R130" s="201"/>
      <c r="S130" s="201"/>
      <c r="T130" s="201"/>
      <c r="U130" s="8">
        <v>260</v>
      </c>
      <c r="V130" s="404">
        <f t="shared" si="4"/>
        <v>-64.329547310169659</v>
      </c>
      <c r="W130" s="397">
        <f t="shared" si="5"/>
        <v>774.8</v>
      </c>
    </row>
    <row r="131" spans="1:23" ht="14.5">
      <c r="A131" s="498" t="s">
        <v>350</v>
      </c>
      <c r="B131" s="494" t="s">
        <v>266</v>
      </c>
      <c r="C131" s="494" t="s">
        <v>1019</v>
      </c>
      <c r="D131" s="514" t="s">
        <v>1092</v>
      </c>
      <c r="E131" s="495"/>
      <c r="F131" s="495"/>
      <c r="G131" s="494" t="s">
        <v>60</v>
      </c>
      <c r="H131" s="496">
        <v>1</v>
      </c>
      <c r="I131" s="496">
        <v>17</v>
      </c>
      <c r="J131" s="496">
        <v>77</v>
      </c>
      <c r="K131" s="343"/>
      <c r="L131" s="497" t="s">
        <v>356</v>
      </c>
      <c r="M131" s="496" t="s">
        <v>418</v>
      </c>
      <c r="N131" s="495"/>
      <c r="O131" s="481" t="s">
        <v>1108</v>
      </c>
      <c r="P131" s="482" t="s">
        <v>1114</v>
      </c>
      <c r="Q131" s="399"/>
      <c r="R131" s="201"/>
      <c r="S131" s="201"/>
      <c r="T131" s="201"/>
      <c r="U131" s="8">
        <v>260</v>
      </c>
      <c r="V131" s="404">
        <f t="shared" si="4"/>
        <v>-64.329547310169659</v>
      </c>
      <c r="W131" s="397">
        <f t="shared" si="5"/>
        <v>400.40000000000003</v>
      </c>
    </row>
    <row r="132" spans="1:23" ht="14.5" customHeight="1">
      <c r="A132" s="508" t="s">
        <v>350</v>
      </c>
      <c r="B132" s="509" t="s">
        <v>688</v>
      </c>
      <c r="C132" s="509" t="s">
        <v>700</v>
      </c>
      <c r="D132" s="515" t="s">
        <v>1093</v>
      </c>
      <c r="E132" s="510"/>
      <c r="F132" s="510"/>
      <c r="G132" s="509" t="s">
        <v>60</v>
      </c>
      <c r="H132" s="511">
        <v>0</v>
      </c>
      <c r="I132" s="511">
        <v>52</v>
      </c>
      <c r="J132" s="511">
        <v>52</v>
      </c>
      <c r="K132" s="512"/>
      <c r="L132" s="513" t="s">
        <v>60</v>
      </c>
      <c r="M132" s="511" t="s">
        <v>418</v>
      </c>
      <c r="N132" s="510"/>
      <c r="O132" s="481" t="s">
        <v>1109</v>
      </c>
      <c r="P132" s="482" t="s">
        <v>1115</v>
      </c>
      <c r="Q132" s="399"/>
      <c r="R132" s="201"/>
      <c r="S132" s="201"/>
      <c r="T132" s="201"/>
      <c r="U132" s="8">
        <v>245</v>
      </c>
      <c r="V132" s="404">
        <f t="shared" ref="V132:V194" si="6">U132/1.1023-$X$1</f>
        <v>-77.937458042275239</v>
      </c>
      <c r="W132" s="397">
        <f t="shared" si="5"/>
        <v>254.8</v>
      </c>
    </row>
    <row r="133" spans="1:23" ht="14.5">
      <c r="A133" s="498" t="s">
        <v>350</v>
      </c>
      <c r="B133" s="494" t="s">
        <v>264</v>
      </c>
      <c r="C133" s="494" t="s">
        <v>233</v>
      </c>
      <c r="D133" s="514" t="s">
        <v>1092</v>
      </c>
      <c r="E133" s="495"/>
      <c r="F133" s="495"/>
      <c r="G133" s="494" t="s">
        <v>60</v>
      </c>
      <c r="H133" s="496">
        <v>0</v>
      </c>
      <c r="I133" s="496">
        <v>45</v>
      </c>
      <c r="J133" s="496">
        <v>45</v>
      </c>
      <c r="K133" s="343"/>
      <c r="L133" s="497" t="s">
        <v>356</v>
      </c>
      <c r="M133" s="496" t="s">
        <v>418</v>
      </c>
      <c r="N133" s="495"/>
      <c r="O133" s="481" t="s">
        <v>1108</v>
      </c>
      <c r="P133" s="482" t="s">
        <v>1114</v>
      </c>
      <c r="Q133" s="399"/>
      <c r="R133" s="201"/>
      <c r="S133" s="201"/>
      <c r="T133" s="201"/>
      <c r="U133" s="8">
        <v>260</v>
      </c>
      <c r="V133" s="404">
        <f t="shared" si="6"/>
        <v>-64.329547310169659</v>
      </c>
      <c r="W133" s="397">
        <f t="shared" ref="W133:W196" si="7">(J133/60*U133)*1.2</f>
        <v>234</v>
      </c>
    </row>
    <row r="134" spans="1:23" ht="14.5">
      <c r="A134" s="498" t="s">
        <v>350</v>
      </c>
      <c r="B134" s="494" t="s">
        <v>1011</v>
      </c>
      <c r="C134" s="494" t="s">
        <v>239</v>
      </c>
      <c r="D134" s="514" t="s">
        <v>1092</v>
      </c>
      <c r="E134" s="495"/>
      <c r="F134" s="495"/>
      <c r="G134" s="494" t="s">
        <v>60</v>
      </c>
      <c r="H134" s="496">
        <v>0</v>
      </c>
      <c r="I134" s="496">
        <v>5</v>
      </c>
      <c r="J134" s="496">
        <v>5</v>
      </c>
      <c r="K134" s="343"/>
      <c r="L134" s="497" t="s">
        <v>356</v>
      </c>
      <c r="M134" s="496" t="s">
        <v>418</v>
      </c>
      <c r="N134" s="495"/>
      <c r="O134" s="481" t="s">
        <v>1108</v>
      </c>
      <c r="P134" s="482" t="s">
        <v>1114</v>
      </c>
      <c r="Q134" s="399"/>
      <c r="R134" s="201"/>
      <c r="S134" s="201"/>
      <c r="T134" s="201"/>
      <c r="U134" s="8">
        <v>260</v>
      </c>
      <c r="V134" s="404">
        <f t="shared" si="6"/>
        <v>-64.329547310169659</v>
      </c>
      <c r="W134" s="397">
        <f t="shared" si="7"/>
        <v>25.999999999999996</v>
      </c>
    </row>
    <row r="135" spans="1:23" ht="14.5">
      <c r="A135" s="397" t="s">
        <v>350</v>
      </c>
      <c r="B135" s="398" t="s">
        <v>339</v>
      </c>
      <c r="C135" s="398" t="s">
        <v>239</v>
      </c>
      <c r="D135" s="399" t="s">
        <v>1104</v>
      </c>
      <c r="E135" s="201"/>
      <c r="F135" s="201"/>
      <c r="G135" s="398" t="s">
        <v>47</v>
      </c>
      <c r="H135" s="399">
        <v>1</v>
      </c>
      <c r="I135" s="399">
        <v>46</v>
      </c>
      <c r="J135" s="399">
        <v>106</v>
      </c>
      <c r="K135" s="14"/>
      <c r="L135" s="400" t="s">
        <v>355</v>
      </c>
      <c r="M135" s="399" t="s">
        <v>418</v>
      </c>
      <c r="N135" s="399" t="s">
        <v>1062</v>
      </c>
      <c r="O135" s="481" t="s">
        <v>1103</v>
      </c>
      <c r="P135" s="482"/>
      <c r="Q135" s="399"/>
      <c r="R135" s="201"/>
      <c r="S135" s="201"/>
      <c r="T135" s="201"/>
      <c r="U135" s="8">
        <v>150</v>
      </c>
      <c r="V135" s="404">
        <f t="shared" si="6"/>
        <v>-164.12089267894402</v>
      </c>
      <c r="W135" s="397">
        <f t="shared" si="7"/>
        <v>318</v>
      </c>
    </row>
    <row r="136" spans="1:23" ht="14.5">
      <c r="A136" s="397" t="s">
        <v>350</v>
      </c>
      <c r="B136" s="398" t="s">
        <v>203</v>
      </c>
      <c r="C136" s="398" t="s">
        <v>239</v>
      </c>
      <c r="D136" s="399" t="s">
        <v>1094</v>
      </c>
      <c r="E136" s="201"/>
      <c r="F136" s="201"/>
      <c r="G136" s="398" t="s">
        <v>47</v>
      </c>
      <c r="H136" s="399">
        <v>0</v>
      </c>
      <c r="I136" s="399">
        <v>61</v>
      </c>
      <c r="J136" s="399">
        <v>61</v>
      </c>
      <c r="K136" s="14"/>
      <c r="L136" s="400" t="s">
        <v>60</v>
      </c>
      <c r="M136" s="399" t="s">
        <v>418</v>
      </c>
      <c r="N136" s="201"/>
      <c r="O136" s="481" t="s">
        <v>1105</v>
      </c>
      <c r="P136" s="482"/>
      <c r="Q136" s="399"/>
      <c r="R136" s="201"/>
      <c r="S136" s="201"/>
      <c r="T136" s="201"/>
      <c r="U136" s="8">
        <v>250</v>
      </c>
      <c r="V136" s="404">
        <f t="shared" si="6"/>
        <v>-73.401487798240055</v>
      </c>
      <c r="W136" s="397">
        <f t="shared" si="7"/>
        <v>305</v>
      </c>
    </row>
    <row r="137" spans="1:23" ht="14.5">
      <c r="A137" s="397" t="s">
        <v>350</v>
      </c>
      <c r="B137" s="398" t="s">
        <v>183</v>
      </c>
      <c r="C137" s="398" t="s">
        <v>357</v>
      </c>
      <c r="D137" s="399" t="s">
        <v>1094</v>
      </c>
      <c r="E137" s="201"/>
      <c r="F137" s="201"/>
      <c r="G137" s="398" t="s">
        <v>47</v>
      </c>
      <c r="H137" s="399">
        <v>1</v>
      </c>
      <c r="I137" s="399">
        <v>15</v>
      </c>
      <c r="J137" s="399">
        <v>75</v>
      </c>
      <c r="K137" s="14"/>
      <c r="L137" s="400" t="s">
        <v>60</v>
      </c>
      <c r="M137" s="399" t="s">
        <v>418</v>
      </c>
      <c r="N137" s="201"/>
      <c r="O137" s="481" t="s">
        <v>1105</v>
      </c>
      <c r="P137" s="482"/>
      <c r="Q137" s="399"/>
      <c r="R137" s="201"/>
      <c r="S137" s="201"/>
      <c r="T137" s="201"/>
      <c r="U137" s="8">
        <v>250</v>
      </c>
      <c r="V137" s="404">
        <f t="shared" si="6"/>
        <v>-73.401487798240055</v>
      </c>
      <c r="W137" s="397">
        <f t="shared" si="7"/>
        <v>375</v>
      </c>
    </row>
    <row r="138" spans="1:23" ht="14.5">
      <c r="A138" s="397" t="s">
        <v>350</v>
      </c>
      <c r="B138" s="398" t="s">
        <v>226</v>
      </c>
      <c r="C138" s="398" t="s">
        <v>243</v>
      </c>
      <c r="D138" s="399" t="s">
        <v>1094</v>
      </c>
      <c r="E138" s="201"/>
      <c r="F138" s="201"/>
      <c r="G138" s="398" t="s">
        <v>47</v>
      </c>
      <c r="H138" s="399">
        <v>0</v>
      </c>
      <c r="I138" s="399">
        <v>54</v>
      </c>
      <c r="J138" s="399">
        <v>54</v>
      </c>
      <c r="K138" s="14"/>
      <c r="L138" s="400" t="s">
        <v>60</v>
      </c>
      <c r="M138" s="399" t="s">
        <v>418</v>
      </c>
      <c r="N138" s="201"/>
      <c r="O138" s="481" t="s">
        <v>1105</v>
      </c>
      <c r="P138" s="482"/>
      <c r="Q138" s="399"/>
      <c r="R138" s="201"/>
      <c r="S138" s="201"/>
      <c r="T138" s="201"/>
      <c r="U138" s="8">
        <v>250</v>
      </c>
      <c r="V138" s="404">
        <f t="shared" si="6"/>
        <v>-73.401487798240055</v>
      </c>
      <c r="W138" s="397">
        <f t="shared" si="7"/>
        <v>270</v>
      </c>
    </row>
    <row r="139" spans="1:23" ht="14.5">
      <c r="A139" s="397" t="s">
        <v>350</v>
      </c>
      <c r="B139" s="398" t="s">
        <v>328</v>
      </c>
      <c r="C139" s="398" t="s">
        <v>242</v>
      </c>
      <c r="D139" s="399" t="s">
        <v>1097</v>
      </c>
      <c r="E139" s="201"/>
      <c r="F139" s="201"/>
      <c r="G139" s="398" t="s">
        <v>47</v>
      </c>
      <c r="H139" s="399">
        <v>0</v>
      </c>
      <c r="I139" s="399">
        <v>48</v>
      </c>
      <c r="J139" s="399">
        <v>48</v>
      </c>
      <c r="K139" s="14"/>
      <c r="L139" s="400" t="s">
        <v>63</v>
      </c>
      <c r="M139" s="399" t="s">
        <v>418</v>
      </c>
      <c r="N139" s="201"/>
      <c r="O139" s="481" t="s">
        <v>1098</v>
      </c>
      <c r="P139" s="482"/>
      <c r="Q139" s="399"/>
      <c r="R139" s="201"/>
      <c r="S139" s="201"/>
      <c r="T139" s="201"/>
      <c r="U139" s="8">
        <v>230</v>
      </c>
      <c r="V139" s="404">
        <f t="shared" si="6"/>
        <v>-91.545368774380847</v>
      </c>
      <c r="W139" s="397">
        <f t="shared" si="7"/>
        <v>220.79999999999998</v>
      </c>
    </row>
    <row r="140" spans="1:23" ht="14.5">
      <c r="A140" s="397" t="s">
        <v>350</v>
      </c>
      <c r="B140" s="398" t="s">
        <v>1016</v>
      </c>
      <c r="C140" s="398" t="s">
        <v>989</v>
      </c>
      <c r="D140" s="399" t="s">
        <v>1094</v>
      </c>
      <c r="E140" s="201"/>
      <c r="F140" s="201"/>
      <c r="G140" s="398" t="s">
        <v>47</v>
      </c>
      <c r="H140" s="399">
        <v>0</v>
      </c>
      <c r="I140" s="399">
        <v>54</v>
      </c>
      <c r="J140" s="399">
        <v>54</v>
      </c>
      <c r="K140" s="14"/>
      <c r="L140" s="400" t="s">
        <v>60</v>
      </c>
      <c r="M140" s="399" t="s">
        <v>418</v>
      </c>
      <c r="N140" s="201"/>
      <c r="O140" s="481" t="s">
        <v>1105</v>
      </c>
      <c r="P140" s="482"/>
      <c r="Q140" s="399"/>
      <c r="R140" s="201"/>
      <c r="S140" s="201"/>
      <c r="T140" s="201"/>
      <c r="U140" s="8">
        <v>250</v>
      </c>
      <c r="V140" s="404">
        <f t="shared" si="6"/>
        <v>-73.401487798240055</v>
      </c>
      <c r="W140" s="397">
        <f t="shared" si="7"/>
        <v>270</v>
      </c>
    </row>
    <row r="141" spans="1:23" ht="14.5">
      <c r="A141" s="397" t="s">
        <v>350</v>
      </c>
      <c r="B141" s="398" t="s">
        <v>212</v>
      </c>
      <c r="C141" s="398" t="s">
        <v>236</v>
      </c>
      <c r="D141" s="399" t="s">
        <v>1094</v>
      </c>
      <c r="E141" s="201"/>
      <c r="F141" s="201"/>
      <c r="G141" s="398" t="s">
        <v>47</v>
      </c>
      <c r="H141" s="399">
        <v>0</v>
      </c>
      <c r="I141" s="399">
        <v>66</v>
      </c>
      <c r="J141" s="399">
        <v>66</v>
      </c>
      <c r="K141" s="14"/>
      <c r="L141" s="400" t="s">
        <v>60</v>
      </c>
      <c r="M141" s="399" t="s">
        <v>418</v>
      </c>
      <c r="N141" s="201"/>
      <c r="O141" s="481" t="s">
        <v>1105</v>
      </c>
      <c r="P141" s="482"/>
      <c r="Q141" s="399"/>
      <c r="R141" s="201"/>
      <c r="S141" s="201"/>
      <c r="T141" s="201"/>
      <c r="U141" s="8">
        <v>250</v>
      </c>
      <c r="V141" s="404">
        <f t="shared" si="6"/>
        <v>-73.401487798240055</v>
      </c>
      <c r="W141" s="397">
        <f t="shared" si="7"/>
        <v>330</v>
      </c>
    </row>
    <row r="142" spans="1:23" ht="14.5">
      <c r="A142" s="397" t="s">
        <v>350</v>
      </c>
      <c r="B142" s="398" t="s">
        <v>189</v>
      </c>
      <c r="C142" s="398" t="s">
        <v>238</v>
      </c>
      <c r="D142" s="399" t="s">
        <v>1097</v>
      </c>
      <c r="E142" s="201"/>
      <c r="F142" s="201"/>
      <c r="G142" s="398" t="s">
        <v>47</v>
      </c>
      <c r="H142" s="399">
        <v>0</v>
      </c>
      <c r="I142" s="399">
        <v>17</v>
      </c>
      <c r="J142" s="399">
        <v>17</v>
      </c>
      <c r="K142" s="14"/>
      <c r="L142" s="400" t="s">
        <v>63</v>
      </c>
      <c r="M142" s="399" t="s">
        <v>418</v>
      </c>
      <c r="N142" s="201"/>
      <c r="O142" s="481" t="s">
        <v>1098</v>
      </c>
      <c r="P142" s="482"/>
      <c r="Q142" s="399"/>
      <c r="R142" s="201"/>
      <c r="S142" s="201"/>
      <c r="T142" s="201"/>
      <c r="U142" s="8">
        <v>230</v>
      </c>
      <c r="V142" s="404">
        <f t="shared" si="6"/>
        <v>-91.545368774380847</v>
      </c>
      <c r="W142" s="397">
        <f t="shared" si="7"/>
        <v>78.2</v>
      </c>
    </row>
    <row r="143" spans="1:23" ht="14.5">
      <c r="A143" s="397" t="s">
        <v>350</v>
      </c>
      <c r="B143" s="398" t="s">
        <v>187</v>
      </c>
      <c r="C143" s="398" t="s">
        <v>239</v>
      </c>
      <c r="D143" s="399" t="s">
        <v>1094</v>
      </c>
      <c r="E143" s="201"/>
      <c r="F143" s="201"/>
      <c r="G143" s="398" t="s">
        <v>47</v>
      </c>
      <c r="H143" s="399">
        <v>0</v>
      </c>
      <c r="I143" s="399">
        <v>32</v>
      </c>
      <c r="J143" s="399">
        <v>32</v>
      </c>
      <c r="K143" s="14"/>
      <c r="L143" s="400" t="s">
        <v>60</v>
      </c>
      <c r="M143" s="399" t="s">
        <v>418</v>
      </c>
      <c r="N143" s="201"/>
      <c r="O143" s="481" t="s">
        <v>1105</v>
      </c>
      <c r="P143" s="482"/>
      <c r="Q143" s="399"/>
      <c r="R143" s="201"/>
      <c r="S143" s="201"/>
      <c r="T143" s="201"/>
      <c r="U143" s="8">
        <v>250</v>
      </c>
      <c r="V143" s="404">
        <f t="shared" si="6"/>
        <v>-73.401487798240055</v>
      </c>
      <c r="W143" s="397">
        <f t="shared" si="7"/>
        <v>160</v>
      </c>
    </row>
    <row r="144" spans="1:23" ht="14.5">
      <c r="A144" s="397" t="s">
        <v>350</v>
      </c>
      <c r="B144" s="398" t="s">
        <v>185</v>
      </c>
      <c r="C144" s="398" t="s">
        <v>233</v>
      </c>
      <c r="D144" s="399" t="s">
        <v>1097</v>
      </c>
      <c r="E144" s="201"/>
      <c r="F144" s="201"/>
      <c r="G144" s="398" t="s">
        <v>47</v>
      </c>
      <c r="H144" s="399">
        <v>0</v>
      </c>
      <c r="I144" s="399">
        <v>34</v>
      </c>
      <c r="J144" s="399">
        <v>34</v>
      </c>
      <c r="K144" s="14"/>
      <c r="L144" s="400" t="s">
        <v>63</v>
      </c>
      <c r="M144" s="399" t="s">
        <v>418</v>
      </c>
      <c r="N144" s="201"/>
      <c r="O144" s="481" t="s">
        <v>1098</v>
      </c>
      <c r="P144" s="482"/>
      <c r="Q144" s="399"/>
      <c r="R144" s="201"/>
      <c r="S144" s="201"/>
      <c r="T144" s="201"/>
      <c r="U144" s="8">
        <v>230</v>
      </c>
      <c r="V144" s="404">
        <f t="shared" si="6"/>
        <v>-91.545368774380847</v>
      </c>
      <c r="W144" s="397">
        <f t="shared" si="7"/>
        <v>156.4</v>
      </c>
    </row>
    <row r="145" spans="1:23" ht="14.5">
      <c r="A145" s="397" t="s">
        <v>350</v>
      </c>
      <c r="B145" s="398" t="s">
        <v>327</v>
      </c>
      <c r="C145" s="398" t="s">
        <v>240</v>
      </c>
      <c r="D145" s="399" t="s">
        <v>1097</v>
      </c>
      <c r="E145" s="201"/>
      <c r="F145" s="201"/>
      <c r="G145" s="398" t="s">
        <v>47</v>
      </c>
      <c r="H145" s="399">
        <v>0</v>
      </c>
      <c r="I145" s="399">
        <v>48</v>
      </c>
      <c r="J145" s="399">
        <v>48</v>
      </c>
      <c r="K145" s="14"/>
      <c r="L145" s="400" t="s">
        <v>63</v>
      </c>
      <c r="M145" s="399" t="s">
        <v>418</v>
      </c>
      <c r="N145" s="201"/>
      <c r="O145" s="481" t="s">
        <v>1098</v>
      </c>
      <c r="P145" s="482"/>
      <c r="Q145" s="399"/>
      <c r="R145" s="201"/>
      <c r="S145" s="201"/>
      <c r="T145" s="201"/>
      <c r="U145" s="8">
        <v>230</v>
      </c>
      <c r="V145" s="404">
        <f t="shared" si="6"/>
        <v>-91.545368774380847</v>
      </c>
      <c r="W145" s="397">
        <f t="shared" si="7"/>
        <v>220.79999999999998</v>
      </c>
    </row>
    <row r="146" spans="1:23" ht="14.5">
      <c r="A146" s="397" t="s">
        <v>350</v>
      </c>
      <c r="B146" s="398" t="s">
        <v>322</v>
      </c>
      <c r="C146" s="398" t="s">
        <v>241</v>
      </c>
      <c r="D146" s="399" t="s">
        <v>1097</v>
      </c>
      <c r="E146" s="201"/>
      <c r="F146" s="201"/>
      <c r="G146" s="398" t="s">
        <v>47</v>
      </c>
      <c r="H146" s="399">
        <v>0</v>
      </c>
      <c r="I146" s="399">
        <v>59</v>
      </c>
      <c r="J146" s="399">
        <v>59</v>
      </c>
      <c r="K146" s="14"/>
      <c r="L146" s="400" t="s">
        <v>63</v>
      </c>
      <c r="M146" s="399" t="s">
        <v>418</v>
      </c>
      <c r="N146" s="201"/>
      <c r="O146" s="481" t="s">
        <v>1098</v>
      </c>
      <c r="P146" s="482"/>
      <c r="Q146" s="399"/>
      <c r="R146" s="201"/>
      <c r="S146" s="201"/>
      <c r="T146" s="201"/>
      <c r="U146" s="8">
        <v>230</v>
      </c>
      <c r="V146" s="404">
        <f t="shared" si="6"/>
        <v>-91.545368774380847</v>
      </c>
      <c r="W146" s="397">
        <f t="shared" si="7"/>
        <v>271.39999999999998</v>
      </c>
    </row>
    <row r="147" spans="1:23" ht="14.5">
      <c r="A147" s="589" t="s">
        <v>350</v>
      </c>
      <c r="B147" s="590" t="s">
        <v>225</v>
      </c>
      <c r="C147" s="590" t="s">
        <v>358</v>
      </c>
      <c r="D147" s="591" t="s">
        <v>1097</v>
      </c>
      <c r="E147" s="592"/>
      <c r="F147" s="592"/>
      <c r="G147" s="590" t="s">
        <v>47</v>
      </c>
      <c r="H147" s="591">
        <v>0</v>
      </c>
      <c r="I147" s="591">
        <v>34</v>
      </c>
      <c r="J147" s="591">
        <v>34</v>
      </c>
      <c r="K147" s="593"/>
      <c r="L147" s="594" t="s">
        <v>63</v>
      </c>
      <c r="M147" s="591" t="s">
        <v>418</v>
      </c>
      <c r="N147" s="592"/>
      <c r="O147" s="595" t="s">
        <v>1098</v>
      </c>
      <c r="P147" s="596"/>
      <c r="Q147" s="591"/>
      <c r="R147" s="592"/>
      <c r="S147" s="592"/>
      <c r="T147" s="592"/>
      <c r="U147" s="597">
        <v>230</v>
      </c>
      <c r="V147" s="598">
        <f t="shared" si="6"/>
        <v>-91.545368774380847</v>
      </c>
      <c r="W147" s="589">
        <f t="shared" si="7"/>
        <v>156.4</v>
      </c>
    </row>
    <row r="148" spans="1:23" ht="14.5">
      <c r="A148" s="397" t="s">
        <v>350</v>
      </c>
      <c r="B148" s="398" t="s">
        <v>1017</v>
      </c>
      <c r="C148" s="398" t="s">
        <v>240</v>
      </c>
      <c r="D148" s="399" t="s">
        <v>1094</v>
      </c>
      <c r="E148" s="201"/>
      <c r="F148" s="201"/>
      <c r="G148" s="398" t="s">
        <v>47</v>
      </c>
      <c r="H148" s="399">
        <v>0</v>
      </c>
      <c r="I148" s="399">
        <v>24</v>
      </c>
      <c r="J148" s="399">
        <v>24</v>
      </c>
      <c r="K148" s="14"/>
      <c r="L148" s="400" t="s">
        <v>60</v>
      </c>
      <c r="M148" s="399" t="s">
        <v>418</v>
      </c>
      <c r="N148" s="201"/>
      <c r="O148" s="481" t="s">
        <v>1105</v>
      </c>
      <c r="P148" s="482"/>
      <c r="Q148" s="399"/>
      <c r="R148" s="201"/>
      <c r="S148" s="201"/>
      <c r="T148" s="201"/>
      <c r="U148" s="8">
        <v>250</v>
      </c>
      <c r="V148" s="404">
        <f t="shared" si="6"/>
        <v>-73.401487798240055</v>
      </c>
      <c r="W148" s="397">
        <f t="shared" si="7"/>
        <v>120</v>
      </c>
    </row>
    <row r="149" spans="1:23" ht="14.5">
      <c r="A149" s="397" t="s">
        <v>350</v>
      </c>
      <c r="B149" s="398" t="s">
        <v>321</v>
      </c>
      <c r="C149" s="398" t="s">
        <v>242</v>
      </c>
      <c r="D149" s="399" t="s">
        <v>1095</v>
      </c>
      <c r="E149" s="201"/>
      <c r="F149" s="201"/>
      <c r="G149" s="398" t="s">
        <v>47</v>
      </c>
      <c r="H149" s="399">
        <v>2</v>
      </c>
      <c r="I149" s="399">
        <v>22</v>
      </c>
      <c r="J149" s="399">
        <v>142</v>
      </c>
      <c r="K149" s="14"/>
      <c r="L149" s="400" t="s">
        <v>62</v>
      </c>
      <c r="M149" s="399" t="s">
        <v>418</v>
      </c>
      <c r="N149" s="201"/>
      <c r="O149" s="481" t="s">
        <v>1096</v>
      </c>
      <c r="P149" s="482"/>
      <c r="Q149" s="399"/>
      <c r="R149" s="201"/>
      <c r="S149" s="201"/>
      <c r="T149" s="201"/>
      <c r="U149" s="8">
        <v>200</v>
      </c>
      <c r="V149" s="404">
        <f t="shared" si="6"/>
        <v>-118.76119023859204</v>
      </c>
      <c r="W149" s="397">
        <f t="shared" si="7"/>
        <v>568</v>
      </c>
    </row>
    <row r="150" spans="1:23" ht="14.5">
      <c r="A150" s="397" t="s">
        <v>350</v>
      </c>
      <c r="B150" s="398" t="s">
        <v>320</v>
      </c>
      <c r="C150" s="398" t="s">
        <v>352</v>
      </c>
      <c r="D150" s="399" t="s">
        <v>1094</v>
      </c>
      <c r="E150" s="201"/>
      <c r="F150" s="201"/>
      <c r="G150" s="398" t="s">
        <v>47</v>
      </c>
      <c r="H150" s="399">
        <v>1</v>
      </c>
      <c r="I150" s="399">
        <v>16</v>
      </c>
      <c r="J150" s="399">
        <v>76</v>
      </c>
      <c r="K150" s="14"/>
      <c r="L150" s="400" t="s">
        <v>60</v>
      </c>
      <c r="M150" s="399" t="s">
        <v>418</v>
      </c>
      <c r="N150" s="201"/>
      <c r="O150" s="481" t="s">
        <v>1105</v>
      </c>
      <c r="P150" s="482"/>
      <c r="Q150" s="399"/>
      <c r="R150" s="201"/>
      <c r="S150" s="201"/>
      <c r="T150" s="201"/>
      <c r="U150" s="8">
        <v>250</v>
      </c>
      <c r="V150" s="404">
        <f t="shared" si="6"/>
        <v>-73.401487798240055</v>
      </c>
      <c r="W150" s="397">
        <f t="shared" si="7"/>
        <v>379.99999999999994</v>
      </c>
    </row>
    <row r="151" spans="1:23" ht="14.5">
      <c r="A151" s="397" t="s">
        <v>350</v>
      </c>
      <c r="B151" s="398" t="s">
        <v>190</v>
      </c>
      <c r="C151" s="398" t="s">
        <v>238</v>
      </c>
      <c r="D151" s="399" t="s">
        <v>1094</v>
      </c>
      <c r="E151" s="201"/>
      <c r="F151" s="201"/>
      <c r="G151" s="398" t="s">
        <v>47</v>
      </c>
      <c r="H151" s="399">
        <v>0</v>
      </c>
      <c r="I151" s="399">
        <v>55</v>
      </c>
      <c r="J151" s="399">
        <v>55</v>
      </c>
      <c r="K151" s="14"/>
      <c r="L151" s="400" t="s">
        <v>60</v>
      </c>
      <c r="M151" s="399" t="s">
        <v>418</v>
      </c>
      <c r="N151" s="201"/>
      <c r="O151" s="481" t="s">
        <v>1105</v>
      </c>
      <c r="P151" s="482"/>
      <c r="Q151" s="399"/>
      <c r="R151" s="201"/>
      <c r="S151" s="201"/>
      <c r="T151" s="201"/>
      <c r="U151" s="8">
        <v>250</v>
      </c>
      <c r="V151" s="404">
        <f t="shared" si="6"/>
        <v>-73.401487798240055</v>
      </c>
      <c r="W151" s="397">
        <f t="shared" si="7"/>
        <v>275</v>
      </c>
    </row>
    <row r="152" spans="1:23" ht="14.5">
      <c r="A152" s="397" t="s">
        <v>350</v>
      </c>
      <c r="B152" s="398" t="s">
        <v>211</v>
      </c>
      <c r="C152" s="398" t="s">
        <v>235</v>
      </c>
      <c r="D152" s="399" t="s">
        <v>1094</v>
      </c>
      <c r="E152" s="201"/>
      <c r="F152" s="201"/>
      <c r="G152" s="398" t="s">
        <v>47</v>
      </c>
      <c r="H152" s="399">
        <v>0</v>
      </c>
      <c r="I152" s="399">
        <v>46</v>
      </c>
      <c r="J152" s="399">
        <v>46</v>
      </c>
      <c r="K152" s="14"/>
      <c r="L152" s="400" t="s">
        <v>60</v>
      </c>
      <c r="M152" s="399" t="s">
        <v>418</v>
      </c>
      <c r="N152" s="201"/>
      <c r="O152" s="481" t="s">
        <v>1105</v>
      </c>
      <c r="P152" s="482"/>
      <c r="Q152" s="399"/>
      <c r="R152" s="201"/>
      <c r="S152" s="201"/>
      <c r="T152" s="201"/>
      <c r="U152" s="8">
        <v>250</v>
      </c>
      <c r="V152" s="404">
        <f t="shared" si="6"/>
        <v>-73.401487798240055</v>
      </c>
      <c r="W152" s="397">
        <f t="shared" si="7"/>
        <v>230.00000000000003</v>
      </c>
    </row>
    <row r="153" spans="1:23" ht="14.5">
      <c r="A153" s="397" t="s">
        <v>350</v>
      </c>
      <c r="B153" s="398" t="s">
        <v>207</v>
      </c>
      <c r="C153" s="398" t="s">
        <v>237</v>
      </c>
      <c r="D153" s="399" t="s">
        <v>1094</v>
      </c>
      <c r="E153" s="201"/>
      <c r="F153" s="201"/>
      <c r="G153" s="398" t="s">
        <v>47</v>
      </c>
      <c r="H153" s="399">
        <v>0</v>
      </c>
      <c r="I153" s="399">
        <v>64</v>
      </c>
      <c r="J153" s="399">
        <v>64</v>
      </c>
      <c r="K153" s="14"/>
      <c r="L153" s="400" t="s">
        <v>60</v>
      </c>
      <c r="M153" s="399" t="s">
        <v>418</v>
      </c>
      <c r="N153" s="201"/>
      <c r="O153" s="481" t="s">
        <v>1105</v>
      </c>
      <c r="P153" s="482"/>
      <c r="Q153" s="399"/>
      <c r="R153" s="201"/>
      <c r="S153" s="201"/>
      <c r="T153" s="201"/>
      <c r="U153" s="8">
        <v>250</v>
      </c>
      <c r="V153" s="404">
        <f t="shared" si="6"/>
        <v>-73.401487798240055</v>
      </c>
      <c r="W153" s="397">
        <f t="shared" si="7"/>
        <v>320</v>
      </c>
    </row>
    <row r="154" spans="1:23" ht="14.5">
      <c r="A154" s="397" t="s">
        <v>350</v>
      </c>
      <c r="B154" s="398" t="s">
        <v>307</v>
      </c>
      <c r="C154" s="398" t="s">
        <v>696</v>
      </c>
      <c r="D154" s="399" t="s">
        <v>1094</v>
      </c>
      <c r="E154" s="201"/>
      <c r="F154" s="201"/>
      <c r="G154" s="398" t="s">
        <v>47</v>
      </c>
      <c r="H154" s="399">
        <v>1</v>
      </c>
      <c r="I154" s="399">
        <v>29</v>
      </c>
      <c r="J154" s="399">
        <v>89</v>
      </c>
      <c r="K154" s="14"/>
      <c r="L154" s="400" t="s">
        <v>60</v>
      </c>
      <c r="M154" s="399" t="s">
        <v>418</v>
      </c>
      <c r="N154" s="201"/>
      <c r="O154" s="481" t="s">
        <v>1105</v>
      </c>
      <c r="P154" s="482"/>
      <c r="Q154" s="399"/>
      <c r="R154" s="201"/>
      <c r="S154" s="201"/>
      <c r="T154" s="201"/>
      <c r="U154" s="8">
        <v>250</v>
      </c>
      <c r="V154" s="404">
        <f t="shared" si="6"/>
        <v>-73.401487798240055</v>
      </c>
      <c r="W154" s="397">
        <f t="shared" si="7"/>
        <v>445.00000000000006</v>
      </c>
    </row>
    <row r="155" spans="1:23" ht="14.5">
      <c r="A155" s="397" t="s">
        <v>350</v>
      </c>
      <c r="B155" s="398" t="s">
        <v>363</v>
      </c>
      <c r="C155" s="398" t="s">
        <v>989</v>
      </c>
      <c r="D155" s="399" t="s">
        <v>1095</v>
      </c>
      <c r="E155" s="201"/>
      <c r="F155" s="201"/>
      <c r="G155" s="398" t="s">
        <v>47</v>
      </c>
      <c r="H155" s="399">
        <v>0</v>
      </c>
      <c r="I155" s="399">
        <v>59</v>
      </c>
      <c r="J155" s="399">
        <v>59</v>
      </c>
      <c r="K155" s="14"/>
      <c r="L155" s="400" t="s">
        <v>62</v>
      </c>
      <c r="M155" s="399" t="s">
        <v>418</v>
      </c>
      <c r="N155" s="201"/>
      <c r="O155" s="481" t="s">
        <v>1096</v>
      </c>
      <c r="P155" s="482"/>
      <c r="Q155" s="399"/>
      <c r="R155" s="201"/>
      <c r="S155" s="201"/>
      <c r="T155" s="201"/>
      <c r="U155" s="8">
        <v>200</v>
      </c>
      <c r="V155" s="404">
        <f t="shared" si="6"/>
        <v>-118.76119023859204</v>
      </c>
      <c r="W155" s="397">
        <f t="shared" si="7"/>
        <v>235.99999999999997</v>
      </c>
    </row>
    <row r="156" spans="1:23" ht="14.5">
      <c r="A156" s="397" t="s">
        <v>350</v>
      </c>
      <c r="B156" s="398" t="s">
        <v>305</v>
      </c>
      <c r="C156" s="398" t="s">
        <v>682</v>
      </c>
      <c r="D156" s="399" t="s">
        <v>1094</v>
      </c>
      <c r="E156" s="201"/>
      <c r="F156" s="201"/>
      <c r="G156" s="398" t="s">
        <v>47</v>
      </c>
      <c r="H156" s="399">
        <v>1</v>
      </c>
      <c r="I156" s="399">
        <v>32</v>
      </c>
      <c r="J156" s="399">
        <v>92</v>
      </c>
      <c r="K156" s="14"/>
      <c r="L156" s="400" t="s">
        <v>60</v>
      </c>
      <c r="M156" s="399" t="s">
        <v>418</v>
      </c>
      <c r="N156" s="201"/>
      <c r="O156" s="481" t="s">
        <v>1105</v>
      </c>
      <c r="P156" s="482"/>
      <c r="Q156" s="399"/>
      <c r="R156" s="201"/>
      <c r="S156" s="201"/>
      <c r="T156" s="201"/>
      <c r="U156" s="8">
        <v>250</v>
      </c>
      <c r="V156" s="404">
        <f t="shared" si="6"/>
        <v>-73.401487798240055</v>
      </c>
      <c r="W156" s="397">
        <f t="shared" si="7"/>
        <v>460.00000000000006</v>
      </c>
    </row>
    <row r="157" spans="1:23" ht="14.5">
      <c r="A157" s="397" t="s">
        <v>350</v>
      </c>
      <c r="B157" s="398" t="s">
        <v>296</v>
      </c>
      <c r="C157" s="398" t="s">
        <v>243</v>
      </c>
      <c r="D157" s="399" t="s">
        <v>1094</v>
      </c>
      <c r="E157" s="201"/>
      <c r="F157" s="201"/>
      <c r="G157" s="398" t="s">
        <v>47</v>
      </c>
      <c r="H157" s="399">
        <v>1</v>
      </c>
      <c r="I157" s="399">
        <v>16</v>
      </c>
      <c r="J157" s="399">
        <v>75</v>
      </c>
      <c r="K157" s="14"/>
      <c r="L157" s="400" t="s">
        <v>60</v>
      </c>
      <c r="M157" s="399" t="s">
        <v>418</v>
      </c>
      <c r="N157" s="201"/>
      <c r="O157" s="481" t="s">
        <v>1105</v>
      </c>
      <c r="P157" s="482"/>
      <c r="Q157" s="399"/>
      <c r="R157" s="201"/>
      <c r="S157" s="201"/>
      <c r="T157" s="201"/>
      <c r="U157" s="8">
        <v>250</v>
      </c>
      <c r="V157" s="404">
        <f t="shared" si="6"/>
        <v>-73.401487798240055</v>
      </c>
      <c r="W157" s="397">
        <f t="shared" si="7"/>
        <v>375</v>
      </c>
    </row>
    <row r="158" spans="1:23" ht="14.5">
      <c r="A158" s="397" t="s">
        <v>350</v>
      </c>
      <c r="B158" s="398" t="s">
        <v>1018</v>
      </c>
      <c r="C158" s="398" t="s">
        <v>694</v>
      </c>
      <c r="D158" s="399" t="s">
        <v>1094</v>
      </c>
      <c r="E158" s="201"/>
      <c r="F158" s="201"/>
      <c r="G158" s="398" t="s">
        <v>47</v>
      </c>
      <c r="H158" s="399">
        <v>1</v>
      </c>
      <c r="I158" s="399">
        <v>30</v>
      </c>
      <c r="J158" s="399">
        <v>90</v>
      </c>
      <c r="K158" s="14"/>
      <c r="L158" s="400" t="s">
        <v>60</v>
      </c>
      <c r="M158" s="399" t="s">
        <v>418</v>
      </c>
      <c r="N158" s="201"/>
      <c r="O158" s="481" t="s">
        <v>1105</v>
      </c>
      <c r="P158" s="482"/>
      <c r="Q158" s="399"/>
      <c r="R158" s="201"/>
      <c r="S158" s="201"/>
      <c r="T158" s="201"/>
      <c r="U158" s="8">
        <v>250</v>
      </c>
      <c r="V158" s="404">
        <f t="shared" si="6"/>
        <v>-73.401487798240055</v>
      </c>
      <c r="W158" s="397">
        <f t="shared" si="7"/>
        <v>450</v>
      </c>
    </row>
    <row r="159" spans="1:23" ht="14.5">
      <c r="A159" s="397" t="s">
        <v>350</v>
      </c>
      <c r="B159" s="398" t="s">
        <v>943</v>
      </c>
      <c r="C159" s="398" t="s">
        <v>243</v>
      </c>
      <c r="D159" s="399" t="s">
        <v>1095</v>
      </c>
      <c r="E159" s="201"/>
      <c r="F159" s="201"/>
      <c r="G159" s="398" t="s">
        <v>47</v>
      </c>
      <c r="H159" s="399">
        <v>3</v>
      </c>
      <c r="I159" s="399">
        <v>54</v>
      </c>
      <c r="J159" s="399">
        <v>234</v>
      </c>
      <c r="K159" s="14"/>
      <c r="L159" s="400" t="s">
        <v>62</v>
      </c>
      <c r="M159" s="399" t="s">
        <v>418</v>
      </c>
      <c r="N159" s="201"/>
      <c r="O159" s="481" t="s">
        <v>1096</v>
      </c>
      <c r="P159" s="482"/>
      <c r="Q159" s="399"/>
      <c r="R159" s="201"/>
      <c r="S159" s="201"/>
      <c r="T159" s="201"/>
      <c r="U159" s="8">
        <v>200</v>
      </c>
      <c r="V159" s="404">
        <f t="shared" si="6"/>
        <v>-118.76119023859204</v>
      </c>
      <c r="W159" s="397">
        <f t="shared" si="7"/>
        <v>936</v>
      </c>
    </row>
    <row r="160" spans="1:23" ht="14.5">
      <c r="A160" s="397" t="s">
        <v>350</v>
      </c>
      <c r="B160" s="398" t="s">
        <v>293</v>
      </c>
      <c r="C160" s="398" t="s">
        <v>236</v>
      </c>
      <c r="D160" s="399" t="s">
        <v>1094</v>
      </c>
      <c r="E160" s="201"/>
      <c r="F160" s="201"/>
      <c r="G160" s="398" t="s">
        <v>47</v>
      </c>
      <c r="H160" s="399">
        <v>1</v>
      </c>
      <c r="I160" s="399">
        <v>56</v>
      </c>
      <c r="J160" s="399">
        <v>116</v>
      </c>
      <c r="K160" s="14"/>
      <c r="L160" s="400" t="s">
        <v>60</v>
      </c>
      <c r="M160" s="399" t="s">
        <v>418</v>
      </c>
      <c r="N160" s="201"/>
      <c r="O160" s="481" t="s">
        <v>1105</v>
      </c>
      <c r="P160" s="482"/>
      <c r="Q160" s="399"/>
      <c r="R160" s="201"/>
      <c r="S160" s="201"/>
      <c r="T160" s="201"/>
      <c r="U160" s="8">
        <v>250</v>
      </c>
      <c r="V160" s="404">
        <f t="shared" si="6"/>
        <v>-73.401487798240055</v>
      </c>
      <c r="W160" s="397">
        <f t="shared" si="7"/>
        <v>580</v>
      </c>
    </row>
    <row r="161" spans="1:23" ht="14.5">
      <c r="A161" s="397" t="s">
        <v>350</v>
      </c>
      <c r="B161" s="398" t="s">
        <v>231</v>
      </c>
      <c r="C161" s="398" t="s">
        <v>239</v>
      </c>
      <c r="D161" s="399" t="s">
        <v>1094</v>
      </c>
      <c r="E161" s="201"/>
      <c r="F161" s="201"/>
      <c r="G161" s="398" t="s">
        <v>47</v>
      </c>
      <c r="H161" s="399">
        <v>1</v>
      </c>
      <c r="I161" s="399">
        <v>29</v>
      </c>
      <c r="J161" s="399">
        <v>89</v>
      </c>
      <c r="K161" s="14"/>
      <c r="L161" s="400" t="s">
        <v>60</v>
      </c>
      <c r="M161" s="399" t="s">
        <v>418</v>
      </c>
      <c r="N161" s="201"/>
      <c r="O161" s="481" t="s">
        <v>1105</v>
      </c>
      <c r="P161" s="482"/>
      <c r="Q161" s="399"/>
      <c r="R161" s="201"/>
      <c r="S161" s="201"/>
      <c r="T161" s="201"/>
      <c r="U161" s="8">
        <v>250</v>
      </c>
      <c r="V161" s="404">
        <f t="shared" si="6"/>
        <v>-73.401487798240055</v>
      </c>
      <c r="W161" s="397">
        <f t="shared" si="7"/>
        <v>445.00000000000006</v>
      </c>
    </row>
    <row r="162" spans="1:23" ht="14.5">
      <c r="A162" s="397" t="s">
        <v>350</v>
      </c>
      <c r="B162" s="398" t="s">
        <v>287</v>
      </c>
      <c r="C162" s="398" t="s">
        <v>239</v>
      </c>
      <c r="D162" s="399" t="s">
        <v>1094</v>
      </c>
      <c r="E162" s="201"/>
      <c r="F162" s="201"/>
      <c r="G162" s="398" t="s">
        <v>47</v>
      </c>
      <c r="H162" s="399">
        <v>1</v>
      </c>
      <c r="I162" s="399">
        <v>65</v>
      </c>
      <c r="J162" s="399">
        <v>125</v>
      </c>
      <c r="K162" s="14"/>
      <c r="L162" s="400" t="s">
        <v>60</v>
      </c>
      <c r="M162" s="399" t="s">
        <v>418</v>
      </c>
      <c r="N162" s="201"/>
      <c r="O162" s="481" t="s">
        <v>1105</v>
      </c>
      <c r="P162" s="482"/>
      <c r="Q162" s="399"/>
      <c r="R162" s="201"/>
      <c r="S162" s="201"/>
      <c r="T162" s="201"/>
      <c r="U162" s="8">
        <v>250</v>
      </c>
      <c r="V162" s="404">
        <f t="shared" si="6"/>
        <v>-73.401487798240055</v>
      </c>
      <c r="W162" s="397">
        <f t="shared" si="7"/>
        <v>625</v>
      </c>
    </row>
    <row r="163" spans="1:23" ht="14.5">
      <c r="A163" s="397" t="s">
        <v>350</v>
      </c>
      <c r="B163" s="398" t="s">
        <v>282</v>
      </c>
      <c r="C163" s="398" t="s">
        <v>238</v>
      </c>
      <c r="D163" s="399" t="s">
        <v>1097</v>
      </c>
      <c r="E163" s="201"/>
      <c r="F163" s="201"/>
      <c r="G163" s="398" t="s">
        <v>47</v>
      </c>
      <c r="H163" s="399">
        <v>3</v>
      </c>
      <c r="I163" s="399">
        <v>42</v>
      </c>
      <c r="J163" s="399">
        <v>222</v>
      </c>
      <c r="K163" s="14"/>
      <c r="L163" s="400" t="s">
        <v>63</v>
      </c>
      <c r="M163" s="399" t="s">
        <v>418</v>
      </c>
      <c r="N163" s="201"/>
      <c r="O163" s="481" t="s">
        <v>1098</v>
      </c>
      <c r="P163" s="482"/>
      <c r="Q163" s="399"/>
      <c r="R163" s="201"/>
      <c r="S163" s="201"/>
      <c r="T163" s="201"/>
      <c r="U163" s="8">
        <v>230</v>
      </c>
      <c r="V163" s="404">
        <f t="shared" si="6"/>
        <v>-91.545368774380847</v>
      </c>
      <c r="W163" s="397">
        <f t="shared" si="7"/>
        <v>1021.1999999999999</v>
      </c>
    </row>
    <row r="164" spans="1:23" ht="14.5">
      <c r="A164" s="397" t="s">
        <v>350</v>
      </c>
      <c r="B164" s="398" t="s">
        <v>949</v>
      </c>
      <c r="C164" s="398" t="s">
        <v>699</v>
      </c>
      <c r="D164" s="399" t="s">
        <v>1104</v>
      </c>
      <c r="E164" s="201"/>
      <c r="F164" s="201"/>
      <c r="G164" s="398" t="s">
        <v>47</v>
      </c>
      <c r="H164" s="399">
        <v>2</v>
      </c>
      <c r="I164" s="399">
        <v>13</v>
      </c>
      <c r="J164" s="399">
        <v>132</v>
      </c>
      <c r="K164" s="14"/>
      <c r="L164" s="400" t="s">
        <v>355</v>
      </c>
      <c r="M164" s="399" t="s">
        <v>418</v>
      </c>
      <c r="N164" s="399" t="s">
        <v>1062</v>
      </c>
      <c r="O164" s="481" t="s">
        <v>1103</v>
      </c>
      <c r="P164" s="482"/>
      <c r="Q164" s="399"/>
      <c r="R164" s="201"/>
      <c r="S164" s="201"/>
      <c r="T164" s="201"/>
      <c r="U164" s="8">
        <v>110</v>
      </c>
      <c r="V164" s="404">
        <f t="shared" si="6"/>
        <v>-200.4086546312256</v>
      </c>
      <c r="W164" s="397">
        <f t="shared" si="7"/>
        <v>290.40000000000003</v>
      </c>
    </row>
    <row r="165" spans="1:23" ht="14.5">
      <c r="A165" s="397" t="s">
        <v>350</v>
      </c>
      <c r="B165" s="398" t="s">
        <v>280</v>
      </c>
      <c r="C165" s="398" t="s">
        <v>682</v>
      </c>
      <c r="D165" s="399" t="s">
        <v>1097</v>
      </c>
      <c r="E165" s="201"/>
      <c r="F165" s="201"/>
      <c r="G165" s="398" t="s">
        <v>47</v>
      </c>
      <c r="H165" s="399">
        <v>2</v>
      </c>
      <c r="I165" s="399">
        <v>36</v>
      </c>
      <c r="J165" s="399">
        <v>155</v>
      </c>
      <c r="K165" s="14"/>
      <c r="L165" s="400" t="s">
        <v>63</v>
      </c>
      <c r="M165" s="399" t="s">
        <v>418</v>
      </c>
      <c r="N165" s="201"/>
      <c r="O165" s="481" t="s">
        <v>1098</v>
      </c>
      <c r="P165" s="482"/>
      <c r="Q165" s="399"/>
      <c r="R165" s="201"/>
      <c r="S165" s="201"/>
      <c r="T165" s="201"/>
      <c r="U165" s="8">
        <v>230</v>
      </c>
      <c r="V165" s="404">
        <f t="shared" si="6"/>
        <v>-91.545368774380847</v>
      </c>
      <c r="W165" s="397">
        <f t="shared" si="7"/>
        <v>713.00000000000011</v>
      </c>
    </row>
    <row r="166" spans="1:23" ht="14.5">
      <c r="A166" s="397" t="s">
        <v>350</v>
      </c>
      <c r="B166" s="398" t="s">
        <v>955</v>
      </c>
      <c r="C166" s="398" t="s">
        <v>699</v>
      </c>
      <c r="D166" s="399" t="s">
        <v>1097</v>
      </c>
      <c r="E166" s="201"/>
      <c r="F166" s="201"/>
      <c r="G166" s="398" t="s">
        <v>47</v>
      </c>
      <c r="H166" s="399">
        <v>0</v>
      </c>
      <c r="I166" s="399">
        <v>54</v>
      </c>
      <c r="J166" s="399">
        <v>54</v>
      </c>
      <c r="K166" s="14"/>
      <c r="L166" s="400" t="s">
        <v>63</v>
      </c>
      <c r="M166" s="399" t="s">
        <v>418</v>
      </c>
      <c r="N166" s="201"/>
      <c r="O166" s="481" t="s">
        <v>1098</v>
      </c>
      <c r="P166" s="482"/>
      <c r="Q166" s="399"/>
      <c r="R166" s="201"/>
      <c r="S166" s="201"/>
      <c r="T166" s="201"/>
      <c r="U166" s="8">
        <v>230</v>
      </c>
      <c r="V166" s="404">
        <f t="shared" si="6"/>
        <v>-91.545368774380847</v>
      </c>
      <c r="W166" s="397">
        <f t="shared" si="7"/>
        <v>248.39999999999998</v>
      </c>
    </row>
    <row r="167" spans="1:23" ht="14.5">
      <c r="A167" s="397" t="s">
        <v>350</v>
      </c>
      <c r="B167" s="398" t="s">
        <v>272</v>
      </c>
      <c r="C167" s="398" t="s">
        <v>236</v>
      </c>
      <c r="D167" s="399" t="s">
        <v>1094</v>
      </c>
      <c r="E167" s="201"/>
      <c r="F167" s="201"/>
      <c r="G167" s="398" t="s">
        <v>47</v>
      </c>
      <c r="H167" s="399">
        <v>2</v>
      </c>
      <c r="I167" s="399">
        <v>22</v>
      </c>
      <c r="J167" s="399">
        <v>142</v>
      </c>
      <c r="K167" s="14"/>
      <c r="L167" s="400" t="s">
        <v>60</v>
      </c>
      <c r="M167" s="399" t="s">
        <v>418</v>
      </c>
      <c r="N167" s="201"/>
      <c r="O167" s="481" t="s">
        <v>1105</v>
      </c>
      <c r="P167" s="482"/>
      <c r="Q167" s="399"/>
      <c r="R167" s="201"/>
      <c r="S167" s="201"/>
      <c r="T167" s="201"/>
      <c r="U167" s="8">
        <v>250</v>
      </c>
      <c r="V167" s="404">
        <f t="shared" si="6"/>
        <v>-73.401487798240055</v>
      </c>
      <c r="W167" s="397">
        <f t="shared" si="7"/>
        <v>709.99999999999989</v>
      </c>
    </row>
    <row r="168" spans="1:23" ht="14.5">
      <c r="A168" s="397" t="s">
        <v>350</v>
      </c>
      <c r="B168" s="398" t="s">
        <v>266</v>
      </c>
      <c r="C168" s="398" t="s">
        <v>1019</v>
      </c>
      <c r="D168" s="399" t="s">
        <v>1094</v>
      </c>
      <c r="E168" s="201"/>
      <c r="F168" s="201"/>
      <c r="G168" s="398" t="s">
        <v>47</v>
      </c>
      <c r="H168" s="399">
        <v>1</v>
      </c>
      <c r="I168" s="399">
        <v>54</v>
      </c>
      <c r="J168" s="399">
        <v>114</v>
      </c>
      <c r="K168" s="14"/>
      <c r="L168" s="400" t="s">
        <v>60</v>
      </c>
      <c r="M168" s="399" t="s">
        <v>418</v>
      </c>
      <c r="N168" s="201"/>
      <c r="O168" s="481" t="s">
        <v>1105</v>
      </c>
      <c r="P168" s="482"/>
      <c r="Q168" s="399"/>
      <c r="R168" s="201"/>
      <c r="S168" s="201"/>
      <c r="T168" s="201"/>
      <c r="U168" s="8">
        <v>250</v>
      </c>
      <c r="V168" s="404">
        <f t="shared" si="6"/>
        <v>-73.401487798240055</v>
      </c>
      <c r="W168" s="397">
        <f t="shared" si="7"/>
        <v>570</v>
      </c>
    </row>
    <row r="169" spans="1:23" ht="14.5">
      <c r="A169" s="397" t="s">
        <v>350</v>
      </c>
      <c r="B169" s="398" t="s">
        <v>688</v>
      </c>
      <c r="C169" s="398" t="s">
        <v>700</v>
      </c>
      <c r="D169" s="399" t="s">
        <v>1095</v>
      </c>
      <c r="E169" s="201"/>
      <c r="F169" s="201"/>
      <c r="G169" s="398" t="s">
        <v>47</v>
      </c>
      <c r="H169" s="399">
        <v>1</v>
      </c>
      <c r="I169" s="399">
        <v>20</v>
      </c>
      <c r="J169" s="399">
        <v>80</v>
      </c>
      <c r="K169" s="14"/>
      <c r="L169" s="400" t="s">
        <v>62</v>
      </c>
      <c r="M169" s="399" t="s">
        <v>418</v>
      </c>
      <c r="N169" s="201"/>
      <c r="O169" s="481" t="s">
        <v>1096</v>
      </c>
      <c r="P169" s="482"/>
      <c r="Q169" s="399"/>
      <c r="R169" s="201"/>
      <c r="S169" s="201"/>
      <c r="T169" s="201"/>
      <c r="U169" s="8">
        <v>200</v>
      </c>
      <c r="V169" s="404">
        <f t="shared" si="6"/>
        <v>-118.76119023859204</v>
      </c>
      <c r="W169" s="397">
        <f t="shared" si="7"/>
        <v>319.99999999999994</v>
      </c>
    </row>
    <row r="170" spans="1:23" ht="14.5">
      <c r="A170" s="397" t="s">
        <v>350</v>
      </c>
      <c r="B170" s="398" t="s">
        <v>264</v>
      </c>
      <c r="C170" s="398" t="s">
        <v>1020</v>
      </c>
      <c r="D170" s="399" t="s">
        <v>1094</v>
      </c>
      <c r="E170" s="201"/>
      <c r="F170" s="201"/>
      <c r="G170" s="398" t="s">
        <v>47</v>
      </c>
      <c r="H170" s="399">
        <v>1</v>
      </c>
      <c r="I170" s="399"/>
      <c r="J170" s="399">
        <v>61</v>
      </c>
      <c r="K170" s="14"/>
      <c r="L170" s="400" t="s">
        <v>60</v>
      </c>
      <c r="M170" s="399" t="s">
        <v>418</v>
      </c>
      <c r="N170" s="201"/>
      <c r="O170" s="481" t="s">
        <v>1105</v>
      </c>
      <c r="P170" s="482"/>
      <c r="Q170" s="399"/>
      <c r="R170" s="201"/>
      <c r="S170" s="201"/>
      <c r="T170" s="201"/>
      <c r="U170" s="8">
        <v>250</v>
      </c>
      <c r="V170" s="404">
        <f t="shared" si="6"/>
        <v>-73.401487798240055</v>
      </c>
      <c r="W170" s="397">
        <f t="shared" si="7"/>
        <v>305</v>
      </c>
    </row>
    <row r="171" spans="1:23" ht="14.5">
      <c r="A171" s="397" t="s">
        <v>350</v>
      </c>
      <c r="B171" s="398" t="s">
        <v>263</v>
      </c>
      <c r="C171" s="398" t="s">
        <v>243</v>
      </c>
      <c r="D171" s="399" t="s">
        <v>1095</v>
      </c>
      <c r="E171" s="201"/>
      <c r="F171" s="201"/>
      <c r="G171" s="398" t="s">
        <v>47</v>
      </c>
      <c r="H171" s="399">
        <v>3</v>
      </c>
      <c r="I171" s="399"/>
      <c r="J171" s="399">
        <v>180</v>
      </c>
      <c r="K171" s="14"/>
      <c r="L171" s="400" t="s">
        <v>62</v>
      </c>
      <c r="M171" s="399" t="s">
        <v>418</v>
      </c>
      <c r="N171" s="201"/>
      <c r="O171" s="481" t="s">
        <v>1096</v>
      </c>
      <c r="P171" s="482"/>
      <c r="Q171" s="399"/>
      <c r="R171" s="201"/>
      <c r="S171" s="201"/>
      <c r="T171" s="201"/>
      <c r="U171" s="8">
        <v>200</v>
      </c>
      <c r="V171" s="404">
        <f t="shared" si="6"/>
        <v>-118.76119023859204</v>
      </c>
      <c r="W171" s="397">
        <f t="shared" si="7"/>
        <v>720</v>
      </c>
    </row>
    <row r="172" spans="1:23" ht="14.5">
      <c r="A172" s="397" t="s">
        <v>350</v>
      </c>
      <c r="B172" s="398" t="s">
        <v>689</v>
      </c>
      <c r="C172" s="398" t="s">
        <v>352</v>
      </c>
      <c r="D172" s="399" t="s">
        <v>1095</v>
      </c>
      <c r="E172" s="201"/>
      <c r="F172" s="201"/>
      <c r="G172" s="398" t="s">
        <v>47</v>
      </c>
      <c r="H172" s="399">
        <v>4</v>
      </c>
      <c r="I172" s="399"/>
      <c r="J172" s="399">
        <v>237</v>
      </c>
      <c r="K172" s="14"/>
      <c r="L172" s="400" t="s">
        <v>62</v>
      </c>
      <c r="M172" s="399" t="s">
        <v>418</v>
      </c>
      <c r="N172" s="201"/>
      <c r="O172" s="481" t="s">
        <v>1096</v>
      </c>
      <c r="P172" s="482"/>
      <c r="Q172" s="399"/>
      <c r="R172" s="201"/>
      <c r="S172" s="201"/>
      <c r="T172" s="201"/>
      <c r="U172" s="8">
        <v>200</v>
      </c>
      <c r="V172" s="404">
        <f t="shared" si="6"/>
        <v>-118.76119023859204</v>
      </c>
      <c r="W172" s="397">
        <f t="shared" si="7"/>
        <v>948</v>
      </c>
    </row>
    <row r="173" spans="1:23" ht="14.5">
      <c r="A173" s="397" t="s">
        <v>350</v>
      </c>
      <c r="B173" s="398" t="s">
        <v>690</v>
      </c>
      <c r="C173" s="398" t="s">
        <v>700</v>
      </c>
      <c r="D173" s="399" t="s">
        <v>1104</v>
      </c>
      <c r="E173" s="201"/>
      <c r="F173" s="201"/>
      <c r="G173" s="398" t="s">
        <v>47</v>
      </c>
      <c r="H173" s="399">
        <v>3</v>
      </c>
      <c r="I173" s="399">
        <v>33</v>
      </c>
      <c r="J173" s="399">
        <v>210</v>
      </c>
      <c r="K173" s="14"/>
      <c r="L173" s="400" t="s">
        <v>355</v>
      </c>
      <c r="M173" s="399" t="s">
        <v>418</v>
      </c>
      <c r="N173" s="399" t="s">
        <v>1062</v>
      </c>
      <c r="O173" s="481" t="s">
        <v>1103</v>
      </c>
      <c r="P173" s="482"/>
      <c r="Q173" s="399"/>
      <c r="R173" s="201"/>
      <c r="S173" s="201"/>
      <c r="T173" s="201"/>
      <c r="U173" s="8">
        <v>110</v>
      </c>
      <c r="V173" s="404">
        <f t="shared" si="6"/>
        <v>-200.4086546312256</v>
      </c>
      <c r="W173" s="397">
        <f t="shared" si="7"/>
        <v>462</v>
      </c>
    </row>
    <row r="174" spans="1:23" ht="14.5">
      <c r="A174" s="397" t="s">
        <v>350</v>
      </c>
      <c r="B174" s="398" t="s">
        <v>261</v>
      </c>
      <c r="C174" s="398" t="s">
        <v>696</v>
      </c>
      <c r="D174" s="399" t="s">
        <v>1094</v>
      </c>
      <c r="E174" s="201"/>
      <c r="F174" s="201"/>
      <c r="G174" s="398" t="s">
        <v>47</v>
      </c>
      <c r="H174" s="399">
        <v>1</v>
      </c>
      <c r="I174" s="399">
        <v>48</v>
      </c>
      <c r="J174" s="399">
        <v>108</v>
      </c>
      <c r="K174" s="14"/>
      <c r="L174" s="400" t="s">
        <v>60</v>
      </c>
      <c r="M174" s="399" t="s">
        <v>418</v>
      </c>
      <c r="N174" s="201"/>
      <c r="O174" s="481" t="s">
        <v>1105</v>
      </c>
      <c r="P174" s="482"/>
      <c r="Q174" s="399"/>
      <c r="R174" s="201"/>
      <c r="S174" s="201"/>
      <c r="T174" s="201"/>
      <c r="U174" s="8">
        <v>250</v>
      </c>
      <c r="V174" s="404">
        <f t="shared" si="6"/>
        <v>-73.401487798240055</v>
      </c>
      <c r="W174" s="397">
        <f t="shared" si="7"/>
        <v>540</v>
      </c>
    </row>
    <row r="175" spans="1:23" ht="14.5">
      <c r="A175" s="397" t="s">
        <v>350</v>
      </c>
      <c r="B175" s="398" t="s">
        <v>693</v>
      </c>
      <c r="C175" s="398" t="s">
        <v>685</v>
      </c>
      <c r="D175" s="399" t="s">
        <v>1094</v>
      </c>
      <c r="E175" s="201"/>
      <c r="F175" s="201"/>
      <c r="G175" s="398" t="s">
        <v>47</v>
      </c>
      <c r="H175" s="399">
        <v>3</v>
      </c>
      <c r="I175" s="399">
        <v>22</v>
      </c>
      <c r="J175" s="399">
        <v>201</v>
      </c>
      <c r="K175" s="14"/>
      <c r="L175" s="400" t="s">
        <v>60</v>
      </c>
      <c r="M175" s="399" t="s">
        <v>418</v>
      </c>
      <c r="N175" s="201"/>
      <c r="O175" s="481" t="s">
        <v>1105</v>
      </c>
      <c r="P175" s="482"/>
      <c r="Q175" s="399"/>
      <c r="R175" s="201"/>
      <c r="S175" s="201"/>
      <c r="T175" s="201"/>
      <c r="U175" s="8">
        <v>250</v>
      </c>
      <c r="V175" s="404">
        <f t="shared" si="6"/>
        <v>-73.401487798240055</v>
      </c>
      <c r="W175" s="397">
        <f t="shared" si="7"/>
        <v>1005</v>
      </c>
    </row>
    <row r="176" spans="1:23" ht="14.5">
      <c r="A176" s="397" t="s">
        <v>350</v>
      </c>
      <c r="B176" s="417" t="s">
        <v>371</v>
      </c>
      <c r="C176" s="417" t="s">
        <v>683</v>
      </c>
      <c r="D176" s="399" t="s">
        <v>1104</v>
      </c>
      <c r="E176" s="201"/>
      <c r="F176" s="201"/>
      <c r="G176" s="417" t="s">
        <v>47</v>
      </c>
      <c r="H176" s="418">
        <v>2</v>
      </c>
      <c r="I176" s="418">
        <v>62</v>
      </c>
      <c r="J176" s="418">
        <v>181</v>
      </c>
      <c r="K176" s="14"/>
      <c r="L176" s="419" t="s">
        <v>355</v>
      </c>
      <c r="M176" s="399" t="s">
        <v>418</v>
      </c>
      <c r="N176" s="399" t="s">
        <v>1062</v>
      </c>
      <c r="O176" s="481" t="s">
        <v>1103</v>
      </c>
      <c r="P176" s="482"/>
      <c r="Q176" s="399"/>
      <c r="R176" s="201"/>
      <c r="S176" s="201"/>
      <c r="T176" s="201"/>
      <c r="U176" s="8">
        <v>110</v>
      </c>
      <c r="V176" s="404">
        <f t="shared" si="6"/>
        <v>-200.4086546312256</v>
      </c>
      <c r="W176" s="397">
        <f t="shared" si="7"/>
        <v>398.2</v>
      </c>
    </row>
    <row r="177" spans="1:23" ht="14.5">
      <c r="A177" s="397" t="s">
        <v>350</v>
      </c>
      <c r="B177" s="398" t="s">
        <v>373</v>
      </c>
      <c r="C177" s="398" t="s">
        <v>683</v>
      </c>
      <c r="D177" s="399" t="s">
        <v>1094</v>
      </c>
      <c r="E177" s="201"/>
      <c r="F177" s="201"/>
      <c r="G177" s="398" t="s">
        <v>47</v>
      </c>
      <c r="H177" s="399">
        <v>0</v>
      </c>
      <c r="I177" s="399">
        <v>36</v>
      </c>
      <c r="J177" s="399">
        <v>36</v>
      </c>
      <c r="K177" s="14"/>
      <c r="L177" s="400" t="s">
        <v>60</v>
      </c>
      <c r="M177" s="399" t="s">
        <v>418</v>
      </c>
      <c r="N177" s="201"/>
      <c r="O177" s="481" t="s">
        <v>1105</v>
      </c>
      <c r="P177" s="482"/>
      <c r="Q177" s="399"/>
      <c r="R177" s="201"/>
      <c r="S177" s="201"/>
      <c r="T177" s="201"/>
      <c r="U177" s="8">
        <v>250</v>
      </c>
      <c r="V177" s="404">
        <f t="shared" si="6"/>
        <v>-73.401487798240055</v>
      </c>
      <c r="W177" s="397">
        <f t="shared" si="7"/>
        <v>180</v>
      </c>
    </row>
    <row r="178" spans="1:23" ht="14.5">
      <c r="A178" s="397" t="s">
        <v>350</v>
      </c>
      <c r="B178" s="398" t="s">
        <v>374</v>
      </c>
      <c r="C178" s="398" t="s">
        <v>694</v>
      </c>
      <c r="D178" s="399" t="s">
        <v>1097</v>
      </c>
      <c r="E178" s="201"/>
      <c r="F178" s="201"/>
      <c r="G178" s="398" t="s">
        <v>47</v>
      </c>
      <c r="H178" s="399">
        <v>1</v>
      </c>
      <c r="I178" s="399">
        <v>25</v>
      </c>
      <c r="J178" s="399">
        <v>85</v>
      </c>
      <c r="K178" s="14"/>
      <c r="L178" s="400" t="s">
        <v>63</v>
      </c>
      <c r="M178" s="399" t="s">
        <v>418</v>
      </c>
      <c r="N178" s="201"/>
      <c r="O178" s="481" t="s">
        <v>1098</v>
      </c>
      <c r="P178" s="482"/>
      <c r="Q178" s="399"/>
      <c r="R178" s="201"/>
      <c r="S178" s="201"/>
      <c r="T178" s="201"/>
      <c r="U178" s="8">
        <v>230</v>
      </c>
      <c r="V178" s="404">
        <f t="shared" si="6"/>
        <v>-91.545368774380847</v>
      </c>
      <c r="W178" s="397">
        <f t="shared" si="7"/>
        <v>391.00000000000006</v>
      </c>
    </row>
    <row r="179" spans="1:23" ht="14.5">
      <c r="A179" s="397" t="s">
        <v>350</v>
      </c>
      <c r="B179" s="398" t="s">
        <v>1011</v>
      </c>
      <c r="C179" s="398" t="s">
        <v>239</v>
      </c>
      <c r="D179" s="399" t="s">
        <v>1094</v>
      </c>
      <c r="E179" s="201"/>
      <c r="F179" s="201"/>
      <c r="G179" s="398" t="s">
        <v>47</v>
      </c>
      <c r="H179" s="399">
        <v>0</v>
      </c>
      <c r="I179" s="399">
        <v>30</v>
      </c>
      <c r="J179" s="399">
        <v>30</v>
      </c>
      <c r="K179" s="14"/>
      <c r="L179" s="400" t="s">
        <v>60</v>
      </c>
      <c r="M179" s="399" t="s">
        <v>418</v>
      </c>
      <c r="N179" s="201"/>
      <c r="O179" s="481" t="s">
        <v>1105</v>
      </c>
      <c r="P179" s="482"/>
      <c r="Q179" s="399"/>
      <c r="R179" s="201"/>
      <c r="S179" s="201"/>
      <c r="T179" s="201"/>
      <c r="U179" s="8">
        <v>250</v>
      </c>
      <c r="V179" s="404">
        <f t="shared" si="6"/>
        <v>-73.401487798240055</v>
      </c>
      <c r="W179" s="397">
        <f t="shared" si="7"/>
        <v>150</v>
      </c>
    </row>
    <row r="180" spans="1:23" ht="14.5">
      <c r="A180" s="397" t="s">
        <v>350</v>
      </c>
      <c r="B180" s="398" t="s">
        <v>701</v>
      </c>
      <c r="C180" s="398" t="s">
        <v>1021</v>
      </c>
      <c r="D180" s="399" t="s">
        <v>1100</v>
      </c>
      <c r="E180" s="201"/>
      <c r="F180" s="201"/>
      <c r="G180" s="398" t="s">
        <v>46</v>
      </c>
      <c r="H180" s="399">
        <v>1</v>
      </c>
      <c r="I180" s="399">
        <v>61</v>
      </c>
      <c r="J180" s="399">
        <v>121</v>
      </c>
      <c r="K180" s="14"/>
      <c r="L180" s="400" t="s">
        <v>60</v>
      </c>
      <c r="M180" s="399" t="s">
        <v>418</v>
      </c>
      <c r="N180" s="201"/>
      <c r="O180" s="481" t="s">
        <v>1099</v>
      </c>
      <c r="P180" s="482"/>
      <c r="Q180" s="399"/>
      <c r="R180" s="201"/>
      <c r="S180" s="201"/>
      <c r="T180" s="201"/>
      <c r="U180" s="8">
        <v>225</v>
      </c>
      <c r="V180" s="404">
        <f t="shared" si="6"/>
        <v>-96.081339018416031</v>
      </c>
      <c r="W180" s="397">
        <f t="shared" si="7"/>
        <v>544.5</v>
      </c>
    </row>
    <row r="181" spans="1:23" ht="14.5">
      <c r="A181" s="397" t="s">
        <v>350</v>
      </c>
      <c r="B181" s="398" t="s">
        <v>698</v>
      </c>
      <c r="C181" s="398" t="s">
        <v>239</v>
      </c>
      <c r="D181" s="399" t="s">
        <v>1102</v>
      </c>
      <c r="E181" s="201"/>
      <c r="F181" s="201"/>
      <c r="G181" s="398" t="s">
        <v>46</v>
      </c>
      <c r="H181" s="399">
        <v>1</v>
      </c>
      <c r="I181" s="399">
        <v>10</v>
      </c>
      <c r="J181" s="399">
        <v>70</v>
      </c>
      <c r="K181" s="14"/>
      <c r="L181" s="400" t="s">
        <v>59</v>
      </c>
      <c r="M181" s="399" t="s">
        <v>418</v>
      </c>
      <c r="N181" s="201"/>
      <c r="O181" s="481" t="s">
        <v>1101</v>
      </c>
      <c r="P181" s="482"/>
      <c r="Q181" s="399"/>
      <c r="R181" s="201"/>
      <c r="S181" s="201"/>
      <c r="T181" s="201"/>
      <c r="U181" s="8">
        <v>225</v>
      </c>
      <c r="V181" s="404">
        <f t="shared" si="6"/>
        <v>-96.081339018416031</v>
      </c>
      <c r="W181" s="397">
        <f t="shared" si="7"/>
        <v>315</v>
      </c>
    </row>
    <row r="182" spans="1:23" ht="14.5">
      <c r="A182" s="397" t="s">
        <v>350</v>
      </c>
      <c r="B182" s="398" t="s">
        <v>329</v>
      </c>
      <c r="C182" s="398" t="s">
        <v>234</v>
      </c>
      <c r="D182" s="399" t="s">
        <v>1100</v>
      </c>
      <c r="E182" s="201"/>
      <c r="F182" s="201"/>
      <c r="G182" s="398" t="s">
        <v>46</v>
      </c>
      <c r="H182" s="399">
        <v>3</v>
      </c>
      <c r="I182" s="399">
        <v>33</v>
      </c>
      <c r="J182" s="399">
        <v>213</v>
      </c>
      <c r="K182" s="14"/>
      <c r="L182" s="400" t="s">
        <v>60</v>
      </c>
      <c r="M182" s="399" t="s">
        <v>418</v>
      </c>
      <c r="N182" s="201"/>
      <c r="O182" s="481" t="s">
        <v>1099</v>
      </c>
      <c r="P182" s="482"/>
      <c r="Q182" s="399"/>
      <c r="R182" s="201"/>
      <c r="S182" s="201"/>
      <c r="T182" s="201"/>
      <c r="U182" s="8">
        <v>225</v>
      </c>
      <c r="V182" s="404">
        <f t="shared" si="6"/>
        <v>-96.081339018416031</v>
      </c>
      <c r="W182" s="397">
        <f t="shared" si="7"/>
        <v>958.5</v>
      </c>
    </row>
    <row r="183" spans="1:23" ht="14.5">
      <c r="A183" s="397" t="s">
        <v>350</v>
      </c>
      <c r="B183" s="398" t="s">
        <v>226</v>
      </c>
      <c r="C183" s="398" t="s">
        <v>243</v>
      </c>
      <c r="D183" s="399" t="s">
        <v>1102</v>
      </c>
      <c r="E183" s="201"/>
      <c r="F183" s="201"/>
      <c r="G183" s="398" t="s">
        <v>46</v>
      </c>
      <c r="H183" s="399">
        <v>1</v>
      </c>
      <c r="I183" s="399">
        <v>25</v>
      </c>
      <c r="J183" s="399">
        <v>85</v>
      </c>
      <c r="K183" s="14"/>
      <c r="L183" s="400" t="s">
        <v>59</v>
      </c>
      <c r="M183" s="399" t="s">
        <v>418</v>
      </c>
      <c r="N183" s="201"/>
      <c r="O183" s="481" t="s">
        <v>1101</v>
      </c>
      <c r="P183" s="482"/>
      <c r="Q183" s="399"/>
      <c r="R183" s="201"/>
      <c r="S183" s="201"/>
      <c r="T183" s="201"/>
      <c r="U183" s="8">
        <v>225</v>
      </c>
      <c r="V183" s="404">
        <f t="shared" si="6"/>
        <v>-96.081339018416031</v>
      </c>
      <c r="W183" s="397">
        <f t="shared" si="7"/>
        <v>382.5</v>
      </c>
    </row>
    <row r="184" spans="1:23" ht="14.5">
      <c r="A184" s="397" t="s">
        <v>350</v>
      </c>
      <c r="B184" s="398" t="s">
        <v>328</v>
      </c>
      <c r="C184" s="398" t="s">
        <v>242</v>
      </c>
      <c r="D184" s="399" t="s">
        <v>1102</v>
      </c>
      <c r="E184" s="201"/>
      <c r="F184" s="201"/>
      <c r="G184" s="398" t="s">
        <v>46</v>
      </c>
      <c r="H184" s="399">
        <v>1</v>
      </c>
      <c r="I184" s="399">
        <v>44</v>
      </c>
      <c r="J184" s="399">
        <v>104</v>
      </c>
      <c r="K184" s="14"/>
      <c r="L184" s="400" t="s">
        <v>59</v>
      </c>
      <c r="M184" s="399" t="s">
        <v>418</v>
      </c>
      <c r="N184" s="201"/>
      <c r="O184" s="481" t="s">
        <v>1101</v>
      </c>
      <c r="P184" s="482"/>
      <c r="Q184" s="399"/>
      <c r="R184" s="201"/>
      <c r="S184" s="201"/>
      <c r="T184" s="201"/>
      <c r="U184" s="8">
        <v>225</v>
      </c>
      <c r="V184" s="404">
        <f t="shared" si="6"/>
        <v>-96.081339018416031</v>
      </c>
      <c r="W184" s="397">
        <f t="shared" si="7"/>
        <v>468</v>
      </c>
    </row>
    <row r="185" spans="1:23" ht="14.5">
      <c r="A185" s="397" t="s">
        <v>350</v>
      </c>
      <c r="B185" s="398" t="s">
        <v>1016</v>
      </c>
      <c r="C185" s="398" t="s">
        <v>989</v>
      </c>
      <c r="D185" s="399" t="s">
        <v>1102</v>
      </c>
      <c r="E185" s="201"/>
      <c r="F185" s="201"/>
      <c r="G185" s="398" t="s">
        <v>46</v>
      </c>
      <c r="H185" s="399">
        <v>2</v>
      </c>
      <c r="I185" s="399">
        <v>18</v>
      </c>
      <c r="J185" s="399">
        <v>138</v>
      </c>
      <c r="K185" s="14"/>
      <c r="L185" s="400" t="s">
        <v>59</v>
      </c>
      <c r="M185" s="399" t="s">
        <v>418</v>
      </c>
      <c r="N185" s="201"/>
      <c r="O185" s="481" t="s">
        <v>1101</v>
      </c>
      <c r="P185" s="482"/>
      <c r="Q185" s="399"/>
      <c r="R185" s="201"/>
      <c r="S185" s="201"/>
      <c r="T185" s="201"/>
      <c r="U185" s="8">
        <v>225</v>
      </c>
      <c r="V185" s="404">
        <f t="shared" si="6"/>
        <v>-96.081339018416031</v>
      </c>
      <c r="W185" s="397">
        <f t="shared" si="7"/>
        <v>621</v>
      </c>
    </row>
    <row r="186" spans="1:23" ht="14.5">
      <c r="A186" s="397" t="s">
        <v>350</v>
      </c>
      <c r="B186" s="398" t="s">
        <v>212</v>
      </c>
      <c r="C186" s="398" t="s">
        <v>236</v>
      </c>
      <c r="D186" s="399" t="s">
        <v>1102</v>
      </c>
      <c r="E186" s="201"/>
      <c r="F186" s="201"/>
      <c r="G186" s="398" t="s">
        <v>46</v>
      </c>
      <c r="H186" s="399">
        <v>1</v>
      </c>
      <c r="I186" s="399">
        <v>42</v>
      </c>
      <c r="J186" s="399">
        <v>102</v>
      </c>
      <c r="K186" s="14"/>
      <c r="L186" s="400" t="s">
        <v>59</v>
      </c>
      <c r="M186" s="399" t="s">
        <v>418</v>
      </c>
      <c r="N186" s="201"/>
      <c r="O186" s="481" t="s">
        <v>1101</v>
      </c>
      <c r="P186" s="482"/>
      <c r="Q186" s="399"/>
      <c r="R186" s="201"/>
      <c r="S186" s="201"/>
      <c r="T186" s="201"/>
      <c r="U186" s="8">
        <v>225</v>
      </c>
      <c r="V186" s="404">
        <f t="shared" si="6"/>
        <v>-96.081339018416031</v>
      </c>
      <c r="W186" s="397">
        <f t="shared" si="7"/>
        <v>459</v>
      </c>
    </row>
    <row r="187" spans="1:23" ht="14.5">
      <c r="A187" s="397" t="s">
        <v>350</v>
      </c>
      <c r="B187" s="398" t="s">
        <v>187</v>
      </c>
      <c r="C187" s="398" t="s">
        <v>239</v>
      </c>
      <c r="D187" s="399" t="s">
        <v>1102</v>
      </c>
      <c r="E187" s="201"/>
      <c r="F187" s="201"/>
      <c r="G187" s="398" t="s">
        <v>46</v>
      </c>
      <c r="H187" s="399">
        <v>0</v>
      </c>
      <c r="I187" s="399">
        <v>33</v>
      </c>
      <c r="J187" s="399">
        <v>33</v>
      </c>
      <c r="K187" s="14"/>
      <c r="L187" s="400" t="s">
        <v>59</v>
      </c>
      <c r="M187" s="399" t="s">
        <v>418</v>
      </c>
      <c r="N187" s="201"/>
      <c r="O187" s="481" t="s">
        <v>1101</v>
      </c>
      <c r="P187" s="482"/>
      <c r="Q187" s="399"/>
      <c r="R187" s="201"/>
      <c r="S187" s="201"/>
      <c r="T187" s="201"/>
      <c r="U187" s="8">
        <v>225</v>
      </c>
      <c r="V187" s="404">
        <f t="shared" si="6"/>
        <v>-96.081339018416031</v>
      </c>
      <c r="W187" s="397">
        <f t="shared" si="7"/>
        <v>148.5</v>
      </c>
    </row>
    <row r="188" spans="1:23" ht="14.5">
      <c r="A188" s="397" t="s">
        <v>350</v>
      </c>
      <c r="B188" s="398" t="s">
        <v>327</v>
      </c>
      <c r="C188" s="398" t="s">
        <v>240</v>
      </c>
      <c r="D188" s="399" t="s">
        <v>1102</v>
      </c>
      <c r="E188" s="201"/>
      <c r="F188" s="201"/>
      <c r="G188" s="398" t="s">
        <v>46</v>
      </c>
      <c r="H188" s="399">
        <v>1</v>
      </c>
      <c r="I188" s="399">
        <v>21</v>
      </c>
      <c r="J188" s="399">
        <v>81</v>
      </c>
      <c r="K188" s="14"/>
      <c r="L188" s="400" t="s">
        <v>59</v>
      </c>
      <c r="M188" s="399" t="s">
        <v>418</v>
      </c>
      <c r="N188" s="201"/>
      <c r="O188" s="481" t="s">
        <v>1101</v>
      </c>
      <c r="P188" s="482"/>
      <c r="Q188" s="399"/>
      <c r="R188" s="201"/>
      <c r="S188" s="201"/>
      <c r="T188" s="201"/>
      <c r="U188" s="8">
        <v>225</v>
      </c>
      <c r="V188" s="404">
        <f t="shared" si="6"/>
        <v>-96.081339018416031</v>
      </c>
      <c r="W188" s="397">
        <f t="shared" si="7"/>
        <v>364.5</v>
      </c>
    </row>
    <row r="189" spans="1:23" ht="14.5">
      <c r="A189" s="397" t="s">
        <v>350</v>
      </c>
      <c r="B189" s="398" t="s">
        <v>322</v>
      </c>
      <c r="C189" s="398" t="s">
        <v>241</v>
      </c>
      <c r="D189" s="399" t="s">
        <v>1100</v>
      </c>
      <c r="E189" s="201"/>
      <c r="F189" s="201"/>
      <c r="G189" s="398" t="s">
        <v>46</v>
      </c>
      <c r="H189" s="399">
        <v>1</v>
      </c>
      <c r="I189" s="399">
        <v>56</v>
      </c>
      <c r="J189" s="399">
        <v>116</v>
      </c>
      <c r="K189" s="14"/>
      <c r="L189" s="400" t="s">
        <v>60</v>
      </c>
      <c r="M189" s="399" t="s">
        <v>418</v>
      </c>
      <c r="N189" s="201"/>
      <c r="O189" s="481" t="s">
        <v>1099</v>
      </c>
      <c r="P189" s="482"/>
      <c r="Q189" s="399"/>
      <c r="R189" s="201"/>
      <c r="S189" s="201"/>
      <c r="T189" s="201"/>
      <c r="U189" s="8">
        <v>225</v>
      </c>
      <c r="V189" s="404">
        <f t="shared" si="6"/>
        <v>-96.081339018416031</v>
      </c>
      <c r="W189" s="397">
        <f t="shared" si="7"/>
        <v>522</v>
      </c>
    </row>
    <row r="190" spans="1:23" ht="14.5">
      <c r="A190" s="397" t="s">
        <v>350</v>
      </c>
      <c r="B190" s="398" t="s">
        <v>206</v>
      </c>
      <c r="C190" s="398" t="s">
        <v>241</v>
      </c>
      <c r="D190" s="399" t="s">
        <v>1102</v>
      </c>
      <c r="E190" s="201"/>
      <c r="F190" s="201"/>
      <c r="G190" s="398" t="s">
        <v>46</v>
      </c>
      <c r="H190" s="399">
        <v>0</v>
      </c>
      <c r="I190" s="399">
        <v>23</v>
      </c>
      <c r="J190" s="399">
        <v>23</v>
      </c>
      <c r="K190" s="14"/>
      <c r="L190" s="400" t="s">
        <v>59</v>
      </c>
      <c r="M190" s="399" t="s">
        <v>418</v>
      </c>
      <c r="N190" s="201"/>
      <c r="O190" s="481" t="s">
        <v>1101</v>
      </c>
      <c r="P190" s="482"/>
      <c r="Q190" s="399"/>
      <c r="R190" s="201"/>
      <c r="S190" s="201"/>
      <c r="T190" s="201"/>
      <c r="U190" s="8">
        <v>225</v>
      </c>
      <c r="V190" s="404">
        <f t="shared" si="6"/>
        <v>-96.081339018416031</v>
      </c>
      <c r="W190" s="397">
        <f t="shared" si="7"/>
        <v>103.5</v>
      </c>
    </row>
    <row r="191" spans="1:23" ht="14.5">
      <c r="A191" s="397" t="s">
        <v>350</v>
      </c>
      <c r="B191" s="398" t="s">
        <v>1017</v>
      </c>
      <c r="C191" s="398" t="s">
        <v>240</v>
      </c>
      <c r="D191" s="399" t="s">
        <v>1102</v>
      </c>
      <c r="E191" s="201"/>
      <c r="F191" s="201"/>
      <c r="G191" s="398" t="s">
        <v>46</v>
      </c>
      <c r="H191" s="399">
        <v>0</v>
      </c>
      <c r="I191" s="399">
        <v>56</v>
      </c>
      <c r="J191" s="399">
        <v>56</v>
      </c>
      <c r="K191" s="14"/>
      <c r="L191" s="400" t="s">
        <v>59</v>
      </c>
      <c r="M191" s="399" t="s">
        <v>418</v>
      </c>
      <c r="N191" s="201"/>
      <c r="O191" s="481" t="s">
        <v>1101</v>
      </c>
      <c r="P191" s="482"/>
      <c r="Q191" s="399"/>
      <c r="R191" s="201"/>
      <c r="S191" s="201"/>
      <c r="T191" s="201"/>
      <c r="U191" s="8">
        <v>225</v>
      </c>
      <c r="V191" s="404">
        <f t="shared" si="6"/>
        <v>-96.081339018416031</v>
      </c>
      <c r="W191" s="397">
        <f t="shared" si="7"/>
        <v>252</v>
      </c>
    </row>
    <row r="192" spans="1:23" ht="14.5">
      <c r="A192" s="397" t="s">
        <v>350</v>
      </c>
      <c r="B192" s="398" t="s">
        <v>321</v>
      </c>
      <c r="C192" s="398" t="s">
        <v>242</v>
      </c>
      <c r="D192" s="399" t="s">
        <v>1102</v>
      </c>
      <c r="E192" s="201"/>
      <c r="F192" s="201"/>
      <c r="G192" s="398" t="s">
        <v>46</v>
      </c>
      <c r="H192" s="399">
        <v>4</v>
      </c>
      <c r="I192" s="399">
        <v>50</v>
      </c>
      <c r="J192" s="399">
        <v>281</v>
      </c>
      <c r="K192" s="14"/>
      <c r="L192" s="400" t="s">
        <v>59</v>
      </c>
      <c r="M192" s="399" t="s">
        <v>418</v>
      </c>
      <c r="N192" s="201"/>
      <c r="O192" s="481" t="s">
        <v>1101</v>
      </c>
      <c r="P192" s="482"/>
      <c r="Q192" s="399"/>
      <c r="R192" s="201"/>
      <c r="S192" s="201"/>
      <c r="T192" s="201"/>
      <c r="U192" s="8">
        <v>225</v>
      </c>
      <c r="V192" s="404">
        <f t="shared" si="6"/>
        <v>-96.081339018416031</v>
      </c>
      <c r="W192" s="397">
        <f t="shared" si="7"/>
        <v>1264.5</v>
      </c>
    </row>
    <row r="193" spans="1:23" ht="14.5">
      <c r="A193" s="397" t="s">
        <v>350</v>
      </c>
      <c r="B193" s="398" t="s">
        <v>320</v>
      </c>
      <c r="C193" s="398" t="s">
        <v>352</v>
      </c>
      <c r="D193" s="399" t="s">
        <v>1102</v>
      </c>
      <c r="E193" s="201"/>
      <c r="F193" s="201"/>
      <c r="G193" s="398" t="s">
        <v>46</v>
      </c>
      <c r="H193" s="399">
        <v>2</v>
      </c>
      <c r="I193" s="399">
        <v>21</v>
      </c>
      <c r="J193" s="399">
        <v>140</v>
      </c>
      <c r="K193" s="14"/>
      <c r="L193" s="400" t="s">
        <v>59</v>
      </c>
      <c r="M193" s="399" t="s">
        <v>418</v>
      </c>
      <c r="N193" s="201"/>
      <c r="O193" s="481" t="s">
        <v>1101</v>
      </c>
      <c r="P193" s="482"/>
      <c r="Q193" s="399"/>
      <c r="R193" s="201"/>
      <c r="S193" s="201"/>
      <c r="T193" s="201"/>
      <c r="U193" s="8">
        <v>225</v>
      </c>
      <c r="V193" s="404">
        <f t="shared" si="6"/>
        <v>-96.081339018416031</v>
      </c>
      <c r="W193" s="397">
        <f t="shared" si="7"/>
        <v>630</v>
      </c>
    </row>
    <row r="194" spans="1:23" ht="14.5">
      <c r="A194" s="397" t="s">
        <v>350</v>
      </c>
      <c r="B194" s="398" t="s">
        <v>190</v>
      </c>
      <c r="C194" s="398" t="s">
        <v>238</v>
      </c>
      <c r="D194" s="399" t="s">
        <v>1102</v>
      </c>
      <c r="E194" s="201"/>
      <c r="F194" s="201"/>
      <c r="G194" s="398" t="s">
        <v>46</v>
      </c>
      <c r="H194" s="399">
        <v>1</v>
      </c>
      <c r="I194" s="399">
        <v>21</v>
      </c>
      <c r="J194" s="399">
        <v>81</v>
      </c>
      <c r="K194" s="14"/>
      <c r="L194" s="400" t="s">
        <v>356</v>
      </c>
      <c r="M194" s="399" t="s">
        <v>418</v>
      </c>
      <c r="N194" s="201"/>
      <c r="O194" s="481" t="s">
        <v>1101</v>
      </c>
      <c r="P194" s="482"/>
      <c r="Q194" s="399"/>
      <c r="R194" s="201"/>
      <c r="S194" s="201"/>
      <c r="T194" s="201"/>
      <c r="U194" s="8">
        <v>247</v>
      </c>
      <c r="V194" s="404">
        <f t="shared" si="6"/>
        <v>-76.123069944661154</v>
      </c>
      <c r="W194" s="397">
        <f t="shared" si="7"/>
        <v>400.14000000000004</v>
      </c>
    </row>
    <row r="195" spans="1:23" ht="14.5">
      <c r="A195" s="397" t="s">
        <v>350</v>
      </c>
      <c r="B195" s="398" t="s">
        <v>211</v>
      </c>
      <c r="C195" s="398" t="s">
        <v>235</v>
      </c>
      <c r="D195" s="399" t="s">
        <v>1102</v>
      </c>
      <c r="E195" s="201"/>
      <c r="F195" s="201"/>
      <c r="G195" s="398" t="s">
        <v>46</v>
      </c>
      <c r="H195" s="399">
        <v>1</v>
      </c>
      <c r="I195" s="399">
        <v>11</v>
      </c>
      <c r="J195" s="399">
        <v>71</v>
      </c>
      <c r="K195" s="14"/>
      <c r="L195" s="400" t="s">
        <v>59</v>
      </c>
      <c r="M195" s="399" t="s">
        <v>418</v>
      </c>
      <c r="N195" s="201"/>
      <c r="O195" s="481" t="s">
        <v>1101</v>
      </c>
      <c r="P195" s="482"/>
      <c r="Q195" s="399"/>
      <c r="R195" s="201"/>
      <c r="S195" s="201"/>
      <c r="T195" s="201"/>
      <c r="U195" s="8">
        <v>225</v>
      </c>
      <c r="V195" s="404">
        <f t="shared" ref="V195:V241" si="8">U195/1.1023-$X$1</f>
        <v>-96.081339018416031</v>
      </c>
      <c r="W195" s="397">
        <f t="shared" si="7"/>
        <v>319.5</v>
      </c>
    </row>
    <row r="196" spans="1:23" ht="14.5">
      <c r="A196" s="397" t="s">
        <v>350</v>
      </c>
      <c r="B196" s="398" t="s">
        <v>207</v>
      </c>
      <c r="C196" s="398" t="s">
        <v>237</v>
      </c>
      <c r="D196" s="399" t="s">
        <v>1102</v>
      </c>
      <c r="E196" s="201"/>
      <c r="F196" s="201"/>
      <c r="G196" s="398" t="s">
        <v>46</v>
      </c>
      <c r="H196" s="399">
        <v>2</v>
      </c>
      <c r="I196" s="399">
        <v>17</v>
      </c>
      <c r="J196" s="399">
        <v>137</v>
      </c>
      <c r="K196" s="14"/>
      <c r="L196" s="400" t="s">
        <v>356</v>
      </c>
      <c r="M196" s="399" t="s">
        <v>418</v>
      </c>
      <c r="N196" s="201"/>
      <c r="O196" s="481" t="s">
        <v>1101</v>
      </c>
      <c r="P196" s="482"/>
      <c r="Q196" s="399"/>
      <c r="R196" s="201"/>
      <c r="S196" s="201"/>
      <c r="T196" s="201"/>
      <c r="U196" s="8">
        <v>247</v>
      </c>
      <c r="V196" s="404">
        <f t="shared" si="8"/>
        <v>-76.123069944661154</v>
      </c>
      <c r="W196" s="397">
        <f t="shared" si="7"/>
        <v>676.78</v>
      </c>
    </row>
    <row r="197" spans="1:23" ht="14.5">
      <c r="A197" s="397" t="s">
        <v>350</v>
      </c>
      <c r="B197" s="398" t="s">
        <v>313</v>
      </c>
      <c r="C197" s="398" t="s">
        <v>1022</v>
      </c>
      <c r="D197" s="399" t="s">
        <v>1102</v>
      </c>
      <c r="E197" s="201"/>
      <c r="F197" s="201"/>
      <c r="G197" s="398" t="s">
        <v>46</v>
      </c>
      <c r="H197" s="399">
        <v>1</v>
      </c>
      <c r="I197" s="399">
        <v>11</v>
      </c>
      <c r="J197" s="399">
        <v>70</v>
      </c>
      <c r="K197" s="14"/>
      <c r="L197" s="400" t="s">
        <v>356</v>
      </c>
      <c r="M197" s="399" t="s">
        <v>418</v>
      </c>
      <c r="N197" s="201"/>
      <c r="O197" s="481" t="s">
        <v>1101</v>
      </c>
      <c r="P197" s="482"/>
      <c r="Q197" s="399"/>
      <c r="R197" s="201"/>
      <c r="S197" s="201"/>
      <c r="T197" s="201"/>
      <c r="U197" s="8">
        <v>247</v>
      </c>
      <c r="V197" s="404">
        <f t="shared" si="8"/>
        <v>-76.123069944661154</v>
      </c>
      <c r="W197" s="397">
        <f t="shared" ref="W197:W241" si="9">(J197/60*U197)*1.2</f>
        <v>345.8</v>
      </c>
    </row>
    <row r="198" spans="1:23" ht="14.5">
      <c r="A198" s="397" t="s">
        <v>350</v>
      </c>
      <c r="B198" s="398" t="s">
        <v>310</v>
      </c>
      <c r="C198" s="398" t="s">
        <v>243</v>
      </c>
      <c r="D198" s="399" t="s">
        <v>1102</v>
      </c>
      <c r="E198" s="201"/>
      <c r="F198" s="201"/>
      <c r="G198" s="398" t="s">
        <v>46</v>
      </c>
      <c r="H198" s="399">
        <v>3</v>
      </c>
      <c r="I198" s="399">
        <v>51</v>
      </c>
      <c r="J198" s="399">
        <v>230</v>
      </c>
      <c r="K198" s="14"/>
      <c r="L198" s="400" t="s">
        <v>59</v>
      </c>
      <c r="M198" s="399" t="s">
        <v>418</v>
      </c>
      <c r="N198" s="201"/>
      <c r="O198" s="481" t="s">
        <v>1101</v>
      </c>
      <c r="P198" s="482"/>
      <c r="Q198" s="399"/>
      <c r="R198" s="201"/>
      <c r="S198" s="201"/>
      <c r="T198" s="201"/>
      <c r="U198" s="8">
        <v>225</v>
      </c>
      <c r="V198" s="404">
        <f t="shared" si="8"/>
        <v>-96.081339018416031</v>
      </c>
      <c r="W198" s="397">
        <f t="shared" si="9"/>
        <v>1035</v>
      </c>
    </row>
    <row r="199" spans="1:23" ht="14.5">
      <c r="A199" s="397" t="s">
        <v>350</v>
      </c>
      <c r="B199" s="398" t="s">
        <v>363</v>
      </c>
      <c r="C199" s="398" t="s">
        <v>989</v>
      </c>
      <c r="D199" s="399" t="s">
        <v>1100</v>
      </c>
      <c r="E199" s="201"/>
      <c r="F199" s="201"/>
      <c r="G199" s="398" t="s">
        <v>46</v>
      </c>
      <c r="H199" s="399">
        <v>1</v>
      </c>
      <c r="I199" s="399">
        <v>66</v>
      </c>
      <c r="J199" s="399">
        <v>126</v>
      </c>
      <c r="K199" s="14"/>
      <c r="L199" s="400" t="s">
        <v>60</v>
      </c>
      <c r="M199" s="399" t="s">
        <v>418</v>
      </c>
      <c r="N199" s="201"/>
      <c r="O199" s="481" t="s">
        <v>1099</v>
      </c>
      <c r="P199" s="482"/>
      <c r="Q199" s="399"/>
      <c r="R199" s="201"/>
      <c r="S199" s="201"/>
      <c r="T199" s="201"/>
      <c r="U199" s="8">
        <v>225</v>
      </c>
      <c r="V199" s="404">
        <f t="shared" si="8"/>
        <v>-96.081339018416031</v>
      </c>
      <c r="W199" s="397">
        <f t="shared" si="9"/>
        <v>567</v>
      </c>
    </row>
    <row r="200" spans="1:23" ht="14.5">
      <c r="A200" s="397" t="s">
        <v>350</v>
      </c>
      <c r="B200" s="398" t="s">
        <v>305</v>
      </c>
      <c r="C200" s="398" t="s">
        <v>1023</v>
      </c>
      <c r="D200" s="399" t="s">
        <v>1102</v>
      </c>
      <c r="E200" s="201"/>
      <c r="F200" s="201"/>
      <c r="G200" s="398" t="s">
        <v>46</v>
      </c>
      <c r="H200" s="399">
        <v>2</v>
      </c>
      <c r="I200" s="399">
        <v>47</v>
      </c>
      <c r="J200" s="399">
        <v>166</v>
      </c>
      <c r="K200" s="14"/>
      <c r="L200" s="400" t="s">
        <v>356</v>
      </c>
      <c r="M200" s="399" t="s">
        <v>418</v>
      </c>
      <c r="N200" s="201"/>
      <c r="O200" s="481" t="s">
        <v>1101</v>
      </c>
      <c r="P200" s="482"/>
      <c r="Q200" s="399"/>
      <c r="R200" s="201"/>
      <c r="S200" s="201"/>
      <c r="T200" s="201"/>
      <c r="U200" s="8">
        <v>247</v>
      </c>
      <c r="V200" s="404">
        <f t="shared" si="8"/>
        <v>-76.123069944661154</v>
      </c>
      <c r="W200" s="397">
        <f t="shared" si="9"/>
        <v>820.04</v>
      </c>
    </row>
    <row r="201" spans="1:23" ht="14.5">
      <c r="A201" s="397" t="s">
        <v>350</v>
      </c>
      <c r="B201" s="398" t="s">
        <v>296</v>
      </c>
      <c r="C201" s="398" t="s">
        <v>243</v>
      </c>
      <c r="D201" s="399" t="s">
        <v>1102</v>
      </c>
      <c r="E201" s="201"/>
      <c r="F201" s="201"/>
      <c r="G201" s="398" t="s">
        <v>46</v>
      </c>
      <c r="H201" s="399">
        <v>3</v>
      </c>
      <c r="I201" s="399">
        <v>25</v>
      </c>
      <c r="J201" s="399">
        <v>205</v>
      </c>
      <c r="K201" s="14"/>
      <c r="L201" s="400" t="s">
        <v>59</v>
      </c>
      <c r="M201" s="399" t="s">
        <v>418</v>
      </c>
      <c r="N201" s="201"/>
      <c r="O201" s="481" t="s">
        <v>1101</v>
      </c>
      <c r="P201" s="482"/>
      <c r="Q201" s="399"/>
      <c r="R201" s="201"/>
      <c r="S201" s="201"/>
      <c r="T201" s="201"/>
      <c r="U201" s="8">
        <v>225</v>
      </c>
      <c r="V201" s="404">
        <f t="shared" si="8"/>
        <v>-96.081339018416031</v>
      </c>
      <c r="W201" s="397">
        <f t="shared" si="9"/>
        <v>922.5</v>
      </c>
    </row>
    <row r="202" spans="1:23" ht="14.5">
      <c r="A202" s="397" t="s">
        <v>350</v>
      </c>
      <c r="B202" s="398" t="s">
        <v>1018</v>
      </c>
      <c r="C202" s="398" t="s">
        <v>694</v>
      </c>
      <c r="D202" s="399" t="s">
        <v>1102</v>
      </c>
      <c r="E202" s="201"/>
      <c r="F202" s="201"/>
      <c r="G202" s="398" t="s">
        <v>46</v>
      </c>
      <c r="H202" s="399">
        <v>1</v>
      </c>
      <c r="I202" s="399">
        <v>60</v>
      </c>
      <c r="J202" s="399">
        <v>120</v>
      </c>
      <c r="K202" s="14"/>
      <c r="L202" s="400" t="s">
        <v>356</v>
      </c>
      <c r="M202" s="399" t="s">
        <v>418</v>
      </c>
      <c r="N202" s="201"/>
      <c r="O202" s="481" t="s">
        <v>1101</v>
      </c>
      <c r="P202" s="482"/>
      <c r="Q202" s="399"/>
      <c r="R202" s="201"/>
      <c r="S202" s="201"/>
      <c r="T202" s="201"/>
      <c r="U202" s="8">
        <v>247</v>
      </c>
      <c r="V202" s="404">
        <f t="shared" si="8"/>
        <v>-76.123069944661154</v>
      </c>
      <c r="W202" s="397">
        <f t="shared" si="9"/>
        <v>592.79999999999995</v>
      </c>
    </row>
    <row r="203" spans="1:23" ht="14.5">
      <c r="A203" s="397" t="s">
        <v>350</v>
      </c>
      <c r="B203" s="398" t="s">
        <v>687</v>
      </c>
      <c r="C203" s="398" t="s">
        <v>238</v>
      </c>
      <c r="D203" s="399" t="s">
        <v>1102</v>
      </c>
      <c r="E203" s="201"/>
      <c r="F203" s="201"/>
      <c r="G203" s="398" t="s">
        <v>46</v>
      </c>
      <c r="H203" s="399">
        <v>4</v>
      </c>
      <c r="I203" s="399">
        <v>18</v>
      </c>
      <c r="J203" s="399">
        <v>257</v>
      </c>
      <c r="K203" s="14"/>
      <c r="L203" s="400" t="s">
        <v>356</v>
      </c>
      <c r="M203" s="399" t="s">
        <v>418</v>
      </c>
      <c r="N203" s="201"/>
      <c r="O203" s="481" t="s">
        <v>1101</v>
      </c>
      <c r="P203" s="482"/>
      <c r="Q203" s="399"/>
      <c r="R203" s="201"/>
      <c r="S203" s="201"/>
      <c r="T203" s="201"/>
      <c r="U203" s="8">
        <v>247</v>
      </c>
      <c r="V203" s="404">
        <f t="shared" si="8"/>
        <v>-76.123069944661154</v>
      </c>
      <c r="W203" s="397">
        <f t="shared" si="9"/>
        <v>1269.58</v>
      </c>
    </row>
    <row r="204" spans="1:23" ht="14.5">
      <c r="A204" s="397" t="s">
        <v>350</v>
      </c>
      <c r="B204" s="398" t="s">
        <v>943</v>
      </c>
      <c r="C204" s="398" t="s">
        <v>685</v>
      </c>
      <c r="D204" s="399" t="s">
        <v>1100</v>
      </c>
      <c r="E204" s="201"/>
      <c r="F204" s="201"/>
      <c r="G204" s="398" t="s">
        <v>46</v>
      </c>
      <c r="H204" s="399">
        <v>3</v>
      </c>
      <c r="I204" s="399">
        <v>43</v>
      </c>
      <c r="J204" s="399">
        <v>214</v>
      </c>
      <c r="K204" s="14"/>
      <c r="L204" s="400" t="s">
        <v>60</v>
      </c>
      <c r="M204" s="399" t="s">
        <v>418</v>
      </c>
      <c r="N204" s="201"/>
      <c r="O204" s="481" t="s">
        <v>1099</v>
      </c>
      <c r="P204" s="482"/>
      <c r="Q204" s="399"/>
      <c r="R204" s="201"/>
      <c r="S204" s="201"/>
      <c r="T204" s="201"/>
      <c r="U204" s="8">
        <v>225</v>
      </c>
      <c r="V204" s="404">
        <f t="shared" si="8"/>
        <v>-96.081339018416031</v>
      </c>
      <c r="W204" s="397">
        <f t="shared" si="9"/>
        <v>963</v>
      </c>
    </row>
    <row r="205" spans="1:23" ht="14.5">
      <c r="A205" s="397" t="s">
        <v>350</v>
      </c>
      <c r="B205" s="398" t="s">
        <v>293</v>
      </c>
      <c r="C205" s="398" t="s">
        <v>236</v>
      </c>
      <c r="D205" s="399" t="s">
        <v>1102</v>
      </c>
      <c r="E205" s="201"/>
      <c r="F205" s="201"/>
      <c r="G205" s="398" t="s">
        <v>46</v>
      </c>
      <c r="H205" s="399">
        <v>3</v>
      </c>
      <c r="I205" s="399">
        <v>15</v>
      </c>
      <c r="J205" s="399">
        <v>194</v>
      </c>
      <c r="K205" s="14"/>
      <c r="L205" s="400" t="s">
        <v>59</v>
      </c>
      <c r="M205" s="399" t="s">
        <v>418</v>
      </c>
      <c r="N205" s="201"/>
      <c r="O205" s="481" t="s">
        <v>1101</v>
      </c>
      <c r="P205" s="482"/>
      <c r="Q205" s="399"/>
      <c r="R205" s="201"/>
      <c r="S205" s="201"/>
      <c r="T205" s="201"/>
      <c r="U205" s="8">
        <v>225</v>
      </c>
      <c r="V205" s="404">
        <f t="shared" si="8"/>
        <v>-96.081339018416031</v>
      </c>
      <c r="W205" s="397">
        <f t="shared" si="9"/>
        <v>873</v>
      </c>
    </row>
    <row r="206" spans="1:23" ht="14.5">
      <c r="A206" s="397" t="s">
        <v>350</v>
      </c>
      <c r="B206" s="398" t="s">
        <v>231</v>
      </c>
      <c r="C206" s="398" t="s">
        <v>239</v>
      </c>
      <c r="D206" s="399" t="s">
        <v>1102</v>
      </c>
      <c r="E206" s="201"/>
      <c r="F206" s="201"/>
      <c r="G206" s="398" t="s">
        <v>46</v>
      </c>
      <c r="H206" s="399">
        <v>1</v>
      </c>
      <c r="I206" s="399">
        <v>65</v>
      </c>
      <c r="J206" s="399">
        <v>125</v>
      </c>
      <c r="K206" s="14"/>
      <c r="L206" s="400" t="s">
        <v>356</v>
      </c>
      <c r="M206" s="399" t="s">
        <v>418</v>
      </c>
      <c r="N206" s="201"/>
      <c r="O206" s="481" t="s">
        <v>1101</v>
      </c>
      <c r="P206" s="482"/>
      <c r="Q206" s="399"/>
      <c r="R206" s="201"/>
      <c r="S206" s="201"/>
      <c r="T206" s="201"/>
      <c r="U206" s="8">
        <v>247</v>
      </c>
      <c r="V206" s="404">
        <f t="shared" si="8"/>
        <v>-76.123069944661154</v>
      </c>
      <c r="W206" s="397">
        <f t="shared" si="9"/>
        <v>617.5</v>
      </c>
    </row>
    <row r="207" spans="1:23" ht="14.5">
      <c r="A207" s="397" t="s">
        <v>350</v>
      </c>
      <c r="B207" s="398" t="s">
        <v>292</v>
      </c>
      <c r="C207" s="398" t="s">
        <v>685</v>
      </c>
      <c r="D207" s="399" t="s">
        <v>1102</v>
      </c>
      <c r="E207" s="201"/>
      <c r="F207" s="201"/>
      <c r="G207" s="398" t="s">
        <v>46</v>
      </c>
      <c r="H207" s="399">
        <v>3</v>
      </c>
      <c r="I207" s="399">
        <v>39</v>
      </c>
      <c r="J207" s="399">
        <v>216</v>
      </c>
      <c r="K207" s="14"/>
      <c r="L207" s="400" t="s">
        <v>59</v>
      </c>
      <c r="M207" s="399" t="s">
        <v>418</v>
      </c>
      <c r="N207" s="201"/>
      <c r="O207" s="481" t="s">
        <v>1101</v>
      </c>
      <c r="P207" s="482"/>
      <c r="Q207" s="399"/>
      <c r="R207" s="201"/>
      <c r="S207" s="201"/>
      <c r="T207" s="201"/>
      <c r="U207" s="8">
        <v>225</v>
      </c>
      <c r="V207" s="404">
        <f t="shared" si="8"/>
        <v>-96.081339018416031</v>
      </c>
      <c r="W207" s="397">
        <f t="shared" si="9"/>
        <v>972</v>
      </c>
    </row>
    <row r="208" spans="1:23" ht="14.5">
      <c r="A208" s="397" t="s">
        <v>350</v>
      </c>
      <c r="B208" s="398" t="s">
        <v>287</v>
      </c>
      <c r="C208" s="398" t="s">
        <v>239</v>
      </c>
      <c r="D208" s="399" t="s">
        <v>1102</v>
      </c>
      <c r="E208" s="201"/>
      <c r="F208" s="201"/>
      <c r="G208" s="398" t="s">
        <v>46</v>
      </c>
      <c r="H208" s="399">
        <v>1</v>
      </c>
      <c r="I208" s="399">
        <v>49</v>
      </c>
      <c r="J208" s="399">
        <v>109</v>
      </c>
      <c r="K208" s="14"/>
      <c r="L208" s="400" t="s">
        <v>59</v>
      </c>
      <c r="M208" s="399" t="s">
        <v>418</v>
      </c>
      <c r="N208" s="201"/>
      <c r="O208" s="481" t="s">
        <v>1101</v>
      </c>
      <c r="P208" s="482"/>
      <c r="Q208" s="399"/>
      <c r="R208" s="201"/>
      <c r="S208" s="201"/>
      <c r="T208" s="201"/>
      <c r="U208" s="8">
        <v>225</v>
      </c>
      <c r="V208" s="404">
        <f t="shared" si="8"/>
        <v>-96.081339018416031</v>
      </c>
      <c r="W208" s="397">
        <f t="shared" si="9"/>
        <v>490.5</v>
      </c>
    </row>
    <row r="209" spans="1:23" ht="14.5">
      <c r="A209" s="397" t="s">
        <v>350</v>
      </c>
      <c r="B209" s="398" t="s">
        <v>949</v>
      </c>
      <c r="C209" s="398" t="s">
        <v>240</v>
      </c>
      <c r="D209" s="399" t="s">
        <v>1100</v>
      </c>
      <c r="E209" s="201"/>
      <c r="F209" s="201"/>
      <c r="G209" s="398" t="s">
        <v>46</v>
      </c>
      <c r="H209" s="399">
        <v>3</v>
      </c>
      <c r="I209" s="399">
        <v>54</v>
      </c>
      <c r="J209" s="399">
        <v>233</v>
      </c>
      <c r="K209" s="14"/>
      <c r="L209" s="400" t="s">
        <v>60</v>
      </c>
      <c r="M209" s="399" t="s">
        <v>418</v>
      </c>
      <c r="N209" s="201"/>
      <c r="O209" s="481" t="s">
        <v>1099</v>
      </c>
      <c r="P209" s="482"/>
      <c r="Q209" s="399"/>
      <c r="R209" s="201"/>
      <c r="S209" s="201"/>
      <c r="T209" s="201"/>
      <c r="U209" s="8">
        <v>225</v>
      </c>
      <c r="V209" s="404">
        <f t="shared" si="8"/>
        <v>-96.081339018416031</v>
      </c>
      <c r="W209" s="397">
        <f t="shared" si="9"/>
        <v>1048.5</v>
      </c>
    </row>
    <row r="210" spans="1:23" ht="14.5">
      <c r="A210" s="397" t="s">
        <v>350</v>
      </c>
      <c r="B210" s="398" t="s">
        <v>280</v>
      </c>
      <c r="C210" s="398" t="s">
        <v>682</v>
      </c>
      <c r="D210" s="399" t="s">
        <v>1100</v>
      </c>
      <c r="E210" s="201"/>
      <c r="F210" s="201"/>
      <c r="G210" s="398" t="s">
        <v>46</v>
      </c>
      <c r="H210" s="399">
        <v>2</v>
      </c>
      <c r="I210" s="399">
        <v>63</v>
      </c>
      <c r="J210" s="399">
        <v>182</v>
      </c>
      <c r="K210" s="14"/>
      <c r="L210" s="400" t="s">
        <v>60</v>
      </c>
      <c r="M210" s="399" t="s">
        <v>418</v>
      </c>
      <c r="N210" s="201"/>
      <c r="O210" s="481" t="s">
        <v>1099</v>
      </c>
      <c r="P210" s="482"/>
      <c r="Q210" s="399"/>
      <c r="R210" s="201"/>
      <c r="S210" s="201"/>
      <c r="T210" s="201"/>
      <c r="U210" s="8">
        <v>225</v>
      </c>
      <c r="V210" s="404">
        <f t="shared" si="8"/>
        <v>-96.081339018416031</v>
      </c>
      <c r="W210" s="397">
        <f t="shared" si="9"/>
        <v>819</v>
      </c>
    </row>
    <row r="211" spans="1:23" ht="14.5">
      <c r="A211" s="397" t="s">
        <v>350</v>
      </c>
      <c r="B211" s="398" t="s">
        <v>955</v>
      </c>
      <c r="C211" s="398" t="s">
        <v>699</v>
      </c>
      <c r="D211" s="399" t="s">
        <v>1100</v>
      </c>
      <c r="E211" s="201"/>
      <c r="F211" s="201"/>
      <c r="G211" s="398" t="s">
        <v>46</v>
      </c>
      <c r="H211" s="399">
        <v>1</v>
      </c>
      <c r="I211" s="399">
        <v>32</v>
      </c>
      <c r="J211" s="399">
        <v>92</v>
      </c>
      <c r="K211" s="14"/>
      <c r="L211" s="400" t="s">
        <v>60</v>
      </c>
      <c r="M211" s="399" t="s">
        <v>418</v>
      </c>
      <c r="N211" s="201"/>
      <c r="O211" s="481" t="s">
        <v>1099</v>
      </c>
      <c r="P211" s="482"/>
      <c r="Q211" s="399"/>
      <c r="R211" s="201"/>
      <c r="S211" s="201"/>
      <c r="T211" s="201"/>
      <c r="U211" s="8">
        <v>225</v>
      </c>
      <c r="V211" s="404">
        <f t="shared" si="8"/>
        <v>-96.081339018416031</v>
      </c>
      <c r="W211" s="397">
        <f t="shared" si="9"/>
        <v>414</v>
      </c>
    </row>
    <row r="212" spans="1:23" ht="14.5">
      <c r="A212" s="397" t="s">
        <v>350</v>
      </c>
      <c r="B212" s="398" t="s">
        <v>272</v>
      </c>
      <c r="C212" s="398" t="s">
        <v>236</v>
      </c>
      <c r="D212" s="399" t="s">
        <v>1102</v>
      </c>
      <c r="E212" s="201"/>
      <c r="F212" s="201"/>
      <c r="G212" s="398" t="s">
        <v>46</v>
      </c>
      <c r="H212" s="399">
        <v>3</v>
      </c>
      <c r="I212" s="399">
        <v>34</v>
      </c>
      <c r="J212" s="399">
        <v>214</v>
      </c>
      <c r="K212" s="14"/>
      <c r="L212" s="400" t="s">
        <v>59</v>
      </c>
      <c r="M212" s="399" t="s">
        <v>418</v>
      </c>
      <c r="N212" s="201"/>
      <c r="O212" s="481" t="s">
        <v>1101</v>
      </c>
      <c r="P212" s="482"/>
      <c r="Q212" s="399"/>
      <c r="R212" s="201"/>
      <c r="S212" s="201"/>
      <c r="T212" s="201"/>
      <c r="U212" s="8">
        <v>225</v>
      </c>
      <c r="V212" s="404">
        <f t="shared" si="8"/>
        <v>-96.081339018416031</v>
      </c>
      <c r="W212" s="397">
        <f t="shared" si="9"/>
        <v>963</v>
      </c>
    </row>
    <row r="213" spans="1:23" ht="14.5">
      <c r="A213" s="397" t="s">
        <v>350</v>
      </c>
      <c r="B213" s="398" t="s">
        <v>264</v>
      </c>
      <c r="C213" s="398" t="s">
        <v>1020</v>
      </c>
      <c r="D213" s="399" t="s">
        <v>1102</v>
      </c>
      <c r="E213" s="201"/>
      <c r="F213" s="201"/>
      <c r="G213" s="398" t="s">
        <v>46</v>
      </c>
      <c r="H213" s="399">
        <v>1</v>
      </c>
      <c r="I213" s="399">
        <v>52</v>
      </c>
      <c r="J213" s="399">
        <v>112</v>
      </c>
      <c r="K213" s="14"/>
      <c r="L213" s="400" t="s">
        <v>356</v>
      </c>
      <c r="M213" s="399" t="s">
        <v>418</v>
      </c>
      <c r="N213" s="201"/>
      <c r="O213" s="481" t="s">
        <v>1101</v>
      </c>
      <c r="P213" s="482"/>
      <c r="Q213" s="399"/>
      <c r="R213" s="201"/>
      <c r="S213" s="201"/>
      <c r="T213" s="201"/>
      <c r="U213" s="8">
        <v>247</v>
      </c>
      <c r="V213" s="404">
        <f t="shared" si="8"/>
        <v>-76.123069944661154</v>
      </c>
      <c r="W213" s="397">
        <f t="shared" si="9"/>
        <v>553.28</v>
      </c>
    </row>
    <row r="214" spans="1:23" ht="14.5">
      <c r="A214" s="397" t="s">
        <v>350</v>
      </c>
      <c r="B214" s="398" t="s">
        <v>263</v>
      </c>
      <c r="C214" s="398" t="s">
        <v>685</v>
      </c>
      <c r="D214" s="399" t="s">
        <v>1100</v>
      </c>
      <c r="E214" s="201"/>
      <c r="F214" s="201"/>
      <c r="G214" s="398" t="s">
        <v>46</v>
      </c>
      <c r="H214" s="399">
        <v>6</v>
      </c>
      <c r="I214" s="399">
        <v>48</v>
      </c>
      <c r="J214" s="399">
        <v>399</v>
      </c>
      <c r="K214" s="14"/>
      <c r="L214" s="400" t="s">
        <v>60</v>
      </c>
      <c r="M214" s="399" t="s">
        <v>418</v>
      </c>
      <c r="N214" s="201"/>
      <c r="O214" s="481" t="s">
        <v>1099</v>
      </c>
      <c r="P214" s="482"/>
      <c r="Q214" s="399"/>
      <c r="R214" s="201"/>
      <c r="S214" s="201"/>
      <c r="T214" s="201"/>
      <c r="U214" s="8">
        <v>225</v>
      </c>
      <c r="V214" s="404">
        <f t="shared" si="8"/>
        <v>-96.081339018416031</v>
      </c>
      <c r="W214" s="397">
        <f t="shared" si="9"/>
        <v>1795.5</v>
      </c>
    </row>
    <row r="215" spans="1:23" ht="14.5">
      <c r="A215" s="397" t="s">
        <v>350</v>
      </c>
      <c r="B215" s="398" t="s">
        <v>689</v>
      </c>
      <c r="C215" s="398" t="s">
        <v>352</v>
      </c>
      <c r="D215" s="399" t="s">
        <v>1102</v>
      </c>
      <c r="E215" s="201"/>
      <c r="F215" s="201"/>
      <c r="G215" s="398" t="s">
        <v>46</v>
      </c>
      <c r="H215" s="399">
        <v>5</v>
      </c>
      <c r="I215" s="399">
        <v>56</v>
      </c>
      <c r="J215" s="399">
        <v>347</v>
      </c>
      <c r="K215" s="14"/>
      <c r="L215" s="400" t="s">
        <v>59</v>
      </c>
      <c r="M215" s="399" t="s">
        <v>418</v>
      </c>
      <c r="N215" s="201"/>
      <c r="O215" s="481" t="s">
        <v>1101</v>
      </c>
      <c r="P215" s="482"/>
      <c r="Q215" s="399"/>
      <c r="R215" s="201"/>
      <c r="S215" s="201"/>
      <c r="T215" s="201"/>
      <c r="U215" s="8">
        <v>225</v>
      </c>
      <c r="V215" s="404">
        <f t="shared" si="8"/>
        <v>-96.081339018416031</v>
      </c>
      <c r="W215" s="397">
        <f t="shared" si="9"/>
        <v>1561.5</v>
      </c>
    </row>
    <row r="216" spans="1:23" ht="14.5">
      <c r="A216" s="397" t="s">
        <v>350</v>
      </c>
      <c r="B216" s="398" t="s">
        <v>690</v>
      </c>
      <c r="C216" s="398" t="s">
        <v>700</v>
      </c>
      <c r="D216" s="399" t="s">
        <v>1100</v>
      </c>
      <c r="E216" s="201"/>
      <c r="F216" s="201"/>
      <c r="G216" s="398" t="s">
        <v>46</v>
      </c>
      <c r="H216" s="399">
        <v>5</v>
      </c>
      <c r="I216" s="399">
        <v>17</v>
      </c>
      <c r="J216" s="399">
        <v>316</v>
      </c>
      <c r="K216" s="14"/>
      <c r="L216" s="400" t="s">
        <v>60</v>
      </c>
      <c r="M216" s="399" t="s">
        <v>418</v>
      </c>
      <c r="N216" s="201"/>
      <c r="O216" s="481" t="s">
        <v>1099</v>
      </c>
      <c r="P216" s="482"/>
      <c r="Q216" s="399"/>
      <c r="R216" s="201"/>
      <c r="S216" s="201"/>
      <c r="T216" s="201"/>
      <c r="U216" s="8">
        <v>225</v>
      </c>
      <c r="V216" s="404">
        <f t="shared" si="8"/>
        <v>-96.081339018416031</v>
      </c>
      <c r="W216" s="397">
        <f t="shared" si="9"/>
        <v>1422</v>
      </c>
    </row>
    <row r="217" spans="1:23" ht="14.5">
      <c r="A217" s="397" t="s">
        <v>350</v>
      </c>
      <c r="B217" s="398" t="s">
        <v>691</v>
      </c>
      <c r="C217" s="398" t="s">
        <v>238</v>
      </c>
      <c r="D217" s="399" t="s">
        <v>1100</v>
      </c>
      <c r="E217" s="201"/>
      <c r="F217" s="201"/>
      <c r="G217" s="398" t="s">
        <v>46</v>
      </c>
      <c r="H217" s="399">
        <v>3</v>
      </c>
      <c r="I217" s="399">
        <v>12</v>
      </c>
      <c r="J217" s="399">
        <v>190</v>
      </c>
      <c r="K217" s="14"/>
      <c r="L217" s="400" t="s">
        <v>60</v>
      </c>
      <c r="M217" s="399" t="s">
        <v>418</v>
      </c>
      <c r="N217" s="201"/>
      <c r="O217" s="481" t="s">
        <v>1099</v>
      </c>
      <c r="P217" s="482"/>
      <c r="Q217" s="399"/>
      <c r="R217" s="201"/>
      <c r="S217" s="201"/>
      <c r="T217" s="201"/>
      <c r="U217" s="8">
        <v>225</v>
      </c>
      <c r="V217" s="404">
        <f t="shared" si="8"/>
        <v>-96.081339018416031</v>
      </c>
      <c r="W217" s="397">
        <f t="shared" si="9"/>
        <v>855</v>
      </c>
    </row>
    <row r="218" spans="1:23" ht="14.5">
      <c r="A218" s="397" t="s">
        <v>350</v>
      </c>
      <c r="B218" s="398" t="s">
        <v>692</v>
      </c>
      <c r="C218" s="398" t="s">
        <v>682</v>
      </c>
      <c r="D218" s="399" t="s">
        <v>1100</v>
      </c>
      <c r="E218" s="201"/>
      <c r="F218" s="201"/>
      <c r="G218" s="398" t="s">
        <v>46</v>
      </c>
      <c r="H218" s="399">
        <v>5</v>
      </c>
      <c r="I218" s="399">
        <v>62</v>
      </c>
      <c r="J218" s="399">
        <v>360</v>
      </c>
      <c r="K218" s="14"/>
      <c r="L218" s="400" t="s">
        <v>60</v>
      </c>
      <c r="M218" s="399" t="s">
        <v>418</v>
      </c>
      <c r="N218" s="201"/>
      <c r="O218" s="481" t="s">
        <v>1099</v>
      </c>
      <c r="P218" s="482"/>
      <c r="Q218" s="399"/>
      <c r="R218" s="201"/>
      <c r="S218" s="201"/>
      <c r="T218" s="201"/>
      <c r="U218" s="8">
        <v>225</v>
      </c>
      <c r="V218" s="404">
        <f t="shared" si="8"/>
        <v>-96.081339018416031</v>
      </c>
      <c r="W218" s="397">
        <f t="shared" si="9"/>
        <v>1620</v>
      </c>
    </row>
    <row r="219" spans="1:23" ht="14.5">
      <c r="A219" s="397" t="s">
        <v>350</v>
      </c>
      <c r="B219" s="398" t="s">
        <v>693</v>
      </c>
      <c r="C219" s="398" t="s">
        <v>685</v>
      </c>
      <c r="D219" s="399" t="s">
        <v>1100</v>
      </c>
      <c r="E219" s="201"/>
      <c r="F219" s="201"/>
      <c r="G219" s="398" t="s">
        <v>46</v>
      </c>
      <c r="H219" s="399">
        <v>3</v>
      </c>
      <c r="I219" s="399">
        <v>44</v>
      </c>
      <c r="J219" s="399">
        <v>222</v>
      </c>
      <c r="K219" s="14"/>
      <c r="L219" s="400" t="s">
        <v>60</v>
      </c>
      <c r="M219" s="399" t="s">
        <v>418</v>
      </c>
      <c r="N219" s="201"/>
      <c r="O219" s="481" t="s">
        <v>1099</v>
      </c>
      <c r="P219" s="482"/>
      <c r="Q219" s="399"/>
      <c r="R219" s="201"/>
      <c r="S219" s="201"/>
      <c r="T219" s="201"/>
      <c r="U219" s="8">
        <v>225</v>
      </c>
      <c r="V219" s="404">
        <f t="shared" si="8"/>
        <v>-96.081339018416031</v>
      </c>
      <c r="W219" s="397">
        <f t="shared" si="9"/>
        <v>999</v>
      </c>
    </row>
    <row r="220" spans="1:23" ht="14.5">
      <c r="A220" s="397" t="s">
        <v>350</v>
      </c>
      <c r="B220" s="398" t="s">
        <v>371</v>
      </c>
      <c r="C220" s="398" t="s">
        <v>1024</v>
      </c>
      <c r="D220" s="399" t="s">
        <v>1100</v>
      </c>
      <c r="E220" s="201"/>
      <c r="F220" s="201"/>
      <c r="G220" s="398" t="s">
        <v>46</v>
      </c>
      <c r="H220" s="399">
        <v>3</v>
      </c>
      <c r="I220" s="399">
        <v>58</v>
      </c>
      <c r="J220" s="399">
        <v>238</v>
      </c>
      <c r="K220" s="14"/>
      <c r="L220" s="400" t="s">
        <v>60</v>
      </c>
      <c r="M220" s="399" t="s">
        <v>418</v>
      </c>
      <c r="N220" s="201"/>
      <c r="O220" s="481" t="s">
        <v>1099</v>
      </c>
      <c r="P220" s="482"/>
      <c r="Q220" s="399"/>
      <c r="R220" s="201"/>
      <c r="S220" s="201"/>
      <c r="T220" s="201"/>
      <c r="U220" s="8">
        <v>225</v>
      </c>
      <c r="V220" s="404">
        <f t="shared" si="8"/>
        <v>-96.081339018416031</v>
      </c>
      <c r="W220" s="397">
        <f t="shared" si="9"/>
        <v>1071</v>
      </c>
    </row>
    <row r="221" spans="1:23" ht="14.5">
      <c r="A221" s="397" t="s">
        <v>350</v>
      </c>
      <c r="B221" s="398" t="s">
        <v>372</v>
      </c>
      <c r="C221" s="398" t="s">
        <v>694</v>
      </c>
      <c r="D221" s="399" t="s">
        <v>1102</v>
      </c>
      <c r="E221" s="201"/>
      <c r="F221" s="201"/>
      <c r="G221" s="398" t="s">
        <v>46</v>
      </c>
      <c r="H221" s="399">
        <v>1</v>
      </c>
      <c r="I221" s="399">
        <v>53</v>
      </c>
      <c r="J221" s="399">
        <v>113</v>
      </c>
      <c r="K221" s="14"/>
      <c r="L221" s="400" t="s">
        <v>356</v>
      </c>
      <c r="M221" s="399" t="s">
        <v>418</v>
      </c>
      <c r="N221" s="201"/>
      <c r="O221" s="481" t="s">
        <v>1101</v>
      </c>
      <c r="P221" s="482"/>
      <c r="Q221" s="399"/>
      <c r="R221" s="201"/>
      <c r="S221" s="201"/>
      <c r="T221" s="201"/>
      <c r="U221" s="8">
        <v>247</v>
      </c>
      <c r="V221" s="404">
        <f t="shared" si="8"/>
        <v>-76.123069944661154</v>
      </c>
      <c r="W221" s="397">
        <f t="shared" si="9"/>
        <v>558.22</v>
      </c>
    </row>
    <row r="222" spans="1:23" ht="14.5">
      <c r="A222" s="397" t="s">
        <v>350</v>
      </c>
      <c r="B222" s="398" t="s">
        <v>373</v>
      </c>
      <c r="C222" s="398" t="s">
        <v>683</v>
      </c>
      <c r="D222" s="399" t="s">
        <v>1102</v>
      </c>
      <c r="E222" s="201"/>
      <c r="F222" s="201"/>
      <c r="G222" s="398" t="s">
        <v>46</v>
      </c>
      <c r="H222" s="399">
        <v>0</v>
      </c>
      <c r="I222" s="399">
        <v>64</v>
      </c>
      <c r="J222" s="399">
        <v>64</v>
      </c>
      <c r="K222" s="14"/>
      <c r="L222" s="400" t="s">
        <v>356</v>
      </c>
      <c r="M222" s="399" t="s">
        <v>418</v>
      </c>
      <c r="N222" s="201"/>
      <c r="O222" s="481" t="s">
        <v>1101</v>
      </c>
      <c r="P222" s="482"/>
      <c r="Q222" s="399"/>
      <c r="R222" s="201"/>
      <c r="S222" s="201"/>
      <c r="T222" s="201"/>
      <c r="U222" s="8">
        <v>247</v>
      </c>
      <c r="V222" s="404">
        <f t="shared" si="8"/>
        <v>-76.123069944661154</v>
      </c>
      <c r="W222" s="397">
        <f t="shared" si="9"/>
        <v>316.15999999999997</v>
      </c>
    </row>
    <row r="223" spans="1:23" ht="14.5">
      <c r="A223" s="397" t="s">
        <v>350</v>
      </c>
      <c r="B223" s="398" t="s">
        <v>374</v>
      </c>
      <c r="C223" s="398" t="s">
        <v>694</v>
      </c>
      <c r="D223" s="399" t="s">
        <v>1102</v>
      </c>
      <c r="E223" s="201"/>
      <c r="F223" s="201"/>
      <c r="G223" s="398" t="s">
        <v>46</v>
      </c>
      <c r="H223" s="399">
        <v>2</v>
      </c>
      <c r="I223" s="399">
        <v>32</v>
      </c>
      <c r="J223" s="399">
        <v>151</v>
      </c>
      <c r="K223" s="14"/>
      <c r="L223" s="400" t="s">
        <v>59</v>
      </c>
      <c r="M223" s="399" t="s">
        <v>418</v>
      </c>
      <c r="N223" s="201"/>
      <c r="O223" s="481" t="s">
        <v>1101</v>
      </c>
      <c r="P223" s="482"/>
      <c r="Q223" s="399"/>
      <c r="R223" s="201"/>
      <c r="S223" s="201"/>
      <c r="T223" s="201"/>
      <c r="U223" s="8">
        <v>225</v>
      </c>
      <c r="V223" s="404">
        <f t="shared" si="8"/>
        <v>-96.081339018416031</v>
      </c>
      <c r="W223" s="397">
        <f t="shared" si="9"/>
        <v>679.5</v>
      </c>
    </row>
    <row r="224" spans="1:23" ht="14.5">
      <c r="A224" s="397" t="s">
        <v>350</v>
      </c>
      <c r="B224" s="398" t="s">
        <v>377</v>
      </c>
      <c r="C224" s="398" t="s">
        <v>233</v>
      </c>
      <c r="D224" s="399" t="s">
        <v>1100</v>
      </c>
      <c r="E224" s="201"/>
      <c r="F224" s="201"/>
      <c r="G224" s="398" t="s">
        <v>46</v>
      </c>
      <c r="H224" s="399">
        <v>4</v>
      </c>
      <c r="I224" s="399">
        <v>36</v>
      </c>
      <c r="J224" s="399">
        <v>274</v>
      </c>
      <c r="K224" s="14"/>
      <c r="L224" s="400" t="s">
        <v>63</v>
      </c>
      <c r="M224" s="399" t="s">
        <v>418</v>
      </c>
      <c r="N224" s="201"/>
      <c r="O224" s="481" t="s">
        <v>1099</v>
      </c>
      <c r="P224" s="482"/>
      <c r="Q224" s="399"/>
      <c r="R224" s="201"/>
      <c r="S224" s="201"/>
      <c r="T224" s="201"/>
      <c r="U224" s="8">
        <v>247</v>
      </c>
      <c r="V224" s="404">
        <f t="shared" si="8"/>
        <v>-76.123069944661154</v>
      </c>
      <c r="W224" s="397">
        <f t="shared" si="9"/>
        <v>1353.56</v>
      </c>
    </row>
    <row r="225" spans="1:23" ht="14.5">
      <c r="A225" s="397" t="s">
        <v>350</v>
      </c>
      <c r="B225" s="398" t="s">
        <v>1011</v>
      </c>
      <c r="C225" s="398" t="s">
        <v>239</v>
      </c>
      <c r="D225" s="399" t="s">
        <v>1102</v>
      </c>
      <c r="E225" s="201"/>
      <c r="F225" s="201"/>
      <c r="G225" s="398" t="s">
        <v>46</v>
      </c>
      <c r="H225" s="399">
        <v>0</v>
      </c>
      <c r="I225" s="399">
        <v>33</v>
      </c>
      <c r="J225" s="399">
        <v>33</v>
      </c>
      <c r="K225" s="14"/>
      <c r="L225" s="400" t="s">
        <v>59</v>
      </c>
      <c r="M225" s="399" t="s">
        <v>418</v>
      </c>
      <c r="N225" s="201"/>
      <c r="O225" s="481" t="s">
        <v>1101</v>
      </c>
      <c r="P225" s="482"/>
      <c r="Q225" s="399"/>
      <c r="R225" s="201"/>
      <c r="S225" s="201"/>
      <c r="T225" s="201"/>
      <c r="U225" s="8">
        <v>225</v>
      </c>
      <c r="V225" s="404">
        <f t="shared" si="8"/>
        <v>-96.081339018416031</v>
      </c>
      <c r="W225" s="397">
        <f t="shared" si="9"/>
        <v>148.5</v>
      </c>
    </row>
    <row r="226" spans="1:23" ht="14.5">
      <c r="A226" s="397" t="s">
        <v>350</v>
      </c>
      <c r="B226" s="420" t="s">
        <v>214</v>
      </c>
      <c r="C226" s="420" t="s">
        <v>700</v>
      </c>
      <c r="D226" s="420"/>
      <c r="E226" s="201"/>
      <c r="F226" s="201"/>
      <c r="G226" s="420" t="s">
        <v>42</v>
      </c>
      <c r="H226" s="400">
        <v>68</v>
      </c>
      <c r="I226" s="400">
        <v>18</v>
      </c>
      <c r="J226" s="421">
        <v>4115</v>
      </c>
      <c r="K226" s="14"/>
      <c r="L226" s="421" t="s">
        <v>54</v>
      </c>
      <c r="M226" s="400" t="s">
        <v>354</v>
      </c>
      <c r="N226" s="201" t="s">
        <v>434</v>
      </c>
      <c r="O226" s="481" t="s">
        <v>1083</v>
      </c>
      <c r="P226" s="482">
        <v>4115</v>
      </c>
      <c r="Q226" s="399"/>
      <c r="R226" s="201"/>
      <c r="S226" s="201"/>
      <c r="T226" s="201"/>
      <c r="U226" s="8">
        <v>332</v>
      </c>
      <c r="V226" s="404">
        <f t="shared" si="8"/>
        <v>0.98842420393719976</v>
      </c>
      <c r="W226" s="397">
        <f t="shared" si="9"/>
        <v>27323.599999999995</v>
      </c>
    </row>
    <row r="227" spans="1:23" ht="14.5">
      <c r="A227" s="397" t="s">
        <v>350</v>
      </c>
      <c r="B227" s="420" t="s">
        <v>311</v>
      </c>
      <c r="C227" s="420" t="s">
        <v>237</v>
      </c>
      <c r="D227" s="420"/>
      <c r="E227" s="201"/>
      <c r="F227" s="201"/>
      <c r="G227" s="420" t="s">
        <v>44</v>
      </c>
      <c r="H227" s="400">
        <v>7</v>
      </c>
      <c r="I227" s="400">
        <v>9</v>
      </c>
      <c r="J227" s="400">
        <v>429</v>
      </c>
      <c r="K227" s="14"/>
      <c r="L227" s="400" t="s">
        <v>45</v>
      </c>
      <c r="M227" s="400" t="s">
        <v>354</v>
      </c>
      <c r="N227" s="201" t="s">
        <v>697</v>
      </c>
      <c r="O227" s="481" t="s">
        <v>1072</v>
      </c>
      <c r="P227" s="482">
        <v>429.7</v>
      </c>
      <c r="Q227" s="399"/>
      <c r="R227" s="201"/>
      <c r="S227" s="201"/>
      <c r="T227" s="201"/>
      <c r="U227" s="8">
        <v>332</v>
      </c>
      <c r="V227" s="404">
        <f t="shared" si="8"/>
        <v>0.98842420393719976</v>
      </c>
      <c r="W227" s="397">
        <f t="shared" si="9"/>
        <v>2848.56</v>
      </c>
    </row>
    <row r="228" spans="1:23" ht="14.5">
      <c r="A228" s="397" t="s">
        <v>350</v>
      </c>
      <c r="B228" s="420" t="s">
        <v>686</v>
      </c>
      <c r="C228" s="420" t="s">
        <v>239</v>
      </c>
      <c r="D228" s="420"/>
      <c r="E228" s="201"/>
      <c r="F228" s="201"/>
      <c r="G228" s="420" t="s">
        <v>44</v>
      </c>
      <c r="H228" s="400">
        <v>7</v>
      </c>
      <c r="I228" s="400">
        <v>58</v>
      </c>
      <c r="J228" s="400">
        <v>476</v>
      </c>
      <c r="K228" s="14"/>
      <c r="L228" s="400" t="s">
        <v>54</v>
      </c>
      <c r="M228" s="400" t="s">
        <v>354</v>
      </c>
      <c r="N228" s="201" t="s">
        <v>697</v>
      </c>
      <c r="O228" s="481" t="s">
        <v>1080</v>
      </c>
      <c r="P228" s="482">
        <v>476.1</v>
      </c>
      <c r="Q228" s="399"/>
      <c r="R228" s="201"/>
      <c r="S228" s="201"/>
      <c r="T228" s="201"/>
      <c r="U228" s="8">
        <v>332</v>
      </c>
      <c r="V228" s="404">
        <f t="shared" si="8"/>
        <v>0.98842420393719976</v>
      </c>
      <c r="W228" s="397">
        <f t="shared" si="9"/>
        <v>3160.64</v>
      </c>
    </row>
    <row r="229" spans="1:23" ht="14.5">
      <c r="A229" s="397" t="s">
        <v>350</v>
      </c>
      <c r="B229" s="420" t="s">
        <v>687</v>
      </c>
      <c r="C229" s="420" t="s">
        <v>238</v>
      </c>
      <c r="D229" s="420"/>
      <c r="E229" s="201"/>
      <c r="F229" s="201"/>
      <c r="G229" s="420" t="s">
        <v>45</v>
      </c>
      <c r="H229" s="400">
        <v>29</v>
      </c>
      <c r="I229" s="400">
        <v>7</v>
      </c>
      <c r="J229" s="421">
        <v>1741</v>
      </c>
      <c r="K229" s="14"/>
      <c r="L229" s="421" t="s">
        <v>56</v>
      </c>
      <c r="M229" s="400" t="s">
        <v>354</v>
      </c>
      <c r="N229" s="201"/>
      <c r="O229" s="481" t="s">
        <v>1075</v>
      </c>
      <c r="P229" s="482">
        <v>1741.9</v>
      </c>
      <c r="Q229" s="399"/>
      <c r="R229" s="201"/>
      <c r="S229" s="201"/>
      <c r="T229" s="201"/>
      <c r="U229" s="8">
        <v>305</v>
      </c>
      <c r="V229" s="404">
        <f t="shared" si="8"/>
        <v>-23.505815113852861</v>
      </c>
      <c r="W229" s="397">
        <f t="shared" si="9"/>
        <v>10620.1</v>
      </c>
    </row>
    <row r="230" spans="1:23" ht="14.5">
      <c r="A230" s="397" t="s">
        <v>350</v>
      </c>
      <c r="B230" s="420" t="s">
        <v>687</v>
      </c>
      <c r="C230" s="420" t="s">
        <v>238</v>
      </c>
      <c r="D230" s="420"/>
      <c r="E230" s="201"/>
      <c r="F230" s="201"/>
      <c r="G230" s="420" t="s">
        <v>44</v>
      </c>
      <c r="H230" s="400">
        <v>16</v>
      </c>
      <c r="I230" s="400">
        <v>8</v>
      </c>
      <c r="J230" s="400">
        <v>971</v>
      </c>
      <c r="K230" s="14"/>
      <c r="L230" s="400" t="s">
        <v>94</v>
      </c>
      <c r="M230" s="400" t="s">
        <v>354</v>
      </c>
      <c r="N230" s="201" t="s">
        <v>697</v>
      </c>
      <c r="O230" s="481" t="s">
        <v>1076</v>
      </c>
      <c r="P230" s="482">
        <v>971.8</v>
      </c>
      <c r="Q230" s="399"/>
      <c r="R230" s="201"/>
      <c r="S230" s="201"/>
      <c r="T230" s="201"/>
      <c r="U230" s="8">
        <v>340</v>
      </c>
      <c r="V230" s="404">
        <f t="shared" si="8"/>
        <v>8.2459765943935395</v>
      </c>
      <c r="W230" s="397">
        <f t="shared" si="9"/>
        <v>6602.7999999999993</v>
      </c>
    </row>
    <row r="231" spans="1:23" ht="14.5">
      <c r="A231" s="397" t="s">
        <v>350</v>
      </c>
      <c r="B231" s="420" t="s">
        <v>280</v>
      </c>
      <c r="C231" s="420" t="s">
        <v>238</v>
      </c>
      <c r="D231" s="420"/>
      <c r="E231" s="201"/>
      <c r="F231" s="201"/>
      <c r="G231" s="420" t="s">
        <v>45</v>
      </c>
      <c r="H231" s="400">
        <v>11</v>
      </c>
      <c r="I231" s="400">
        <v>59</v>
      </c>
      <c r="J231" s="400">
        <v>716</v>
      </c>
      <c r="K231" s="14"/>
      <c r="L231" s="400" t="s">
        <v>60</v>
      </c>
      <c r="M231" s="400" t="s">
        <v>418</v>
      </c>
      <c r="N231" s="201"/>
      <c r="O231" s="481" t="s">
        <v>1077</v>
      </c>
      <c r="P231" s="482">
        <v>716.3</v>
      </c>
      <c r="Q231" s="399"/>
      <c r="R231" s="201"/>
      <c r="S231" s="201"/>
      <c r="T231" s="201"/>
      <c r="U231" s="8">
        <v>280</v>
      </c>
      <c r="V231" s="404">
        <f t="shared" si="8"/>
        <v>-46.185666334028838</v>
      </c>
      <c r="W231" s="397">
        <f t="shared" si="9"/>
        <v>4009.6</v>
      </c>
    </row>
    <row r="232" spans="1:23" ht="14.5">
      <c r="A232" s="397" t="s">
        <v>350</v>
      </c>
      <c r="B232" s="420" t="s">
        <v>263</v>
      </c>
      <c r="C232" s="420" t="s">
        <v>243</v>
      </c>
      <c r="D232" s="420"/>
      <c r="E232" s="201"/>
      <c r="F232" s="201"/>
      <c r="G232" s="420" t="s">
        <v>45</v>
      </c>
      <c r="H232" s="400">
        <v>13</v>
      </c>
      <c r="I232" s="400">
        <v>32</v>
      </c>
      <c r="J232" s="400">
        <v>811</v>
      </c>
      <c r="K232" s="14"/>
      <c r="L232" s="400" t="s">
        <v>60</v>
      </c>
      <c r="M232" s="400" t="s">
        <v>418</v>
      </c>
      <c r="N232" s="201"/>
      <c r="O232" s="481" t="s">
        <v>1082</v>
      </c>
      <c r="P232" s="482">
        <v>811.9</v>
      </c>
      <c r="Q232" s="399"/>
      <c r="R232" s="201"/>
      <c r="S232" s="201"/>
      <c r="T232" s="201"/>
      <c r="U232" s="8">
        <v>280</v>
      </c>
      <c r="V232" s="404">
        <f t="shared" si="8"/>
        <v>-46.185666334028838</v>
      </c>
      <c r="W232" s="397">
        <f t="shared" si="9"/>
        <v>4541.6000000000004</v>
      </c>
    </row>
    <row r="233" spans="1:23" ht="14.5">
      <c r="A233" s="397" t="s">
        <v>350</v>
      </c>
      <c r="B233" s="420" t="s">
        <v>689</v>
      </c>
      <c r="C233" s="420" t="s">
        <v>352</v>
      </c>
      <c r="D233" s="420"/>
      <c r="E233" s="201"/>
      <c r="F233" s="201"/>
      <c r="G233" s="420" t="s">
        <v>44</v>
      </c>
      <c r="H233" s="400">
        <v>15</v>
      </c>
      <c r="I233" s="400">
        <v>48</v>
      </c>
      <c r="J233" s="400">
        <v>940</v>
      </c>
      <c r="K233" s="14"/>
      <c r="L233" s="400" t="s">
        <v>56</v>
      </c>
      <c r="M233" s="400" t="s">
        <v>354</v>
      </c>
      <c r="N233" s="201"/>
      <c r="O233" s="481" t="s">
        <v>1087</v>
      </c>
      <c r="P233" s="482">
        <v>940.5</v>
      </c>
      <c r="Q233" s="399"/>
      <c r="R233" s="201"/>
      <c r="S233" s="201"/>
      <c r="T233" s="201"/>
      <c r="U233" s="8">
        <v>310</v>
      </c>
      <c r="V233" s="404">
        <f t="shared" si="8"/>
        <v>-18.969844869817678</v>
      </c>
      <c r="W233" s="397">
        <f t="shared" si="9"/>
        <v>5827.9999999999991</v>
      </c>
    </row>
    <row r="234" spans="1:23" ht="14.5">
      <c r="A234" s="397" t="s">
        <v>350</v>
      </c>
      <c r="B234" s="420" t="s">
        <v>690</v>
      </c>
      <c r="C234" s="420" t="s">
        <v>700</v>
      </c>
      <c r="D234" s="420"/>
      <c r="E234" s="201"/>
      <c r="F234" s="201"/>
      <c r="G234" s="420" t="s">
        <v>44</v>
      </c>
      <c r="H234" s="400">
        <v>2</v>
      </c>
      <c r="I234" s="400">
        <v>59</v>
      </c>
      <c r="J234" s="400">
        <v>178</v>
      </c>
      <c r="K234" s="14"/>
      <c r="L234" s="400" t="s">
        <v>60</v>
      </c>
      <c r="M234" s="400" t="s">
        <v>418</v>
      </c>
      <c r="N234" s="201"/>
      <c r="O234" s="481" t="s">
        <v>1084</v>
      </c>
      <c r="P234" s="482">
        <v>178.2</v>
      </c>
      <c r="Q234" s="399"/>
      <c r="R234" s="201"/>
      <c r="S234" s="201"/>
      <c r="T234" s="201"/>
      <c r="U234" s="8">
        <v>280</v>
      </c>
      <c r="V234" s="404">
        <f t="shared" si="8"/>
        <v>-46.185666334028838</v>
      </c>
      <c r="W234" s="397">
        <f t="shared" si="9"/>
        <v>996.80000000000007</v>
      </c>
    </row>
    <row r="235" spans="1:23" ht="14.5">
      <c r="A235" s="397" t="s">
        <v>350</v>
      </c>
      <c r="B235" s="420" t="s">
        <v>691</v>
      </c>
      <c r="C235" s="420" t="s">
        <v>238</v>
      </c>
      <c r="D235" s="420"/>
      <c r="E235" s="201"/>
      <c r="F235" s="201"/>
      <c r="G235" s="420" t="s">
        <v>44</v>
      </c>
      <c r="H235" s="400">
        <v>13</v>
      </c>
      <c r="I235" s="400">
        <v>7</v>
      </c>
      <c r="J235" s="400">
        <v>781</v>
      </c>
      <c r="K235" s="14"/>
      <c r="L235" s="400" t="s">
        <v>45</v>
      </c>
      <c r="M235" s="400" t="s">
        <v>354</v>
      </c>
      <c r="N235" s="201" t="s">
        <v>697</v>
      </c>
      <c r="O235" s="481" t="s">
        <v>1078</v>
      </c>
      <c r="P235" s="482">
        <v>781.8</v>
      </c>
      <c r="Q235" s="399"/>
      <c r="R235" s="201"/>
      <c r="S235" s="201"/>
      <c r="T235" s="201"/>
      <c r="U235" s="8">
        <v>332</v>
      </c>
      <c r="V235" s="404">
        <f t="shared" si="8"/>
        <v>0.98842420393719976</v>
      </c>
      <c r="W235" s="397">
        <f t="shared" si="9"/>
        <v>5185.84</v>
      </c>
    </row>
    <row r="236" spans="1:23" ht="14.5">
      <c r="A236" s="397" t="s">
        <v>350</v>
      </c>
      <c r="B236" s="420" t="s">
        <v>692</v>
      </c>
      <c r="C236" s="420" t="s">
        <v>682</v>
      </c>
      <c r="D236" s="420"/>
      <c r="E236" s="201"/>
      <c r="F236" s="201"/>
      <c r="G236" s="420" t="s">
        <v>44</v>
      </c>
      <c r="H236" s="400">
        <v>14</v>
      </c>
      <c r="I236" s="400">
        <v>28</v>
      </c>
      <c r="J236" s="400">
        <v>862</v>
      </c>
      <c r="K236" s="14"/>
      <c r="L236" s="400" t="s">
        <v>56</v>
      </c>
      <c r="M236" s="400" t="s">
        <v>354</v>
      </c>
      <c r="N236" s="201"/>
      <c r="O236" s="481" t="s">
        <v>1079</v>
      </c>
      <c r="P236" s="483">
        <v>862.6</v>
      </c>
      <c r="Q236" s="399"/>
      <c r="R236" s="201"/>
      <c r="S236" s="201"/>
      <c r="T236" s="201"/>
      <c r="U236" s="8">
        <v>310</v>
      </c>
      <c r="V236" s="404">
        <f t="shared" si="8"/>
        <v>-18.969844869817678</v>
      </c>
      <c r="W236" s="397">
        <f t="shared" si="9"/>
        <v>5344.4000000000005</v>
      </c>
    </row>
    <row r="237" spans="1:23" ht="14.5">
      <c r="A237" s="397" t="s">
        <v>350</v>
      </c>
      <c r="B237" s="420" t="s">
        <v>371</v>
      </c>
      <c r="C237" s="420" t="s">
        <v>233</v>
      </c>
      <c r="D237" s="420"/>
      <c r="E237" s="201"/>
      <c r="F237" s="201"/>
      <c r="G237" s="420" t="s">
        <v>44</v>
      </c>
      <c r="H237" s="400">
        <v>8</v>
      </c>
      <c r="I237" s="400">
        <v>42</v>
      </c>
      <c r="J237" s="400">
        <v>522</v>
      </c>
      <c r="K237" s="14"/>
      <c r="L237" s="400" t="s">
        <v>356</v>
      </c>
      <c r="M237" s="400" t="s">
        <v>354</v>
      </c>
      <c r="N237" s="201"/>
      <c r="O237" s="481" t="s">
        <v>1085</v>
      </c>
      <c r="P237" s="483">
        <v>522.79999999999995</v>
      </c>
      <c r="Q237" s="399"/>
      <c r="R237" s="201"/>
      <c r="S237" s="201"/>
      <c r="T237" s="201"/>
      <c r="U237" s="8">
        <v>310</v>
      </c>
      <c r="V237" s="404">
        <f t="shared" si="8"/>
        <v>-18.969844869817678</v>
      </c>
      <c r="W237" s="397">
        <f t="shared" si="9"/>
        <v>3236.4</v>
      </c>
    </row>
    <row r="238" spans="1:23" ht="14.5">
      <c r="A238" s="397" t="s">
        <v>350</v>
      </c>
      <c r="B238" s="420" t="s">
        <v>373</v>
      </c>
      <c r="C238" s="420" t="s">
        <v>233</v>
      </c>
      <c r="D238" s="420"/>
      <c r="E238" s="201"/>
      <c r="F238" s="201"/>
      <c r="G238" s="420" t="s">
        <v>44</v>
      </c>
      <c r="H238" s="400">
        <v>4</v>
      </c>
      <c r="I238" s="400">
        <v>30</v>
      </c>
      <c r="J238" s="400">
        <v>260</v>
      </c>
      <c r="K238" s="14"/>
      <c r="L238" s="400" t="s">
        <v>54</v>
      </c>
      <c r="M238" s="400" t="s">
        <v>354</v>
      </c>
      <c r="N238" s="201" t="s">
        <v>697</v>
      </c>
      <c r="O238" s="481" t="s">
        <v>1086</v>
      </c>
      <c r="P238" s="483">
        <v>260.60000000000002</v>
      </c>
      <c r="Q238" s="399"/>
      <c r="R238" s="201"/>
      <c r="S238" s="201"/>
      <c r="T238" s="201"/>
      <c r="U238" s="8">
        <v>332</v>
      </c>
      <c r="V238" s="404">
        <f t="shared" si="8"/>
        <v>0.98842420393719976</v>
      </c>
      <c r="W238" s="397">
        <f t="shared" si="9"/>
        <v>1726.3999999999999</v>
      </c>
    </row>
    <row r="239" spans="1:23" ht="14.5">
      <c r="A239" s="397" t="s">
        <v>350</v>
      </c>
      <c r="B239" s="420" t="s">
        <v>374</v>
      </c>
      <c r="C239" s="420" t="s">
        <v>237</v>
      </c>
      <c r="D239" s="420"/>
      <c r="E239" s="201"/>
      <c r="F239" s="201"/>
      <c r="G239" s="420" t="s">
        <v>44</v>
      </c>
      <c r="H239" s="400">
        <v>5</v>
      </c>
      <c r="I239" s="400">
        <v>24</v>
      </c>
      <c r="J239" s="400">
        <v>323</v>
      </c>
      <c r="K239" s="14"/>
      <c r="L239" s="400" t="s">
        <v>60</v>
      </c>
      <c r="M239" s="400" t="s">
        <v>418</v>
      </c>
      <c r="N239" s="201"/>
      <c r="O239" s="481" t="s">
        <v>1074</v>
      </c>
      <c r="P239" s="483">
        <v>323.8</v>
      </c>
      <c r="Q239" s="399"/>
      <c r="R239" s="201"/>
      <c r="S239" s="201"/>
      <c r="T239" s="201"/>
      <c r="U239" s="8">
        <v>305</v>
      </c>
      <c r="V239" s="404">
        <f t="shared" si="8"/>
        <v>-23.505815113852861</v>
      </c>
      <c r="W239" s="397">
        <f t="shared" si="9"/>
        <v>1970.3</v>
      </c>
    </row>
    <row r="240" spans="1:23" ht="14.5">
      <c r="A240" s="397" t="s">
        <v>350</v>
      </c>
      <c r="B240" s="420" t="s">
        <v>941</v>
      </c>
      <c r="C240" s="420" t="s">
        <v>237</v>
      </c>
      <c r="D240" s="420"/>
      <c r="E240" s="201"/>
      <c r="F240" s="201"/>
      <c r="G240" s="420" t="s">
        <v>52</v>
      </c>
      <c r="H240" s="400">
        <v>5</v>
      </c>
      <c r="I240" s="400"/>
      <c r="J240" s="400">
        <v>300</v>
      </c>
      <c r="K240" s="14"/>
      <c r="L240" s="400" t="s">
        <v>60</v>
      </c>
      <c r="M240" s="400" t="s">
        <v>354</v>
      </c>
      <c r="N240" s="201"/>
      <c r="O240" s="481" t="s">
        <v>1073</v>
      </c>
      <c r="P240" s="483">
        <v>300.10000000000002</v>
      </c>
      <c r="Q240" s="399"/>
      <c r="R240" s="201"/>
      <c r="S240" s="201"/>
      <c r="T240" s="201"/>
      <c r="U240" s="8">
        <v>150</v>
      </c>
      <c r="V240" s="404">
        <f t="shared" si="8"/>
        <v>-164.12089267894402</v>
      </c>
      <c r="W240" s="397">
        <f t="shared" si="9"/>
        <v>900</v>
      </c>
    </row>
    <row r="241" spans="1:23" ht="14.5">
      <c r="A241" s="397" t="s">
        <v>350</v>
      </c>
      <c r="B241" s="420" t="s">
        <v>376</v>
      </c>
      <c r="C241" s="420" t="s">
        <v>239</v>
      </c>
      <c r="D241" s="420"/>
      <c r="E241" s="201"/>
      <c r="F241" s="201"/>
      <c r="G241" s="420" t="s">
        <v>44</v>
      </c>
      <c r="H241" s="400">
        <v>12</v>
      </c>
      <c r="I241" s="400">
        <v>66</v>
      </c>
      <c r="J241" s="400">
        <v>782</v>
      </c>
      <c r="K241" s="14"/>
      <c r="L241" s="400" t="s">
        <v>54</v>
      </c>
      <c r="M241" s="400" t="s">
        <v>354</v>
      </c>
      <c r="N241" s="201" t="s">
        <v>697</v>
      </c>
      <c r="O241" s="481" t="s">
        <v>1081</v>
      </c>
      <c r="P241" s="483">
        <v>782.5</v>
      </c>
      <c r="Q241" s="399"/>
      <c r="R241" s="201"/>
      <c r="S241" s="201"/>
      <c r="T241" s="201"/>
      <c r="U241" s="8">
        <v>332</v>
      </c>
      <c r="V241" s="404">
        <f t="shared" si="8"/>
        <v>0.98842420393719976</v>
      </c>
      <c r="W241" s="397">
        <f t="shared" si="9"/>
        <v>5192.4799999999996</v>
      </c>
    </row>
    <row r="242" spans="1:23" ht="14">
      <c r="Q242" s="399"/>
      <c r="W242" s="199">
        <f>SUM(W2:W241)</f>
        <v>1339248.8800000001</v>
      </c>
    </row>
    <row r="243" spans="1:23">
      <c r="H243" s="199">
        <f>J243/60</f>
        <v>3513.9666666666667</v>
      </c>
      <c r="J243" s="422">
        <f>SUM(J2:J242)</f>
        <v>210838</v>
      </c>
    </row>
    <row r="245" spans="1:23" ht="13">
      <c r="W245" s="423">
        <f>W242/J243*50</f>
        <v>317.60140012711184</v>
      </c>
    </row>
  </sheetData>
  <autoFilter ref="A1:U243" xr:uid="{E012AE3D-B3EE-46C2-AC6D-A5D91B32F043}"/>
  <mergeCells count="2">
    <mergeCell ref="O27:O28"/>
    <mergeCell ref="P27:P28"/>
  </mergeCells>
  <pageMargins left="0.7" right="0.7" top="0.75" bottom="0.75" header="0.3" footer="0.3"/>
  <pageSetup scale="24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1FC4-4C23-429C-A9BD-484467BE823D}">
  <sheetPr>
    <tabColor theme="9" tint="-0.499984740745262"/>
    <pageSetUpPr fitToPage="1"/>
  </sheetPr>
  <dimension ref="A1:AD116"/>
  <sheetViews>
    <sheetView zoomScale="85" zoomScaleNormal="85" workbookViewId="0">
      <selection activeCell="H30" sqref="H30"/>
    </sheetView>
  </sheetViews>
  <sheetFormatPr defaultColWidth="8.81640625" defaultRowHeight="12.5"/>
  <cols>
    <col min="1" max="1" width="10.453125" style="199" bestFit="1" customWidth="1"/>
    <col min="2" max="2" width="17.54296875" style="199" customWidth="1"/>
    <col min="3" max="3" width="26.1796875" style="199" bestFit="1" customWidth="1"/>
    <col min="4" max="4" width="6.81640625" style="199" bestFit="1" customWidth="1"/>
    <col min="5" max="5" width="6.54296875" style="199" bestFit="1" customWidth="1"/>
    <col min="6" max="6" width="8.81640625" style="199"/>
    <col min="7" max="8" width="8.1796875" style="199" customWidth="1"/>
    <col min="9" max="9" width="21.1796875" style="199" bestFit="1" customWidth="1"/>
    <col min="10" max="10" width="15" style="199" bestFit="1" customWidth="1"/>
    <col min="11" max="11" width="17.36328125" style="199" bestFit="1" customWidth="1"/>
    <col min="12" max="14" width="13" style="199" customWidth="1"/>
    <col min="15" max="15" width="15.453125" style="958" customWidth="1"/>
    <col min="16" max="18" width="13" style="199" customWidth="1"/>
    <col min="19" max="19" width="20.1796875" style="199" bestFit="1" customWidth="1"/>
    <col min="20" max="22" width="13" style="199" customWidth="1"/>
    <col min="23" max="23" width="20.81640625" style="200" customWidth="1"/>
    <col min="24" max="24" width="8.81640625" style="199"/>
    <col min="25" max="25" width="14.54296875" style="199" customWidth="1"/>
    <col min="26" max="27" width="8.81640625" style="199"/>
    <col min="28" max="28" width="12.54296875" style="199" customWidth="1"/>
    <col min="29" max="29" width="8.81640625" style="199"/>
    <col min="30" max="30" width="17.81640625" style="199" customWidth="1"/>
    <col min="31" max="16384" width="8.81640625" style="199"/>
  </cols>
  <sheetData>
    <row r="1" spans="1:30" s="396" customFormat="1" ht="31.5" thickBot="1">
      <c r="A1" s="390" t="s">
        <v>343</v>
      </c>
      <c r="B1" s="390" t="s">
        <v>22</v>
      </c>
      <c r="C1" s="390" t="s">
        <v>344</v>
      </c>
      <c r="D1" s="390" t="s">
        <v>497</v>
      </c>
      <c r="E1" s="391" t="s">
        <v>905</v>
      </c>
      <c r="F1" s="390" t="s">
        <v>23</v>
      </c>
      <c r="G1" s="392" t="s">
        <v>24</v>
      </c>
      <c r="H1" s="392"/>
      <c r="I1" s="393" t="s">
        <v>111</v>
      </c>
      <c r="J1" s="390" t="s">
        <v>345</v>
      </c>
      <c r="K1" s="390" t="s">
        <v>346</v>
      </c>
      <c r="L1" s="390" t="s">
        <v>4</v>
      </c>
      <c r="M1" s="390" t="s">
        <v>414</v>
      </c>
      <c r="N1" s="390" t="s">
        <v>906</v>
      </c>
      <c r="O1" s="956" t="s">
        <v>1206</v>
      </c>
      <c r="P1" s="394" t="s">
        <v>405</v>
      </c>
      <c r="Q1" s="394" t="s">
        <v>406</v>
      </c>
      <c r="R1" s="394" t="s">
        <v>1106</v>
      </c>
      <c r="S1" s="517" t="s">
        <v>705</v>
      </c>
      <c r="T1" s="517" t="s">
        <v>703</v>
      </c>
      <c r="U1" s="517" t="s">
        <v>704</v>
      </c>
      <c r="V1" s="517" t="s">
        <v>157</v>
      </c>
      <c r="W1" s="151" t="s">
        <v>541</v>
      </c>
      <c r="X1" s="395" t="s">
        <v>30</v>
      </c>
      <c r="Y1" s="395" t="s">
        <v>407</v>
      </c>
      <c r="Z1" s="395">
        <v>300.2</v>
      </c>
      <c r="AB1" s="396" t="s">
        <v>1201</v>
      </c>
      <c r="AD1" s="395" t="s">
        <v>702</v>
      </c>
    </row>
    <row r="2" spans="1:30" s="397" customFormat="1" ht="16.399999999999999" customHeight="1">
      <c r="A2" s="397" t="s">
        <v>350</v>
      </c>
      <c r="B2" s="398" t="s">
        <v>193</v>
      </c>
      <c r="C2" s="398" t="s">
        <v>684</v>
      </c>
      <c r="D2" s="398" t="s">
        <v>908</v>
      </c>
      <c r="E2" s="398" t="s">
        <v>909</v>
      </c>
      <c r="F2" s="398" t="s">
        <v>42</v>
      </c>
      <c r="G2" s="399">
        <v>124</v>
      </c>
      <c r="H2" s="399"/>
      <c r="I2" s="399">
        <v>59</v>
      </c>
      <c r="J2" s="399">
        <f>G2*60+I2</f>
        <v>7499</v>
      </c>
      <c r="K2" s="399">
        <f t="shared" ref="K2:K60" si="0">+J2/60</f>
        <v>124.98333333333333</v>
      </c>
      <c r="L2" s="399" t="s">
        <v>94</v>
      </c>
      <c r="M2" s="400" t="s">
        <v>910</v>
      </c>
      <c r="N2" s="399" t="s">
        <v>911</v>
      </c>
      <c r="O2" s="957" t="s">
        <v>1208</v>
      </c>
      <c r="P2" s="401" t="s">
        <v>912</v>
      </c>
      <c r="Q2" s="402">
        <v>7505.2</v>
      </c>
      <c r="R2" s="402"/>
      <c r="S2" s="622">
        <v>125</v>
      </c>
      <c r="T2" s="622">
        <v>125</v>
      </c>
      <c r="U2" s="622">
        <v>25.5</v>
      </c>
      <c r="V2" s="622">
        <v>7525.5</v>
      </c>
      <c r="W2" s="403">
        <v>355</v>
      </c>
      <c r="X2" s="404">
        <f t="shared" ref="X2:X62" si="1">W2/1.1023-$Z$1</f>
        <v>21.853887326499148</v>
      </c>
      <c r="Y2" s="397">
        <f>(Q2/60*W2)*1.2</f>
        <v>53286.919999999991</v>
      </c>
      <c r="AB2" s="917">
        <f>V2-Q2</f>
        <v>20.300000000000182</v>
      </c>
    </row>
    <row r="3" spans="1:30" s="397" customFormat="1" ht="16.399999999999999" customHeight="1">
      <c r="A3" s="397" t="s">
        <v>350</v>
      </c>
      <c r="B3" s="398" t="s">
        <v>913</v>
      </c>
      <c r="C3" s="398" t="s">
        <v>239</v>
      </c>
      <c r="D3" s="398" t="s">
        <v>914</v>
      </c>
      <c r="E3" s="398" t="s">
        <v>909</v>
      </c>
      <c r="F3" s="398" t="s">
        <v>42</v>
      </c>
      <c r="G3" s="399">
        <v>69</v>
      </c>
      <c r="H3" s="399"/>
      <c r="I3" s="399">
        <v>9</v>
      </c>
      <c r="J3" s="399">
        <f t="shared" ref="J3:J66" si="2">G3*60+I3</f>
        <v>4149</v>
      </c>
      <c r="K3" s="399">
        <f t="shared" si="0"/>
        <v>69.150000000000006</v>
      </c>
      <c r="L3" s="399" t="s">
        <v>89</v>
      </c>
      <c r="M3" s="400" t="s">
        <v>910</v>
      </c>
      <c r="N3" s="399" t="s">
        <v>911</v>
      </c>
      <c r="O3" s="957" t="s">
        <v>1208</v>
      </c>
      <c r="P3" s="401" t="s">
        <v>915</v>
      </c>
      <c r="Q3" s="402">
        <v>4147.7</v>
      </c>
      <c r="R3" s="402"/>
      <c r="S3" s="622">
        <v>70</v>
      </c>
      <c r="T3" s="622">
        <v>69</v>
      </c>
      <c r="U3" s="622">
        <v>28</v>
      </c>
      <c r="V3" s="622">
        <v>4168</v>
      </c>
      <c r="W3" s="403">
        <v>355</v>
      </c>
      <c r="X3" s="404">
        <f t="shared" si="1"/>
        <v>21.853887326499148</v>
      </c>
      <c r="Y3" s="397">
        <f t="shared" ref="Y3:Y66" si="3">(Q3/60*W3)*1.2</f>
        <v>29448.669999999995</v>
      </c>
      <c r="AB3" s="917">
        <f t="shared" ref="AB3:AB66" si="4">V3-Q3</f>
        <v>20.300000000000182</v>
      </c>
    </row>
    <row r="4" spans="1:30" s="397" customFormat="1" ht="16.399999999999999" customHeight="1">
      <c r="A4" s="397" t="s">
        <v>350</v>
      </c>
      <c r="B4" s="398" t="s">
        <v>913</v>
      </c>
      <c r="C4" s="398" t="s">
        <v>239</v>
      </c>
      <c r="D4" s="398" t="s">
        <v>914</v>
      </c>
      <c r="E4" s="398" t="s">
        <v>909</v>
      </c>
      <c r="F4" s="398" t="s">
        <v>43</v>
      </c>
      <c r="G4" s="399">
        <v>57</v>
      </c>
      <c r="H4" s="399"/>
      <c r="I4" s="399">
        <v>46</v>
      </c>
      <c r="J4" s="399">
        <f t="shared" si="2"/>
        <v>3466</v>
      </c>
      <c r="K4" s="399">
        <f t="shared" si="0"/>
        <v>57.766666666666666</v>
      </c>
      <c r="L4" s="399" t="s">
        <v>89</v>
      </c>
      <c r="M4" s="400" t="s">
        <v>910</v>
      </c>
      <c r="N4" s="399" t="s">
        <v>464</v>
      </c>
      <c r="O4" s="957" t="s">
        <v>1208</v>
      </c>
      <c r="P4" s="401" t="s">
        <v>916</v>
      </c>
      <c r="Q4" s="402">
        <v>3468.6</v>
      </c>
      <c r="R4" s="402"/>
      <c r="S4" s="622">
        <v>58</v>
      </c>
      <c r="T4" s="622">
        <v>58</v>
      </c>
      <c r="U4" s="622">
        <v>5.8</v>
      </c>
      <c r="V4" s="622">
        <v>3485.8</v>
      </c>
      <c r="W4" s="403">
        <v>350</v>
      </c>
      <c r="X4" s="404">
        <f t="shared" si="1"/>
        <v>17.317917082463907</v>
      </c>
      <c r="Y4" s="397">
        <f t="shared" si="3"/>
        <v>24280.2</v>
      </c>
      <c r="AB4" s="917">
        <f t="shared" si="4"/>
        <v>17.200000000000273</v>
      </c>
    </row>
    <row r="5" spans="1:30" s="397" customFormat="1" ht="16.399999999999999" customHeight="1">
      <c r="A5" s="397" t="s">
        <v>350</v>
      </c>
      <c r="B5" s="398" t="s">
        <v>917</v>
      </c>
      <c r="C5" s="398" t="s">
        <v>918</v>
      </c>
      <c r="D5" s="398" t="s">
        <v>908</v>
      </c>
      <c r="E5" s="398" t="s">
        <v>909</v>
      </c>
      <c r="F5" s="398" t="s">
        <v>43</v>
      </c>
      <c r="G5" s="399">
        <v>60</v>
      </c>
      <c r="H5" s="399"/>
      <c r="I5" s="399">
        <v>24</v>
      </c>
      <c r="J5" s="399">
        <f t="shared" si="2"/>
        <v>3624</v>
      </c>
      <c r="K5" s="399">
        <f t="shared" si="0"/>
        <v>60.4</v>
      </c>
      <c r="L5" s="399" t="s">
        <v>94</v>
      </c>
      <c r="M5" s="400" t="s">
        <v>910</v>
      </c>
      <c r="N5" s="399" t="s">
        <v>464</v>
      </c>
      <c r="O5" s="957" t="s">
        <v>1208</v>
      </c>
      <c r="P5" s="401" t="s">
        <v>919</v>
      </c>
      <c r="Q5" s="402">
        <v>3638.4</v>
      </c>
      <c r="R5" s="402"/>
      <c r="S5" s="622">
        <v>61</v>
      </c>
      <c r="T5" s="622">
        <v>60</v>
      </c>
      <c r="U5" s="622">
        <v>55.1</v>
      </c>
      <c r="V5" s="622">
        <v>3655.1</v>
      </c>
      <c r="W5" s="403">
        <v>350</v>
      </c>
      <c r="X5" s="404">
        <f t="shared" si="1"/>
        <v>17.317917082463907</v>
      </c>
      <c r="Y5" s="397">
        <f t="shared" si="3"/>
        <v>25468.799999999999</v>
      </c>
      <c r="AB5" s="917">
        <f t="shared" si="4"/>
        <v>16.699999999999818</v>
      </c>
    </row>
    <row r="6" spans="1:30" s="397" customFormat="1" ht="16.399999999999999" customHeight="1">
      <c r="A6" s="397" t="s">
        <v>350</v>
      </c>
      <c r="B6" s="398" t="s">
        <v>920</v>
      </c>
      <c r="C6" s="398" t="s">
        <v>242</v>
      </c>
      <c r="D6" s="398" t="s">
        <v>908</v>
      </c>
      <c r="E6" s="398" t="s">
        <v>909</v>
      </c>
      <c r="F6" s="398" t="s">
        <v>43</v>
      </c>
      <c r="G6" s="399">
        <v>51</v>
      </c>
      <c r="H6" s="399"/>
      <c r="I6" s="399">
        <v>20</v>
      </c>
      <c r="J6" s="399">
        <f t="shared" si="2"/>
        <v>3080</v>
      </c>
      <c r="K6" s="399">
        <f t="shared" si="0"/>
        <v>51.333333333333336</v>
      </c>
      <c r="L6" s="399" t="s">
        <v>54</v>
      </c>
      <c r="M6" s="400" t="s">
        <v>354</v>
      </c>
      <c r="N6" s="399" t="s">
        <v>697</v>
      </c>
      <c r="O6" s="957" t="s">
        <v>1209</v>
      </c>
      <c r="P6" s="401" t="s">
        <v>921</v>
      </c>
      <c r="Q6" s="402">
        <v>3076.6</v>
      </c>
      <c r="R6" s="402"/>
      <c r="S6" s="622">
        <v>52</v>
      </c>
      <c r="T6" s="622">
        <v>51</v>
      </c>
      <c r="U6" s="622">
        <v>15.2</v>
      </c>
      <c r="V6" s="622">
        <v>3075.2</v>
      </c>
      <c r="W6" s="403">
        <v>335</v>
      </c>
      <c r="X6" s="404">
        <f t="shared" si="1"/>
        <v>3.7100063503583556</v>
      </c>
      <c r="Y6" s="397">
        <f t="shared" si="3"/>
        <v>20613.219999999998</v>
      </c>
      <c r="AB6" s="917">
        <f t="shared" si="4"/>
        <v>-1.4000000000000909</v>
      </c>
    </row>
    <row r="7" spans="1:30" s="397" customFormat="1" ht="16.399999999999999" customHeight="1">
      <c r="A7" s="397" t="s">
        <v>350</v>
      </c>
      <c r="B7" s="398" t="s">
        <v>922</v>
      </c>
      <c r="C7" s="398" t="s">
        <v>685</v>
      </c>
      <c r="D7" s="398" t="s">
        <v>908</v>
      </c>
      <c r="E7" s="398" t="s">
        <v>909</v>
      </c>
      <c r="F7" s="398" t="s">
        <v>43</v>
      </c>
      <c r="G7" s="399">
        <v>55</v>
      </c>
      <c r="H7" s="399"/>
      <c r="I7" s="399">
        <v>58</v>
      </c>
      <c r="J7" s="399">
        <f t="shared" si="2"/>
        <v>3358</v>
      </c>
      <c r="K7" s="399">
        <f t="shared" si="0"/>
        <v>55.966666666666669</v>
      </c>
      <c r="L7" s="399" t="s">
        <v>94</v>
      </c>
      <c r="M7" s="400" t="s">
        <v>910</v>
      </c>
      <c r="N7" s="399" t="s">
        <v>464</v>
      </c>
      <c r="O7" s="957" t="s">
        <v>1208</v>
      </c>
      <c r="P7" s="401" t="s">
        <v>923</v>
      </c>
      <c r="Q7" s="402">
        <v>3341.7</v>
      </c>
      <c r="R7" s="402"/>
      <c r="S7" s="622">
        <v>56</v>
      </c>
      <c r="T7" s="622">
        <v>55</v>
      </c>
      <c r="U7" s="622">
        <v>50.6</v>
      </c>
      <c r="V7" s="622">
        <v>3350.6</v>
      </c>
      <c r="W7" s="403">
        <v>350</v>
      </c>
      <c r="X7" s="404">
        <f t="shared" si="1"/>
        <v>17.317917082463907</v>
      </c>
      <c r="Y7" s="397">
        <f t="shared" si="3"/>
        <v>23391.899999999998</v>
      </c>
      <c r="AB7" s="917">
        <f t="shared" si="4"/>
        <v>8.9000000000000909</v>
      </c>
    </row>
    <row r="8" spans="1:30" s="397" customFormat="1" ht="16.399999999999999" customHeight="1">
      <c r="A8" s="397" t="s">
        <v>350</v>
      </c>
      <c r="B8" s="398" t="s">
        <v>339</v>
      </c>
      <c r="C8" s="398" t="s">
        <v>239</v>
      </c>
      <c r="D8" s="398" t="s">
        <v>908</v>
      </c>
      <c r="E8" s="398" t="s">
        <v>909</v>
      </c>
      <c r="F8" s="398" t="s">
        <v>44</v>
      </c>
      <c r="G8" s="399">
        <v>5</v>
      </c>
      <c r="H8" s="399"/>
      <c r="I8" s="399">
        <v>32</v>
      </c>
      <c r="J8" s="399">
        <f t="shared" si="2"/>
        <v>332</v>
      </c>
      <c r="K8" s="399">
        <f t="shared" si="0"/>
        <v>5.5333333333333332</v>
      </c>
      <c r="L8" s="399" t="s">
        <v>57</v>
      </c>
      <c r="M8" s="400" t="s">
        <v>354</v>
      </c>
      <c r="N8" s="399" t="s">
        <v>847</v>
      </c>
      <c r="O8" s="957" t="s">
        <v>1209</v>
      </c>
      <c r="P8" s="401" t="s">
        <v>924</v>
      </c>
      <c r="Q8" s="402">
        <v>323.60000000000002</v>
      </c>
      <c r="R8" s="402"/>
      <c r="S8" s="622">
        <v>6</v>
      </c>
      <c r="T8" s="622">
        <v>5</v>
      </c>
      <c r="U8" s="622">
        <v>22.6</v>
      </c>
      <c r="V8" s="622">
        <v>322.60000000000002</v>
      </c>
      <c r="W8" s="403">
        <v>335</v>
      </c>
      <c r="X8" s="404">
        <f t="shared" si="1"/>
        <v>3.7100063503583556</v>
      </c>
      <c r="Y8" s="397">
        <f t="shared" si="3"/>
        <v>2168.12</v>
      </c>
      <c r="AB8" s="917">
        <f t="shared" si="4"/>
        <v>-1</v>
      </c>
    </row>
    <row r="9" spans="1:30" s="397" customFormat="1" ht="16.399999999999999" customHeight="1">
      <c r="A9" s="397" t="s">
        <v>350</v>
      </c>
      <c r="B9" s="398" t="s">
        <v>322</v>
      </c>
      <c r="C9" s="398" t="s">
        <v>241</v>
      </c>
      <c r="D9" s="398" t="s">
        <v>908</v>
      </c>
      <c r="E9" s="398" t="s">
        <v>909</v>
      </c>
      <c r="F9" s="398" t="s">
        <v>44</v>
      </c>
      <c r="G9" s="399">
        <v>1</v>
      </c>
      <c r="H9" s="399"/>
      <c r="I9" s="399">
        <v>62</v>
      </c>
      <c r="J9" s="399">
        <f t="shared" si="2"/>
        <v>122</v>
      </c>
      <c r="K9" s="399">
        <f t="shared" si="0"/>
        <v>2.0333333333333332</v>
      </c>
      <c r="L9" s="399" t="s">
        <v>57</v>
      </c>
      <c r="M9" s="400" t="s">
        <v>354</v>
      </c>
      <c r="N9" s="399" t="s">
        <v>847</v>
      </c>
      <c r="O9" s="957" t="s">
        <v>1209</v>
      </c>
      <c r="P9" s="401" t="s">
        <v>928</v>
      </c>
      <c r="Q9" s="402">
        <v>122.1</v>
      </c>
      <c r="R9" s="402"/>
      <c r="S9" s="622">
        <v>2</v>
      </c>
      <c r="T9" s="622">
        <v>2</v>
      </c>
      <c r="U9" s="622">
        <v>1.2</v>
      </c>
      <c r="V9" s="622">
        <v>121.2</v>
      </c>
      <c r="W9" s="403">
        <v>335</v>
      </c>
      <c r="X9" s="404">
        <f t="shared" si="1"/>
        <v>3.7100063503583556</v>
      </c>
      <c r="Y9" s="397">
        <f t="shared" si="3"/>
        <v>818.06999999999982</v>
      </c>
      <c r="AB9" s="917">
        <f t="shared" si="4"/>
        <v>-0.89999999999999147</v>
      </c>
    </row>
    <row r="10" spans="1:30" s="397" customFormat="1" ht="16.399999999999999" customHeight="1">
      <c r="A10" s="397" t="s">
        <v>350</v>
      </c>
      <c r="B10" s="398" t="s">
        <v>206</v>
      </c>
      <c r="C10" s="398" t="s">
        <v>241</v>
      </c>
      <c r="D10" s="398" t="s">
        <v>908</v>
      </c>
      <c r="E10" s="398" t="s">
        <v>909</v>
      </c>
      <c r="F10" s="398" t="s">
        <v>45</v>
      </c>
      <c r="G10" s="399">
        <v>3</v>
      </c>
      <c r="H10" s="399"/>
      <c r="I10" s="399">
        <v>20</v>
      </c>
      <c r="J10" s="399">
        <f t="shared" si="2"/>
        <v>200</v>
      </c>
      <c r="K10" s="399">
        <f t="shared" si="0"/>
        <v>3.3333333333333335</v>
      </c>
      <c r="L10" s="399" t="s">
        <v>54</v>
      </c>
      <c r="M10" s="400" t="s">
        <v>354</v>
      </c>
      <c r="N10" s="399" t="s">
        <v>435</v>
      </c>
      <c r="O10" s="957" t="s">
        <v>1209</v>
      </c>
      <c r="P10" s="401" t="s">
        <v>929</v>
      </c>
      <c r="Q10" s="402">
        <v>200.6</v>
      </c>
      <c r="R10" s="402"/>
      <c r="S10" s="622">
        <v>4</v>
      </c>
      <c r="T10" s="622">
        <v>3</v>
      </c>
      <c r="U10" s="622">
        <v>18.399999999999999</v>
      </c>
      <c r="V10" s="622">
        <v>198.4</v>
      </c>
      <c r="W10" s="403">
        <v>310</v>
      </c>
      <c r="X10" s="404">
        <f t="shared" si="1"/>
        <v>-18.969844869817678</v>
      </c>
      <c r="Y10" s="397">
        <f t="shared" si="3"/>
        <v>1243.72</v>
      </c>
      <c r="AB10" s="917">
        <f t="shared" si="4"/>
        <v>-2.1999999999999886</v>
      </c>
    </row>
    <row r="11" spans="1:30" s="397" customFormat="1" ht="16.399999999999999" customHeight="1">
      <c r="A11" s="397" t="s">
        <v>350</v>
      </c>
      <c r="B11" s="398" t="s">
        <v>206</v>
      </c>
      <c r="C11" s="398" t="s">
        <v>241</v>
      </c>
      <c r="D11" s="398" t="s">
        <v>908</v>
      </c>
      <c r="E11" s="398" t="s">
        <v>909</v>
      </c>
      <c r="F11" s="398" t="s">
        <v>44</v>
      </c>
      <c r="G11" s="399">
        <v>1</v>
      </c>
      <c r="H11" s="399"/>
      <c r="I11" s="399">
        <v>41</v>
      </c>
      <c r="J11" s="399">
        <f t="shared" si="2"/>
        <v>101</v>
      </c>
      <c r="K11" s="399">
        <f t="shared" si="0"/>
        <v>1.6833333333333333</v>
      </c>
      <c r="L11" s="399" t="s">
        <v>89</v>
      </c>
      <c r="M11" s="400" t="s">
        <v>910</v>
      </c>
      <c r="N11" s="399" t="s">
        <v>464</v>
      </c>
      <c r="O11" s="957" t="s">
        <v>1208</v>
      </c>
      <c r="P11" s="401" t="s">
        <v>930</v>
      </c>
      <c r="Q11" s="402">
        <v>101</v>
      </c>
      <c r="R11" s="402"/>
      <c r="S11" s="622">
        <v>2</v>
      </c>
      <c r="T11" s="622">
        <v>1</v>
      </c>
      <c r="U11" s="622">
        <v>42.2</v>
      </c>
      <c r="V11" s="622">
        <v>102.2</v>
      </c>
      <c r="W11" s="403">
        <v>350</v>
      </c>
      <c r="X11" s="404">
        <f t="shared" si="1"/>
        <v>17.317917082463907</v>
      </c>
      <c r="Y11" s="397">
        <f t="shared" si="3"/>
        <v>706.99999999999989</v>
      </c>
      <c r="AB11" s="917">
        <f t="shared" si="4"/>
        <v>1.2000000000000028</v>
      </c>
    </row>
    <row r="12" spans="1:30" s="397" customFormat="1" ht="16.399999999999999" customHeight="1">
      <c r="A12" s="397" t="s">
        <v>350</v>
      </c>
      <c r="B12" s="398" t="s">
        <v>320</v>
      </c>
      <c r="C12" s="398" t="s">
        <v>352</v>
      </c>
      <c r="D12" s="398" t="s">
        <v>908</v>
      </c>
      <c r="E12" s="398" t="s">
        <v>909</v>
      </c>
      <c r="F12" s="398" t="s">
        <v>43</v>
      </c>
      <c r="G12" s="399">
        <v>84</v>
      </c>
      <c r="H12" s="399"/>
      <c r="I12" s="399">
        <v>40</v>
      </c>
      <c r="J12" s="399">
        <f t="shared" si="2"/>
        <v>5080</v>
      </c>
      <c r="K12" s="399">
        <f t="shared" si="0"/>
        <v>84.666666666666671</v>
      </c>
      <c r="L12" s="399" t="s">
        <v>45</v>
      </c>
      <c r="M12" s="400" t="s">
        <v>354</v>
      </c>
      <c r="N12" s="399" t="s">
        <v>697</v>
      </c>
      <c r="O12" s="957" t="s">
        <v>1209</v>
      </c>
      <c r="P12" s="401" t="s">
        <v>931</v>
      </c>
      <c r="Q12" s="402">
        <v>5080</v>
      </c>
      <c r="R12" s="402"/>
      <c r="S12" s="622">
        <v>85</v>
      </c>
      <c r="T12" s="622">
        <v>85</v>
      </c>
      <c r="U12" s="622">
        <v>18.5</v>
      </c>
      <c r="V12" s="622">
        <v>5118.5</v>
      </c>
      <c r="W12" s="403">
        <v>335</v>
      </c>
      <c r="X12" s="404">
        <f t="shared" si="1"/>
        <v>3.7100063503583556</v>
      </c>
      <c r="Y12" s="397">
        <f t="shared" si="3"/>
        <v>34036</v>
      </c>
      <c r="AB12" s="917">
        <f t="shared" si="4"/>
        <v>38.5</v>
      </c>
    </row>
    <row r="13" spans="1:30" s="397" customFormat="1" ht="16.399999999999999" customHeight="1">
      <c r="A13" s="397" t="s">
        <v>350</v>
      </c>
      <c r="B13" s="398" t="s">
        <v>320</v>
      </c>
      <c r="C13" s="398" t="s">
        <v>352</v>
      </c>
      <c r="D13" s="398" t="s">
        <v>908</v>
      </c>
      <c r="E13" s="398" t="s">
        <v>909</v>
      </c>
      <c r="F13" s="398" t="s">
        <v>45</v>
      </c>
      <c r="G13" s="399">
        <v>20</v>
      </c>
      <c r="H13" s="399"/>
      <c r="I13" s="399">
        <v>28</v>
      </c>
      <c r="J13" s="399">
        <f t="shared" si="2"/>
        <v>1228</v>
      </c>
      <c r="K13" s="399">
        <f t="shared" si="0"/>
        <v>20.466666666666665</v>
      </c>
      <c r="L13" s="399" t="s">
        <v>56</v>
      </c>
      <c r="M13" s="400" t="s">
        <v>354</v>
      </c>
      <c r="N13" s="399" t="s">
        <v>932</v>
      </c>
      <c r="O13" s="957" t="s">
        <v>1209</v>
      </c>
      <c r="P13" s="401" t="s">
        <v>933</v>
      </c>
      <c r="Q13" s="402">
        <v>1228</v>
      </c>
      <c r="R13" s="402"/>
      <c r="S13" s="622">
        <v>21</v>
      </c>
      <c r="T13" s="622">
        <v>20</v>
      </c>
      <c r="U13" s="622">
        <f>SUM(U3:U12)</f>
        <v>257.60000000000002</v>
      </c>
      <c r="V13" s="622">
        <v>1246.0999999999999</v>
      </c>
      <c r="W13" s="403">
        <v>310</v>
      </c>
      <c r="X13" s="404">
        <f t="shared" si="1"/>
        <v>-18.969844869817678</v>
      </c>
      <c r="Y13" s="397">
        <f t="shared" si="3"/>
        <v>7613.5999999999985</v>
      </c>
      <c r="AB13" s="917">
        <f t="shared" si="4"/>
        <v>18.099999999999909</v>
      </c>
    </row>
    <row r="14" spans="1:30" s="397" customFormat="1" ht="16.399999999999999" customHeight="1">
      <c r="A14" s="397" t="s">
        <v>350</v>
      </c>
      <c r="B14" s="398" t="s">
        <v>320</v>
      </c>
      <c r="C14" s="398" t="s">
        <v>352</v>
      </c>
      <c r="D14" s="398" t="s">
        <v>908</v>
      </c>
      <c r="E14" s="398" t="s">
        <v>909</v>
      </c>
      <c r="F14" s="398" t="s">
        <v>44</v>
      </c>
      <c r="G14" s="399">
        <v>10</v>
      </c>
      <c r="H14" s="399"/>
      <c r="I14" s="399">
        <v>54</v>
      </c>
      <c r="J14" s="399">
        <f t="shared" si="2"/>
        <v>654</v>
      </c>
      <c r="K14" s="399">
        <f t="shared" si="0"/>
        <v>10.9</v>
      </c>
      <c r="L14" s="399" t="s">
        <v>45</v>
      </c>
      <c r="M14" s="400" t="s">
        <v>354</v>
      </c>
      <c r="N14" s="399" t="s">
        <v>697</v>
      </c>
      <c r="O14" s="957" t="s">
        <v>1209</v>
      </c>
      <c r="P14" s="401" t="s">
        <v>934</v>
      </c>
      <c r="Q14" s="402">
        <v>654</v>
      </c>
      <c r="R14" s="402"/>
      <c r="S14" s="622">
        <v>11</v>
      </c>
      <c r="T14" s="623">
        <v>11</v>
      </c>
      <c r="U14" s="622">
        <v>3.1</v>
      </c>
      <c r="V14" s="622">
        <v>663.1</v>
      </c>
      <c r="W14" s="403">
        <v>335</v>
      </c>
      <c r="X14" s="404">
        <f t="shared" si="1"/>
        <v>3.7100063503583556</v>
      </c>
      <c r="Y14" s="397">
        <f t="shared" si="3"/>
        <v>4381.8</v>
      </c>
      <c r="AB14" s="917">
        <f t="shared" si="4"/>
        <v>9.1000000000000227</v>
      </c>
    </row>
    <row r="15" spans="1:30" s="397" customFormat="1" ht="16.399999999999999" customHeight="1">
      <c r="A15" s="397" t="s">
        <v>350</v>
      </c>
      <c r="B15" s="398" t="s">
        <v>935</v>
      </c>
      <c r="C15" s="398" t="s">
        <v>240</v>
      </c>
      <c r="D15" s="398" t="s">
        <v>908</v>
      </c>
      <c r="E15" s="398" t="s">
        <v>909</v>
      </c>
      <c r="F15" s="398" t="s">
        <v>51</v>
      </c>
      <c r="G15" s="399">
        <v>40</v>
      </c>
      <c r="H15" s="399"/>
      <c r="I15" s="399">
        <v>47</v>
      </c>
      <c r="J15" s="399">
        <f t="shared" si="2"/>
        <v>2447</v>
      </c>
      <c r="K15" s="399">
        <f t="shared" si="0"/>
        <v>40.783333333333331</v>
      </c>
      <c r="L15" s="399" t="s">
        <v>59</v>
      </c>
      <c r="M15" s="400" t="s">
        <v>856</v>
      </c>
      <c r="N15" s="399" t="s">
        <v>927</v>
      </c>
      <c r="O15" s="957" t="s">
        <v>1207</v>
      </c>
      <c r="P15" s="401" t="s">
        <v>936</v>
      </c>
      <c r="Q15" s="402">
        <v>2435.4</v>
      </c>
      <c r="R15" s="402"/>
      <c r="S15" s="622">
        <v>41</v>
      </c>
      <c r="T15" s="622">
        <v>40</v>
      </c>
      <c r="U15" s="622">
        <v>38.1</v>
      </c>
      <c r="V15" s="622">
        <v>2438.1</v>
      </c>
      <c r="W15" s="403">
        <v>280</v>
      </c>
      <c r="X15" s="404">
        <f t="shared" si="1"/>
        <v>-46.185666334028838</v>
      </c>
      <c r="Y15" s="397">
        <f t="shared" si="3"/>
        <v>13638.24</v>
      </c>
      <c r="AB15" s="917">
        <f t="shared" si="4"/>
        <v>2.6999999999998181</v>
      </c>
    </row>
    <row r="16" spans="1:30" s="397" customFormat="1" ht="16.399999999999999" customHeight="1">
      <c r="A16" s="397" t="s">
        <v>350</v>
      </c>
      <c r="B16" s="398" t="s">
        <v>935</v>
      </c>
      <c r="C16" s="398" t="s">
        <v>240</v>
      </c>
      <c r="D16" s="398" t="s">
        <v>908</v>
      </c>
      <c r="E16" s="398" t="s">
        <v>909</v>
      </c>
      <c r="F16" s="398" t="s">
        <v>52</v>
      </c>
      <c r="G16" s="399">
        <v>3</v>
      </c>
      <c r="H16" s="399"/>
      <c r="I16" s="399">
        <v>22</v>
      </c>
      <c r="J16" s="399">
        <f t="shared" si="2"/>
        <v>202</v>
      </c>
      <c r="K16" s="399">
        <f t="shared" si="0"/>
        <v>3.3666666666666667</v>
      </c>
      <c r="L16" s="399" t="s">
        <v>355</v>
      </c>
      <c r="M16" s="400" t="s">
        <v>856</v>
      </c>
      <c r="N16" s="399" t="s">
        <v>1062</v>
      </c>
      <c r="O16" s="957" t="s">
        <v>1207</v>
      </c>
      <c r="P16" s="401" t="s">
        <v>937</v>
      </c>
      <c r="Q16" s="402">
        <v>194.5</v>
      </c>
      <c r="R16" s="402"/>
      <c r="S16" s="622">
        <v>4</v>
      </c>
      <c r="T16" s="622">
        <v>3</v>
      </c>
      <c r="U16" s="622">
        <f>SUM(U14:U15)</f>
        <v>41.2</v>
      </c>
      <c r="V16" s="622">
        <v>199.4</v>
      </c>
      <c r="W16" s="403"/>
      <c r="X16" s="404">
        <f t="shared" si="1"/>
        <v>-300.2</v>
      </c>
      <c r="Y16" s="397">
        <f t="shared" si="3"/>
        <v>0</v>
      </c>
      <c r="AB16" s="917">
        <f t="shared" si="4"/>
        <v>4.9000000000000057</v>
      </c>
    </row>
    <row r="17" spans="1:28" s="397" customFormat="1" ht="16.399999999999999" customHeight="1">
      <c r="A17" s="397" t="s">
        <v>350</v>
      </c>
      <c r="B17" s="398" t="s">
        <v>686</v>
      </c>
      <c r="C17" s="398" t="s">
        <v>239</v>
      </c>
      <c r="D17" s="398" t="s">
        <v>908</v>
      </c>
      <c r="E17" s="398" t="s">
        <v>909</v>
      </c>
      <c r="F17" s="398" t="s">
        <v>42</v>
      </c>
      <c r="G17" s="399">
        <v>41</v>
      </c>
      <c r="H17" s="399"/>
      <c r="I17" s="399">
        <v>50</v>
      </c>
      <c r="J17" s="399">
        <f t="shared" si="2"/>
        <v>2510</v>
      </c>
      <c r="K17" s="399">
        <f t="shared" si="0"/>
        <v>41.833333333333336</v>
      </c>
      <c r="L17" s="399" t="s">
        <v>45</v>
      </c>
      <c r="M17" s="400" t="s">
        <v>354</v>
      </c>
      <c r="N17" s="399" t="s">
        <v>434</v>
      </c>
      <c r="O17" s="957" t="s">
        <v>1209</v>
      </c>
      <c r="P17" s="401" t="s">
        <v>938</v>
      </c>
      <c r="Q17" s="402">
        <v>2502.3000000000002</v>
      </c>
      <c r="R17" s="402"/>
      <c r="S17" s="622">
        <v>42</v>
      </c>
      <c r="T17" s="622">
        <v>41</v>
      </c>
      <c r="U17" s="622">
        <v>56.2</v>
      </c>
      <c r="V17" s="622">
        <v>2516.1999999999998</v>
      </c>
      <c r="W17" s="403">
        <v>340</v>
      </c>
      <c r="X17" s="404">
        <f t="shared" si="1"/>
        <v>8.2459765943935395</v>
      </c>
      <c r="Y17" s="397">
        <f t="shared" si="3"/>
        <v>17015.640000000003</v>
      </c>
      <c r="AB17" s="917">
        <f t="shared" si="4"/>
        <v>13.899999999999636</v>
      </c>
    </row>
    <row r="18" spans="1:28" s="397" customFormat="1" ht="16.399999999999999" customHeight="1">
      <c r="A18" s="397" t="s">
        <v>350</v>
      </c>
      <c r="B18" s="398" t="s">
        <v>686</v>
      </c>
      <c r="C18" s="398" t="s">
        <v>239</v>
      </c>
      <c r="D18" s="398" t="s">
        <v>908</v>
      </c>
      <c r="E18" s="398" t="s">
        <v>909</v>
      </c>
      <c r="F18" s="398" t="s">
        <v>43</v>
      </c>
      <c r="G18" s="399">
        <v>45</v>
      </c>
      <c r="H18" s="399"/>
      <c r="I18" s="399">
        <v>32</v>
      </c>
      <c r="J18" s="399">
        <f t="shared" si="2"/>
        <v>2732</v>
      </c>
      <c r="K18" s="399">
        <f t="shared" si="0"/>
        <v>45.533333333333331</v>
      </c>
      <c r="L18" s="399" t="s">
        <v>45</v>
      </c>
      <c r="M18" s="400" t="s">
        <v>354</v>
      </c>
      <c r="N18" s="399" t="s">
        <v>697</v>
      </c>
      <c r="O18" s="957" t="s">
        <v>1209</v>
      </c>
      <c r="P18" s="401" t="s">
        <v>939</v>
      </c>
      <c r="Q18" s="402">
        <v>2720.8</v>
      </c>
      <c r="R18" s="402"/>
      <c r="S18" s="622">
        <v>46</v>
      </c>
      <c r="T18" s="622">
        <v>45</v>
      </c>
      <c r="U18" s="622">
        <v>17.600000000000001</v>
      </c>
      <c r="V18" s="622">
        <v>2717.6</v>
      </c>
      <c r="W18" s="403">
        <v>335</v>
      </c>
      <c r="X18" s="404">
        <f t="shared" si="1"/>
        <v>3.7100063503583556</v>
      </c>
      <c r="Y18" s="397">
        <f t="shared" si="3"/>
        <v>18229.36</v>
      </c>
      <c r="AB18" s="917">
        <f t="shared" si="4"/>
        <v>-3.2000000000002728</v>
      </c>
    </row>
    <row r="19" spans="1:28" s="397" customFormat="1" ht="16.399999999999999" customHeight="1">
      <c r="A19" s="397" t="s">
        <v>350</v>
      </c>
      <c r="B19" s="398" t="s">
        <v>686</v>
      </c>
      <c r="C19" s="398" t="s">
        <v>239</v>
      </c>
      <c r="D19" s="398" t="s">
        <v>908</v>
      </c>
      <c r="E19" s="398" t="s">
        <v>909</v>
      </c>
      <c r="F19" s="398" t="s">
        <v>45</v>
      </c>
      <c r="G19" s="399">
        <v>12</v>
      </c>
      <c r="H19" s="399"/>
      <c r="I19" s="399"/>
      <c r="J19" s="399">
        <f t="shared" si="2"/>
        <v>720</v>
      </c>
      <c r="K19" s="399">
        <f t="shared" si="0"/>
        <v>12</v>
      </c>
      <c r="L19" s="399" t="s">
        <v>356</v>
      </c>
      <c r="M19" s="400" t="s">
        <v>354</v>
      </c>
      <c r="N19" s="399" t="s">
        <v>932</v>
      </c>
      <c r="O19" s="957" t="s">
        <v>1209</v>
      </c>
      <c r="P19" s="401" t="s">
        <v>940</v>
      </c>
      <c r="Q19" s="402">
        <v>770.8</v>
      </c>
      <c r="R19" s="402"/>
      <c r="S19" s="622">
        <v>13</v>
      </c>
      <c r="T19" s="622">
        <v>12</v>
      </c>
      <c r="U19" s="622">
        <v>57.3</v>
      </c>
      <c r="V19" s="622">
        <v>777.3</v>
      </c>
      <c r="W19" s="403">
        <v>305</v>
      </c>
      <c r="X19" s="404">
        <f t="shared" si="1"/>
        <v>-23.505815113852861</v>
      </c>
      <c r="Y19" s="397">
        <f t="shared" si="3"/>
        <v>4701.8799999999992</v>
      </c>
      <c r="AB19" s="917">
        <f t="shared" si="4"/>
        <v>6.5</v>
      </c>
    </row>
    <row r="20" spans="1:28" s="397" customFormat="1" ht="16.399999999999999" customHeight="1">
      <c r="A20" s="397" t="s">
        <v>350</v>
      </c>
      <c r="B20" s="398" t="s">
        <v>305</v>
      </c>
      <c r="C20" s="398" t="s">
        <v>238</v>
      </c>
      <c r="D20" s="398" t="s">
        <v>908</v>
      </c>
      <c r="E20" s="398" t="s">
        <v>909</v>
      </c>
      <c r="F20" s="398" t="s">
        <v>45</v>
      </c>
      <c r="G20" s="399">
        <v>26</v>
      </c>
      <c r="H20" s="399"/>
      <c r="I20" s="399"/>
      <c r="J20" s="399">
        <f t="shared" si="2"/>
        <v>1560</v>
      </c>
      <c r="K20" s="399">
        <f t="shared" si="0"/>
        <v>26</v>
      </c>
      <c r="L20" s="399" t="s">
        <v>54</v>
      </c>
      <c r="M20" s="400" t="s">
        <v>354</v>
      </c>
      <c r="N20" s="399" t="s">
        <v>435</v>
      </c>
      <c r="O20" s="957" t="s">
        <v>1209</v>
      </c>
      <c r="P20" s="401">
        <v>70380</v>
      </c>
      <c r="Q20" s="402">
        <v>1581</v>
      </c>
      <c r="R20" s="402"/>
      <c r="S20" s="622">
        <v>27</v>
      </c>
      <c r="T20" s="622">
        <v>26</v>
      </c>
      <c r="U20" s="622">
        <v>28.7</v>
      </c>
      <c r="V20" s="622">
        <v>1588.7</v>
      </c>
      <c r="W20" s="403">
        <v>310</v>
      </c>
      <c r="X20" s="404">
        <f t="shared" si="1"/>
        <v>-18.969844869817678</v>
      </c>
      <c r="Y20" s="397">
        <f t="shared" si="3"/>
        <v>9802.1999999999989</v>
      </c>
      <c r="AB20" s="917">
        <f t="shared" si="4"/>
        <v>7.7000000000000455</v>
      </c>
    </row>
    <row r="21" spans="1:28" s="397" customFormat="1" ht="16.399999999999999" customHeight="1">
      <c r="A21" s="397" t="s">
        <v>350</v>
      </c>
      <c r="B21" s="398" t="s">
        <v>305</v>
      </c>
      <c r="C21" s="398" t="s">
        <v>238</v>
      </c>
      <c r="D21" s="398" t="s">
        <v>908</v>
      </c>
      <c r="E21" s="398" t="s">
        <v>909</v>
      </c>
      <c r="F21" s="398" t="s">
        <v>44</v>
      </c>
      <c r="G21" s="399">
        <v>14</v>
      </c>
      <c r="H21" s="399"/>
      <c r="I21" s="399">
        <v>38</v>
      </c>
      <c r="J21" s="399">
        <f t="shared" si="2"/>
        <v>878</v>
      </c>
      <c r="K21" s="399">
        <f t="shared" si="0"/>
        <v>14.633333333333333</v>
      </c>
      <c r="L21" s="399" t="s">
        <v>89</v>
      </c>
      <c r="M21" s="400" t="s">
        <v>910</v>
      </c>
      <c r="N21" s="399" t="s">
        <v>464</v>
      </c>
      <c r="O21" s="957" t="s">
        <v>1208</v>
      </c>
      <c r="P21" s="401">
        <v>70381</v>
      </c>
      <c r="Q21" s="402">
        <v>877.2</v>
      </c>
      <c r="R21" s="402"/>
      <c r="S21" s="622">
        <v>15</v>
      </c>
      <c r="T21" s="622">
        <v>14</v>
      </c>
      <c r="U21" s="622">
        <v>40.5</v>
      </c>
      <c r="V21" s="622">
        <v>880.5</v>
      </c>
      <c r="W21" s="403">
        <v>350</v>
      </c>
      <c r="X21" s="404">
        <f t="shared" si="1"/>
        <v>17.317917082463907</v>
      </c>
      <c r="Y21" s="397">
        <f t="shared" si="3"/>
        <v>6140.4</v>
      </c>
      <c r="AB21" s="917">
        <f t="shared" si="4"/>
        <v>3.2999999999999545</v>
      </c>
    </row>
    <row r="22" spans="1:28" s="397" customFormat="1" ht="16.399999999999999" customHeight="1">
      <c r="A22" s="405" t="s">
        <v>350</v>
      </c>
      <c r="B22" s="406" t="s">
        <v>941</v>
      </c>
      <c r="C22" s="406" t="s">
        <v>237</v>
      </c>
      <c r="D22" s="406" t="s">
        <v>908</v>
      </c>
      <c r="E22" s="406" t="s">
        <v>909</v>
      </c>
      <c r="F22" s="406" t="s">
        <v>51</v>
      </c>
      <c r="G22" s="407">
        <v>70</v>
      </c>
      <c r="H22" s="407"/>
      <c r="I22" s="407"/>
      <c r="J22" s="399">
        <f t="shared" si="2"/>
        <v>4200</v>
      </c>
      <c r="K22" s="407">
        <f t="shared" si="0"/>
        <v>70</v>
      </c>
      <c r="L22" s="407" t="s">
        <v>56</v>
      </c>
      <c r="M22" s="408" t="s">
        <v>354</v>
      </c>
      <c r="N22" s="407" t="s">
        <v>847</v>
      </c>
      <c r="O22" s="957" t="s">
        <v>1209</v>
      </c>
      <c r="P22" s="1723" t="s">
        <v>942</v>
      </c>
      <c r="Q22" s="1725">
        <v>7171.6</v>
      </c>
      <c r="R22" s="484"/>
      <c r="S22" s="622">
        <v>70</v>
      </c>
      <c r="T22" s="622">
        <v>70</v>
      </c>
      <c r="U22" s="622">
        <v>17</v>
      </c>
      <c r="V22" s="918">
        <v>7232</v>
      </c>
      <c r="W22" s="409">
        <v>280</v>
      </c>
      <c r="X22" s="410">
        <f t="shared" si="1"/>
        <v>-46.185666334028838</v>
      </c>
      <c r="Y22" s="397">
        <f t="shared" si="3"/>
        <v>40160.959999999999</v>
      </c>
      <c r="AB22" s="917">
        <f t="shared" si="4"/>
        <v>60.399999999999636</v>
      </c>
    </row>
    <row r="23" spans="1:28" s="397" customFormat="1" ht="16.399999999999999" customHeight="1">
      <c r="A23" s="405" t="s">
        <v>350</v>
      </c>
      <c r="B23" s="411" t="s">
        <v>941</v>
      </c>
      <c r="C23" s="411" t="s">
        <v>237</v>
      </c>
      <c r="D23" s="412"/>
      <c r="E23" s="412"/>
      <c r="F23" s="411" t="s">
        <v>51</v>
      </c>
      <c r="G23" s="408">
        <v>49</v>
      </c>
      <c r="H23" s="408" t="s">
        <v>1375</v>
      </c>
      <c r="I23" s="408">
        <v>47</v>
      </c>
      <c r="J23" s="399">
        <f t="shared" si="2"/>
        <v>2987</v>
      </c>
      <c r="K23" s="414"/>
      <c r="L23" s="413" t="s">
        <v>356</v>
      </c>
      <c r="M23" s="408" t="s">
        <v>354</v>
      </c>
      <c r="N23" s="412" t="s">
        <v>749</v>
      </c>
      <c r="O23" s="957" t="s">
        <v>1209</v>
      </c>
      <c r="P23" s="1724"/>
      <c r="Q23" s="1726"/>
      <c r="R23" s="485"/>
      <c r="S23" s="624">
        <v>50</v>
      </c>
      <c r="T23" s="624">
        <v>50</v>
      </c>
      <c r="U23" s="624">
        <v>15</v>
      </c>
      <c r="V23" s="624"/>
      <c r="W23" s="415">
        <v>270</v>
      </c>
      <c r="X23" s="410">
        <f t="shared" si="1"/>
        <v>-55.257606822099262</v>
      </c>
      <c r="Y23" s="397">
        <f t="shared" si="3"/>
        <v>0</v>
      </c>
      <c r="AB23" s="917">
        <f t="shared" si="4"/>
        <v>0</v>
      </c>
    </row>
    <row r="24" spans="1:28" s="397" customFormat="1" ht="16.399999999999999" customHeight="1">
      <c r="A24" s="397" t="s">
        <v>350</v>
      </c>
      <c r="B24" s="398" t="s">
        <v>687</v>
      </c>
      <c r="C24" s="398" t="s">
        <v>238</v>
      </c>
      <c r="D24" s="398" t="s">
        <v>908</v>
      </c>
      <c r="E24" s="398" t="s">
        <v>909</v>
      </c>
      <c r="F24" s="398" t="s">
        <v>42</v>
      </c>
      <c r="G24" s="399">
        <v>90</v>
      </c>
      <c r="H24" s="400">
        <v>350</v>
      </c>
      <c r="I24" s="399">
        <v>20</v>
      </c>
      <c r="J24" s="399">
        <f t="shared" si="2"/>
        <v>5420</v>
      </c>
      <c r="K24" s="399">
        <f t="shared" si="0"/>
        <v>90.333333333333329</v>
      </c>
      <c r="L24" s="399" t="s">
        <v>89</v>
      </c>
      <c r="M24" s="400" t="s">
        <v>910</v>
      </c>
      <c r="N24" s="399" t="s">
        <v>911</v>
      </c>
      <c r="O24" s="957" t="s">
        <v>1208</v>
      </c>
      <c r="P24" s="401">
        <v>70382</v>
      </c>
      <c r="Q24" s="402">
        <v>5367.8</v>
      </c>
      <c r="R24" s="402"/>
      <c r="S24" s="622">
        <v>91</v>
      </c>
      <c r="T24" s="622">
        <v>90</v>
      </c>
      <c r="U24" s="622">
        <v>10.1</v>
      </c>
      <c r="V24" s="622">
        <v>5410.1</v>
      </c>
      <c r="W24" s="403">
        <v>355</v>
      </c>
      <c r="X24" s="404">
        <f t="shared" si="1"/>
        <v>21.853887326499148</v>
      </c>
      <c r="Y24" s="397">
        <f t="shared" si="3"/>
        <v>38111.379999999997</v>
      </c>
      <c r="AB24" s="917">
        <f t="shared" si="4"/>
        <v>42.300000000000182</v>
      </c>
    </row>
    <row r="25" spans="1:28" s="397" customFormat="1" ht="16.399999999999999" customHeight="1">
      <c r="A25" s="397" t="s">
        <v>350</v>
      </c>
      <c r="B25" s="398" t="s">
        <v>687</v>
      </c>
      <c r="C25" s="398" t="s">
        <v>238</v>
      </c>
      <c r="D25" s="398" t="s">
        <v>908</v>
      </c>
      <c r="E25" s="398" t="s">
        <v>909</v>
      </c>
      <c r="F25" s="398" t="s">
        <v>43</v>
      </c>
      <c r="G25" s="399">
        <v>120</v>
      </c>
      <c r="H25" s="400" t="s">
        <v>354</v>
      </c>
      <c r="I25" s="399">
        <v>53</v>
      </c>
      <c r="J25" s="399">
        <f t="shared" si="2"/>
        <v>7253</v>
      </c>
      <c r="K25" s="399">
        <f t="shared" si="0"/>
        <v>120.88333333333334</v>
      </c>
      <c r="L25" s="399" t="s">
        <v>89</v>
      </c>
      <c r="M25" s="400" t="s">
        <v>910</v>
      </c>
      <c r="N25" s="399" t="s">
        <v>464</v>
      </c>
      <c r="O25" s="957" t="s">
        <v>1208</v>
      </c>
      <c r="P25" s="401">
        <v>70383</v>
      </c>
      <c r="Q25" s="402">
        <v>7208.6</v>
      </c>
      <c r="R25" s="402"/>
      <c r="S25" s="622">
        <v>121</v>
      </c>
      <c r="T25" s="622">
        <v>121</v>
      </c>
      <c r="U25" s="622">
        <v>1.1000000000000001</v>
      </c>
      <c r="V25" s="622">
        <v>7261.1</v>
      </c>
      <c r="W25" s="403">
        <v>350</v>
      </c>
      <c r="X25" s="404">
        <f t="shared" si="1"/>
        <v>17.317917082463907</v>
      </c>
      <c r="Y25" s="397">
        <f t="shared" si="3"/>
        <v>50460.200000000004</v>
      </c>
      <c r="AB25" s="917">
        <f t="shared" si="4"/>
        <v>52.5</v>
      </c>
    </row>
    <row r="26" spans="1:28" s="397" customFormat="1" ht="16.399999999999999" customHeight="1">
      <c r="A26" s="397" t="s">
        <v>350</v>
      </c>
      <c r="B26" s="398" t="s">
        <v>943</v>
      </c>
      <c r="C26" s="398" t="s">
        <v>685</v>
      </c>
      <c r="D26" s="398" t="s">
        <v>908</v>
      </c>
      <c r="E26" s="398" t="s">
        <v>909</v>
      </c>
      <c r="F26" s="398" t="s">
        <v>42</v>
      </c>
      <c r="G26" s="399">
        <v>12</v>
      </c>
      <c r="H26" s="399"/>
      <c r="I26" s="399">
        <v>7</v>
      </c>
      <c r="J26" s="399">
        <f t="shared" si="2"/>
        <v>727</v>
      </c>
      <c r="K26" s="399">
        <f t="shared" si="0"/>
        <v>12.116666666666667</v>
      </c>
      <c r="L26" s="399" t="s">
        <v>525</v>
      </c>
      <c r="M26" s="400" t="s">
        <v>354</v>
      </c>
      <c r="N26" s="399" t="s">
        <v>426</v>
      </c>
      <c r="O26" s="957" t="s">
        <v>1209</v>
      </c>
      <c r="P26" s="401" t="s">
        <v>944</v>
      </c>
      <c r="Q26" s="402">
        <v>718.8</v>
      </c>
      <c r="R26" s="402"/>
      <c r="S26" s="622">
        <v>12</v>
      </c>
      <c r="T26" s="622">
        <v>12</v>
      </c>
      <c r="U26" s="622">
        <v>4.2</v>
      </c>
      <c r="V26" s="622">
        <v>724.2</v>
      </c>
      <c r="W26" s="403">
        <v>325</v>
      </c>
      <c r="X26" s="404">
        <f t="shared" si="1"/>
        <v>-5.3619341377120691</v>
      </c>
      <c r="Y26" s="397">
        <f t="shared" si="3"/>
        <v>4672.1999999999989</v>
      </c>
      <c r="AB26" s="917">
        <f t="shared" si="4"/>
        <v>5.4000000000000909</v>
      </c>
    </row>
    <row r="27" spans="1:28" s="397" customFormat="1" ht="16.399999999999999" customHeight="1">
      <c r="A27" s="397" t="s">
        <v>350</v>
      </c>
      <c r="B27" s="398" t="s">
        <v>943</v>
      </c>
      <c r="C27" s="398" t="s">
        <v>685</v>
      </c>
      <c r="D27" s="398" t="s">
        <v>908</v>
      </c>
      <c r="E27" s="398" t="s">
        <v>909</v>
      </c>
      <c r="F27" s="398" t="s">
        <v>43</v>
      </c>
      <c r="G27" s="399">
        <v>15</v>
      </c>
      <c r="H27" s="1125" t="s">
        <v>354</v>
      </c>
      <c r="I27" s="399">
        <v>7</v>
      </c>
      <c r="J27" s="399">
        <f t="shared" si="2"/>
        <v>907</v>
      </c>
      <c r="K27" s="399">
        <f t="shared" si="0"/>
        <v>15.116666666666667</v>
      </c>
      <c r="L27" s="399" t="s">
        <v>525</v>
      </c>
      <c r="M27" s="400" t="s">
        <v>856</v>
      </c>
      <c r="N27" s="399" t="s">
        <v>927</v>
      </c>
      <c r="O27" s="957" t="s">
        <v>1207</v>
      </c>
      <c r="P27" s="401" t="s">
        <v>945</v>
      </c>
      <c r="Q27" s="402">
        <v>894.7</v>
      </c>
      <c r="R27" s="402"/>
      <c r="S27" s="622">
        <v>16</v>
      </c>
      <c r="T27" s="622">
        <v>15</v>
      </c>
      <c r="U27" s="622">
        <v>3.6</v>
      </c>
      <c r="V27" s="622">
        <v>903.6</v>
      </c>
      <c r="W27" s="403">
        <v>300</v>
      </c>
      <c r="X27" s="404">
        <f t="shared" si="1"/>
        <v>-28.041785357888045</v>
      </c>
      <c r="Y27" s="397">
        <f t="shared" si="3"/>
        <v>5368.2</v>
      </c>
      <c r="AB27" s="917">
        <f t="shared" si="4"/>
        <v>8.8999999999999773</v>
      </c>
    </row>
    <row r="28" spans="1:28" s="397" customFormat="1" ht="16.399999999999999" customHeight="1">
      <c r="A28" s="397" t="s">
        <v>350</v>
      </c>
      <c r="B28" s="398" t="s">
        <v>943</v>
      </c>
      <c r="C28" s="398" t="s">
        <v>685</v>
      </c>
      <c r="D28" s="398" t="s">
        <v>908</v>
      </c>
      <c r="E28" s="398" t="s">
        <v>909</v>
      </c>
      <c r="F28" s="398" t="s">
        <v>45</v>
      </c>
      <c r="G28" s="399">
        <v>15</v>
      </c>
      <c r="H28" s="1125" t="s">
        <v>856</v>
      </c>
      <c r="I28" s="399">
        <v>43</v>
      </c>
      <c r="J28" s="399">
        <f t="shared" si="2"/>
        <v>943</v>
      </c>
      <c r="K28" s="399">
        <f t="shared" si="0"/>
        <v>15.716666666666667</v>
      </c>
      <c r="L28" s="399" t="s">
        <v>60</v>
      </c>
      <c r="M28" s="400" t="s">
        <v>856</v>
      </c>
      <c r="N28" s="399" t="s">
        <v>856</v>
      </c>
      <c r="O28" s="957" t="s">
        <v>1207</v>
      </c>
      <c r="P28" s="401" t="s">
        <v>946</v>
      </c>
      <c r="Q28" s="402">
        <v>928.5</v>
      </c>
      <c r="R28" s="402"/>
      <c r="S28" s="622">
        <v>16</v>
      </c>
      <c r="T28" s="622">
        <v>15</v>
      </c>
      <c r="U28" s="622">
        <v>36.6</v>
      </c>
      <c r="V28" s="622">
        <v>936.6</v>
      </c>
      <c r="W28" s="403">
        <v>270</v>
      </c>
      <c r="X28" s="404">
        <f t="shared" si="1"/>
        <v>-55.257606822099262</v>
      </c>
      <c r="Y28" s="397">
        <f t="shared" si="3"/>
        <v>5013.8999999999996</v>
      </c>
      <c r="AB28" s="917">
        <f t="shared" si="4"/>
        <v>8.1000000000000227</v>
      </c>
    </row>
    <row r="29" spans="1:28" s="397" customFormat="1" ht="16.399999999999999" customHeight="1">
      <c r="A29" s="397" t="s">
        <v>350</v>
      </c>
      <c r="B29" s="398" t="s">
        <v>943</v>
      </c>
      <c r="C29" s="398" t="s">
        <v>243</v>
      </c>
      <c r="D29" s="398" t="s">
        <v>908</v>
      </c>
      <c r="E29" s="398" t="s">
        <v>909</v>
      </c>
      <c r="F29" s="398" t="s">
        <v>44</v>
      </c>
      <c r="G29" s="399">
        <v>2</v>
      </c>
      <c r="H29" s="1125" t="s">
        <v>354</v>
      </c>
      <c r="I29" s="399">
        <v>48</v>
      </c>
      <c r="J29" s="399">
        <f t="shared" si="2"/>
        <v>168</v>
      </c>
      <c r="K29" s="399">
        <f t="shared" si="0"/>
        <v>2.8</v>
      </c>
      <c r="L29" s="399" t="s">
        <v>59</v>
      </c>
      <c r="M29" s="400" t="s">
        <v>856</v>
      </c>
      <c r="N29" s="399" t="s">
        <v>927</v>
      </c>
      <c r="O29" s="957" t="s">
        <v>1207</v>
      </c>
      <c r="P29" s="401" t="s">
        <v>947</v>
      </c>
      <c r="Q29" s="402">
        <v>168.2</v>
      </c>
      <c r="R29" s="402"/>
      <c r="S29" s="622">
        <v>3</v>
      </c>
      <c r="T29" s="622">
        <v>2</v>
      </c>
      <c r="U29" s="622">
        <v>47.3</v>
      </c>
      <c r="V29" s="622">
        <v>167.3</v>
      </c>
      <c r="W29" s="403">
        <v>300</v>
      </c>
      <c r="X29" s="404">
        <f t="shared" si="1"/>
        <v>-28.041785357888045</v>
      </c>
      <c r="Y29" s="397">
        <f t="shared" si="3"/>
        <v>1009.1999999999999</v>
      </c>
      <c r="AB29" s="917">
        <f t="shared" si="4"/>
        <v>-0.89999999999997726</v>
      </c>
    </row>
    <row r="30" spans="1:28" s="397" customFormat="1" ht="16.399999999999999" customHeight="1">
      <c r="A30" s="397" t="s">
        <v>350</v>
      </c>
      <c r="B30" s="398" t="s">
        <v>294</v>
      </c>
      <c r="C30" s="398" t="s">
        <v>235</v>
      </c>
      <c r="D30" s="398" t="s">
        <v>908</v>
      </c>
      <c r="E30" s="398" t="s">
        <v>909</v>
      </c>
      <c r="F30" s="398" t="s">
        <v>45</v>
      </c>
      <c r="G30" s="399">
        <v>26</v>
      </c>
      <c r="H30" s="399"/>
      <c r="I30" s="399">
        <v>7</v>
      </c>
      <c r="J30" s="399">
        <f t="shared" si="2"/>
        <v>1567</v>
      </c>
      <c r="K30" s="399">
        <f t="shared" si="0"/>
        <v>26.116666666666667</v>
      </c>
      <c r="L30" s="399" t="s">
        <v>356</v>
      </c>
      <c r="M30" s="400" t="s">
        <v>354</v>
      </c>
      <c r="N30" s="399" t="s">
        <v>932</v>
      </c>
      <c r="O30" s="957" t="s">
        <v>1209</v>
      </c>
      <c r="P30" s="401" t="s">
        <v>948</v>
      </c>
      <c r="Q30" s="402">
        <v>1560.9</v>
      </c>
      <c r="R30" s="402"/>
      <c r="S30" s="622">
        <v>27</v>
      </c>
      <c r="T30" s="622">
        <v>26</v>
      </c>
      <c r="U30" s="622">
        <v>9.6999999999999993</v>
      </c>
      <c r="V30" s="622">
        <v>1569.7</v>
      </c>
      <c r="W30" s="403">
        <v>300</v>
      </c>
      <c r="X30" s="404">
        <f t="shared" si="1"/>
        <v>-28.041785357888045</v>
      </c>
      <c r="Y30" s="397">
        <f t="shared" si="3"/>
        <v>9365.4</v>
      </c>
      <c r="AB30" s="917">
        <f t="shared" si="4"/>
        <v>8.7999999999999545</v>
      </c>
    </row>
    <row r="31" spans="1:28" s="397" customFormat="1" ht="16.399999999999999" customHeight="1">
      <c r="A31" s="397" t="s">
        <v>350</v>
      </c>
      <c r="B31" s="398" t="s">
        <v>949</v>
      </c>
      <c r="C31" s="398" t="s">
        <v>240</v>
      </c>
      <c r="D31" s="398" t="s">
        <v>908</v>
      </c>
      <c r="E31" s="398" t="s">
        <v>909</v>
      </c>
      <c r="F31" s="398" t="s">
        <v>42</v>
      </c>
      <c r="G31" s="399">
        <v>18</v>
      </c>
      <c r="H31" s="399"/>
      <c r="I31" s="399">
        <v>59</v>
      </c>
      <c r="J31" s="399">
        <f t="shared" si="2"/>
        <v>1139</v>
      </c>
      <c r="K31" s="399">
        <f t="shared" si="0"/>
        <v>18.983333333333334</v>
      </c>
      <c r="L31" s="399" t="s">
        <v>56</v>
      </c>
      <c r="M31" s="400" t="s">
        <v>354</v>
      </c>
      <c r="N31" s="399" t="s">
        <v>426</v>
      </c>
      <c r="O31" s="957" t="s">
        <v>1209</v>
      </c>
      <c r="P31" s="401" t="s">
        <v>950</v>
      </c>
      <c r="Q31" s="402">
        <v>1136</v>
      </c>
      <c r="R31" s="402"/>
      <c r="S31" s="622">
        <v>19</v>
      </c>
      <c r="T31" s="622">
        <v>18</v>
      </c>
      <c r="U31" s="622">
        <v>58.9</v>
      </c>
      <c r="V31" s="622">
        <v>1138.9000000000001</v>
      </c>
      <c r="W31" s="403">
        <v>340</v>
      </c>
      <c r="X31" s="404">
        <f t="shared" si="1"/>
        <v>8.2459765943935395</v>
      </c>
      <c r="Y31" s="397">
        <f t="shared" si="3"/>
        <v>7724.7999999999993</v>
      </c>
      <c r="AB31" s="917">
        <f t="shared" si="4"/>
        <v>2.9000000000000909</v>
      </c>
    </row>
    <row r="32" spans="1:28" s="397" customFormat="1" ht="16.399999999999999" customHeight="1">
      <c r="A32" s="397" t="s">
        <v>350</v>
      </c>
      <c r="B32" s="398" t="s">
        <v>949</v>
      </c>
      <c r="C32" s="398" t="s">
        <v>240</v>
      </c>
      <c r="D32" s="398" t="s">
        <v>908</v>
      </c>
      <c r="E32" s="398" t="s">
        <v>909</v>
      </c>
      <c r="F32" s="398" t="s">
        <v>43</v>
      </c>
      <c r="G32" s="399">
        <v>17</v>
      </c>
      <c r="H32" s="399"/>
      <c r="I32" s="399">
        <v>63</v>
      </c>
      <c r="J32" s="399">
        <f t="shared" si="2"/>
        <v>1083</v>
      </c>
      <c r="K32" s="399">
        <f t="shared" si="0"/>
        <v>18.05</v>
      </c>
      <c r="L32" s="399" t="s">
        <v>56</v>
      </c>
      <c r="M32" s="400" t="s">
        <v>354</v>
      </c>
      <c r="N32" s="399" t="s">
        <v>847</v>
      </c>
      <c r="O32" s="957" t="s">
        <v>1209</v>
      </c>
      <c r="P32" s="401" t="s">
        <v>951</v>
      </c>
      <c r="Q32" s="402">
        <v>1082.3</v>
      </c>
      <c r="R32" s="402"/>
      <c r="S32" s="622">
        <v>18</v>
      </c>
      <c r="T32" s="622">
        <v>18</v>
      </c>
      <c r="U32" s="622">
        <v>8.8000000000000007</v>
      </c>
      <c r="V32" s="622">
        <v>1088.8</v>
      </c>
      <c r="W32" s="403">
        <v>335</v>
      </c>
      <c r="X32" s="404">
        <f t="shared" si="1"/>
        <v>3.7100063503583556</v>
      </c>
      <c r="Y32" s="397">
        <f t="shared" si="3"/>
        <v>7251.4100000000008</v>
      </c>
      <c r="AB32" s="917">
        <f t="shared" si="4"/>
        <v>6.5</v>
      </c>
    </row>
    <row r="33" spans="1:28" s="397" customFormat="1" ht="16.399999999999999" customHeight="1">
      <c r="A33" s="397" t="s">
        <v>350</v>
      </c>
      <c r="B33" s="398" t="s">
        <v>949</v>
      </c>
      <c r="C33" s="398" t="s">
        <v>240</v>
      </c>
      <c r="D33" s="398" t="s">
        <v>908</v>
      </c>
      <c r="E33" s="398" t="s">
        <v>909</v>
      </c>
      <c r="F33" s="398" t="s">
        <v>45</v>
      </c>
      <c r="G33" s="399">
        <v>6</v>
      </c>
      <c r="H33" s="399"/>
      <c r="I33" s="399">
        <v>46</v>
      </c>
      <c r="J33" s="399">
        <f t="shared" si="2"/>
        <v>406</v>
      </c>
      <c r="K33" s="399">
        <f t="shared" si="0"/>
        <v>6.7666666666666666</v>
      </c>
      <c r="L33" s="399" t="s">
        <v>356</v>
      </c>
      <c r="M33" s="400" t="s">
        <v>354</v>
      </c>
      <c r="N33" s="399" t="s">
        <v>932</v>
      </c>
      <c r="O33" s="957" t="s">
        <v>1209</v>
      </c>
      <c r="P33" s="401" t="s">
        <v>952</v>
      </c>
      <c r="Q33" s="402">
        <v>405.4</v>
      </c>
      <c r="R33" s="402"/>
      <c r="S33" s="622">
        <v>7</v>
      </c>
      <c r="T33" s="622">
        <v>6</v>
      </c>
      <c r="U33" s="622">
        <v>46.7</v>
      </c>
      <c r="V33" s="622">
        <v>406.7</v>
      </c>
      <c r="W33" s="403">
        <v>300</v>
      </c>
      <c r="X33" s="404">
        <f t="shared" si="1"/>
        <v>-28.041785357888045</v>
      </c>
      <c r="Y33" s="397">
        <f t="shared" si="3"/>
        <v>2432.3999999999996</v>
      </c>
      <c r="AB33" s="917">
        <f t="shared" si="4"/>
        <v>1.3000000000000114</v>
      </c>
    </row>
    <row r="34" spans="1:28" s="397" customFormat="1" ht="16.399999999999999" customHeight="1">
      <c r="A34" s="397" t="s">
        <v>350</v>
      </c>
      <c r="B34" s="398" t="s">
        <v>949</v>
      </c>
      <c r="C34" s="398" t="s">
        <v>240</v>
      </c>
      <c r="D34" s="398" t="s">
        <v>908</v>
      </c>
      <c r="E34" s="398" t="s">
        <v>909</v>
      </c>
      <c r="F34" s="398" t="s">
        <v>44</v>
      </c>
      <c r="G34" s="399">
        <v>3</v>
      </c>
      <c r="H34" s="399"/>
      <c r="I34" s="399">
        <v>31</v>
      </c>
      <c r="J34" s="399">
        <f t="shared" si="2"/>
        <v>211</v>
      </c>
      <c r="K34" s="399">
        <f t="shared" si="0"/>
        <v>3.5166666666666666</v>
      </c>
      <c r="L34" s="399" t="s">
        <v>56</v>
      </c>
      <c r="M34" s="400" t="s">
        <v>354</v>
      </c>
      <c r="N34" s="399" t="s">
        <v>847</v>
      </c>
      <c r="O34" s="957" t="s">
        <v>1209</v>
      </c>
      <c r="P34" s="401" t="s">
        <v>953</v>
      </c>
      <c r="Q34" s="402">
        <v>210.7</v>
      </c>
      <c r="R34" s="402"/>
      <c r="S34" s="622">
        <v>4</v>
      </c>
      <c r="T34" s="622">
        <v>3</v>
      </c>
      <c r="U34" s="622">
        <v>30.4</v>
      </c>
      <c r="V34" s="622">
        <v>210.4</v>
      </c>
      <c r="W34" s="403">
        <v>335</v>
      </c>
      <c r="X34" s="404">
        <f t="shared" si="1"/>
        <v>3.7100063503583556</v>
      </c>
      <c r="Y34" s="397">
        <f t="shared" si="3"/>
        <v>1411.6899999999998</v>
      </c>
      <c r="AB34" s="917">
        <f t="shared" si="4"/>
        <v>-0.29999999999998295</v>
      </c>
    </row>
    <row r="35" spans="1:28" s="397" customFormat="1" ht="16.399999999999999" customHeight="1">
      <c r="A35" s="397" t="s">
        <v>350</v>
      </c>
      <c r="B35" s="398" t="s">
        <v>210</v>
      </c>
      <c r="C35" s="398" t="s">
        <v>353</v>
      </c>
      <c r="D35" s="398" t="s">
        <v>908</v>
      </c>
      <c r="E35" s="398" t="s">
        <v>909</v>
      </c>
      <c r="F35" s="398" t="s">
        <v>45</v>
      </c>
      <c r="G35" s="399">
        <v>19</v>
      </c>
      <c r="H35" s="399"/>
      <c r="I35" s="399">
        <v>47</v>
      </c>
      <c r="J35" s="399">
        <f t="shared" si="2"/>
        <v>1187</v>
      </c>
      <c r="K35" s="399">
        <f t="shared" si="0"/>
        <v>19.783333333333335</v>
      </c>
      <c r="L35" s="399" t="s">
        <v>54</v>
      </c>
      <c r="M35" s="400" t="s">
        <v>354</v>
      </c>
      <c r="N35" s="399" t="s">
        <v>435</v>
      </c>
      <c r="O35" s="957" t="s">
        <v>1209</v>
      </c>
      <c r="P35" s="401">
        <v>70375</v>
      </c>
      <c r="Q35" s="402">
        <v>1190.2</v>
      </c>
      <c r="R35" s="402"/>
      <c r="S35" s="622">
        <v>20</v>
      </c>
      <c r="T35" s="622">
        <v>19</v>
      </c>
      <c r="U35" s="622">
        <v>58</v>
      </c>
      <c r="V35" s="622">
        <v>1198</v>
      </c>
      <c r="W35" s="403">
        <v>310</v>
      </c>
      <c r="X35" s="404">
        <f t="shared" si="1"/>
        <v>-18.969844869817678</v>
      </c>
      <c r="Y35" s="397">
        <f t="shared" si="3"/>
        <v>7379.24</v>
      </c>
      <c r="AB35" s="917">
        <f t="shared" si="4"/>
        <v>7.7999999999999545</v>
      </c>
    </row>
    <row r="36" spans="1:28" s="397" customFormat="1" ht="16.399999999999999" customHeight="1">
      <c r="A36" s="397" t="s">
        <v>350</v>
      </c>
      <c r="B36" s="398" t="s">
        <v>280</v>
      </c>
      <c r="C36" s="398" t="s">
        <v>238</v>
      </c>
      <c r="D36" s="398" t="s">
        <v>908</v>
      </c>
      <c r="E36" s="398" t="s">
        <v>909</v>
      </c>
      <c r="F36" s="398" t="s">
        <v>44</v>
      </c>
      <c r="G36" s="399">
        <v>7</v>
      </c>
      <c r="H36" s="399"/>
      <c r="I36" s="399">
        <v>13</v>
      </c>
      <c r="J36" s="399">
        <f t="shared" si="2"/>
        <v>433</v>
      </c>
      <c r="K36" s="399">
        <f t="shared" si="0"/>
        <v>7.2166666666666668</v>
      </c>
      <c r="L36" s="399" t="s">
        <v>54</v>
      </c>
      <c r="M36" s="400" t="s">
        <v>354</v>
      </c>
      <c r="N36" s="399" t="s">
        <v>697</v>
      </c>
      <c r="O36" s="957" t="s">
        <v>1209</v>
      </c>
      <c r="P36" s="401" t="s">
        <v>954</v>
      </c>
      <c r="Q36" s="402">
        <v>432.7</v>
      </c>
      <c r="R36" s="402"/>
      <c r="S36" s="622">
        <v>8</v>
      </c>
      <c r="T36" s="622">
        <v>7</v>
      </c>
      <c r="U36" s="622">
        <v>14.8</v>
      </c>
      <c r="V36" s="622">
        <v>434.8</v>
      </c>
      <c r="W36" s="403">
        <v>335</v>
      </c>
      <c r="X36" s="404">
        <f t="shared" si="1"/>
        <v>3.7100063503583556</v>
      </c>
      <c r="Y36" s="397">
        <f t="shared" si="3"/>
        <v>2899.0899999999997</v>
      </c>
      <c r="AB36" s="917">
        <f t="shared" si="4"/>
        <v>2.1000000000000227</v>
      </c>
    </row>
    <row r="37" spans="1:28" s="397" customFormat="1" ht="16.399999999999999" customHeight="1">
      <c r="A37" s="397" t="s">
        <v>350</v>
      </c>
      <c r="B37" s="398" t="s">
        <v>955</v>
      </c>
      <c r="C37" s="398" t="s">
        <v>240</v>
      </c>
      <c r="D37" s="398" t="s">
        <v>908</v>
      </c>
      <c r="E37" s="398" t="s">
        <v>909</v>
      </c>
      <c r="F37" s="398" t="s">
        <v>43</v>
      </c>
      <c r="G37" s="399">
        <v>21</v>
      </c>
      <c r="H37" s="399"/>
      <c r="I37" s="399">
        <v>47</v>
      </c>
      <c r="J37" s="399">
        <f t="shared" si="2"/>
        <v>1307</v>
      </c>
      <c r="K37" s="399">
        <f t="shared" si="0"/>
        <v>21.783333333333335</v>
      </c>
      <c r="L37" s="399" t="s">
        <v>54</v>
      </c>
      <c r="M37" s="400" t="s">
        <v>354</v>
      </c>
      <c r="N37" s="399" t="s">
        <v>697</v>
      </c>
      <c r="O37" s="957" t="s">
        <v>1209</v>
      </c>
      <c r="P37" s="401" t="s">
        <v>956</v>
      </c>
      <c r="Q37" s="402">
        <v>1307.3</v>
      </c>
      <c r="R37" s="402"/>
      <c r="S37" s="622">
        <v>22</v>
      </c>
      <c r="T37" s="622">
        <v>21</v>
      </c>
      <c r="U37" s="622">
        <v>50.2</v>
      </c>
      <c r="V37" s="622">
        <v>1310.2</v>
      </c>
      <c r="W37" s="403">
        <v>335</v>
      </c>
      <c r="X37" s="404">
        <f t="shared" si="1"/>
        <v>3.7100063503583556</v>
      </c>
      <c r="Y37" s="397">
        <f t="shared" si="3"/>
        <v>8758.91</v>
      </c>
      <c r="AB37" s="917">
        <f t="shared" si="4"/>
        <v>2.9000000000000909</v>
      </c>
    </row>
    <row r="38" spans="1:28" s="397" customFormat="1" ht="16.399999999999999" customHeight="1">
      <c r="A38" s="397" t="s">
        <v>350</v>
      </c>
      <c r="B38" s="398" t="s">
        <v>688</v>
      </c>
      <c r="C38" s="398" t="s">
        <v>242</v>
      </c>
      <c r="D38" s="398" t="s">
        <v>908</v>
      </c>
      <c r="E38" s="398" t="s">
        <v>909</v>
      </c>
      <c r="F38" s="398" t="s">
        <v>42</v>
      </c>
      <c r="G38" s="399">
        <v>9</v>
      </c>
      <c r="H38" s="399"/>
      <c r="I38" s="399"/>
      <c r="J38" s="399">
        <f t="shared" si="2"/>
        <v>540</v>
      </c>
      <c r="K38" s="399">
        <f t="shared" si="0"/>
        <v>9</v>
      </c>
      <c r="L38" s="399" t="s">
        <v>54</v>
      </c>
      <c r="M38" s="400" t="s">
        <v>354</v>
      </c>
      <c r="N38" s="399" t="s">
        <v>434</v>
      </c>
      <c r="O38" s="957" t="s">
        <v>1209</v>
      </c>
      <c r="P38" s="401" t="s">
        <v>957</v>
      </c>
      <c r="Q38" s="402">
        <v>564.1</v>
      </c>
      <c r="R38" s="402"/>
      <c r="S38" s="622">
        <v>10</v>
      </c>
      <c r="T38" s="622">
        <v>9</v>
      </c>
      <c r="U38" s="622">
        <v>25</v>
      </c>
      <c r="V38" s="622">
        <v>565</v>
      </c>
      <c r="W38" s="403">
        <v>340</v>
      </c>
      <c r="X38" s="404">
        <f t="shared" si="1"/>
        <v>8.2459765943935395</v>
      </c>
      <c r="Y38" s="397">
        <f t="shared" si="3"/>
        <v>3835.88</v>
      </c>
      <c r="AB38" s="917">
        <f t="shared" si="4"/>
        <v>0.89999999999997726</v>
      </c>
    </row>
    <row r="39" spans="1:28" s="397" customFormat="1" ht="16.399999999999999" customHeight="1">
      <c r="A39" s="397" t="s">
        <v>350</v>
      </c>
      <c r="B39" s="398" t="s">
        <v>688</v>
      </c>
      <c r="C39" s="398" t="s">
        <v>242</v>
      </c>
      <c r="D39" s="398" t="s">
        <v>908</v>
      </c>
      <c r="E39" s="398" t="s">
        <v>909</v>
      </c>
      <c r="F39" s="398" t="s">
        <v>43</v>
      </c>
      <c r="G39" s="399">
        <v>9</v>
      </c>
      <c r="H39" s="399"/>
      <c r="I39" s="399">
        <v>33</v>
      </c>
      <c r="J39" s="399">
        <f t="shared" si="2"/>
        <v>573</v>
      </c>
      <c r="K39" s="399">
        <f t="shared" si="0"/>
        <v>9.5500000000000007</v>
      </c>
      <c r="L39" s="399" t="s">
        <v>57</v>
      </c>
      <c r="M39" s="400" t="s">
        <v>354</v>
      </c>
      <c r="N39" s="399" t="s">
        <v>847</v>
      </c>
      <c r="O39" s="957" t="s">
        <v>1209</v>
      </c>
      <c r="P39" s="401" t="s">
        <v>958</v>
      </c>
      <c r="Q39" s="402">
        <v>569.1</v>
      </c>
      <c r="R39" s="402"/>
      <c r="S39" s="622">
        <v>10</v>
      </c>
      <c r="T39" s="622">
        <v>9</v>
      </c>
      <c r="U39" s="622">
        <v>30</v>
      </c>
      <c r="V39" s="622">
        <v>570</v>
      </c>
      <c r="W39" s="403">
        <v>335</v>
      </c>
      <c r="X39" s="404">
        <f t="shared" si="1"/>
        <v>3.7100063503583556</v>
      </c>
      <c r="Y39" s="397">
        <f t="shared" si="3"/>
        <v>3812.9700000000003</v>
      </c>
      <c r="AB39" s="917">
        <f t="shared" si="4"/>
        <v>0.89999999999997726</v>
      </c>
    </row>
    <row r="40" spans="1:28" s="397" customFormat="1" ht="16.399999999999999" customHeight="1">
      <c r="A40" s="397" t="s">
        <v>350</v>
      </c>
      <c r="B40" s="398" t="s">
        <v>688</v>
      </c>
      <c r="C40" s="398" t="s">
        <v>242</v>
      </c>
      <c r="D40" s="398" t="s">
        <v>908</v>
      </c>
      <c r="E40" s="398" t="s">
        <v>909</v>
      </c>
      <c r="F40" s="398" t="s">
        <v>45</v>
      </c>
      <c r="G40" s="399">
        <v>3</v>
      </c>
      <c r="H40" s="399"/>
      <c r="I40" s="399">
        <v>53</v>
      </c>
      <c r="J40" s="399">
        <f t="shared" si="2"/>
        <v>233</v>
      </c>
      <c r="K40" s="399">
        <f t="shared" si="0"/>
        <v>3.8833333333333333</v>
      </c>
      <c r="L40" s="399" t="s">
        <v>59</v>
      </c>
      <c r="M40" s="400" t="s">
        <v>856</v>
      </c>
      <c r="N40" s="399" t="s">
        <v>927</v>
      </c>
      <c r="O40" s="957" t="s">
        <v>1207</v>
      </c>
      <c r="P40" s="401" t="s">
        <v>959</v>
      </c>
      <c r="Q40" s="402">
        <v>232.7</v>
      </c>
      <c r="R40" s="402"/>
      <c r="S40" s="622">
        <v>4</v>
      </c>
      <c r="T40" s="622">
        <v>3</v>
      </c>
      <c r="U40" s="622">
        <v>53.4</v>
      </c>
      <c r="V40" s="622">
        <v>233.4</v>
      </c>
      <c r="W40" s="403">
        <v>280</v>
      </c>
      <c r="X40" s="404">
        <f t="shared" si="1"/>
        <v>-46.185666334028838</v>
      </c>
      <c r="Y40" s="397">
        <f t="shared" si="3"/>
        <v>1303.1199999999997</v>
      </c>
      <c r="AB40" s="917">
        <f t="shared" si="4"/>
        <v>0.70000000000001705</v>
      </c>
    </row>
    <row r="41" spans="1:28" s="397" customFormat="1" ht="16.399999999999999" customHeight="1">
      <c r="A41" s="397" t="s">
        <v>350</v>
      </c>
      <c r="B41" s="398" t="s">
        <v>689</v>
      </c>
      <c r="C41" s="398" t="s">
        <v>352</v>
      </c>
      <c r="D41" s="398" t="s">
        <v>908</v>
      </c>
      <c r="E41" s="398" t="s">
        <v>909</v>
      </c>
      <c r="F41" s="398" t="s">
        <v>42</v>
      </c>
      <c r="G41" s="399">
        <v>92</v>
      </c>
      <c r="H41" s="399"/>
      <c r="I41" s="399">
        <v>39</v>
      </c>
      <c r="J41" s="399">
        <f t="shared" si="2"/>
        <v>5559</v>
      </c>
      <c r="K41" s="399">
        <f t="shared" si="0"/>
        <v>92.65</v>
      </c>
      <c r="L41" s="399" t="s">
        <v>54</v>
      </c>
      <c r="M41" s="400" t="s">
        <v>354</v>
      </c>
      <c r="N41" s="399" t="s">
        <v>434</v>
      </c>
      <c r="O41" s="957" t="s">
        <v>1209</v>
      </c>
      <c r="P41" s="401" t="s">
        <v>960</v>
      </c>
      <c r="Q41" s="402">
        <v>5526.6</v>
      </c>
      <c r="R41" s="402"/>
      <c r="S41" s="622">
        <v>93</v>
      </c>
      <c r="T41" s="622">
        <v>92</v>
      </c>
      <c r="U41" s="622">
        <v>51.3</v>
      </c>
      <c r="V41" s="622">
        <v>5571.3</v>
      </c>
      <c r="W41" s="403">
        <v>340</v>
      </c>
      <c r="X41" s="404">
        <f t="shared" si="1"/>
        <v>8.2459765943935395</v>
      </c>
      <c r="Y41" s="397">
        <f t="shared" si="3"/>
        <v>37580.879999999997</v>
      </c>
      <c r="AB41" s="917">
        <f t="shared" si="4"/>
        <v>44.699999999999818</v>
      </c>
    </row>
    <row r="42" spans="1:28" s="397" customFormat="1" ht="16.399999999999999" customHeight="1">
      <c r="A42" s="397" t="s">
        <v>350</v>
      </c>
      <c r="B42" s="398" t="s">
        <v>689</v>
      </c>
      <c r="C42" s="398" t="s">
        <v>352</v>
      </c>
      <c r="D42" s="398" t="s">
        <v>908</v>
      </c>
      <c r="E42" s="398" t="s">
        <v>909</v>
      </c>
      <c r="F42" s="398" t="s">
        <v>43</v>
      </c>
      <c r="G42" s="399">
        <v>82</v>
      </c>
      <c r="H42" s="399"/>
      <c r="I42" s="399">
        <v>36</v>
      </c>
      <c r="J42" s="399">
        <f t="shared" si="2"/>
        <v>4956</v>
      </c>
      <c r="K42" s="399">
        <f t="shared" si="0"/>
        <v>82.6</v>
      </c>
      <c r="L42" s="399" t="s">
        <v>356</v>
      </c>
      <c r="M42" s="400" t="s">
        <v>354</v>
      </c>
      <c r="N42" s="399" t="s">
        <v>847</v>
      </c>
      <c r="O42" s="957" t="s">
        <v>1209</v>
      </c>
      <c r="P42" s="401" t="s">
        <v>961</v>
      </c>
      <c r="Q42" s="402">
        <v>4920.5</v>
      </c>
      <c r="R42" s="402"/>
      <c r="S42" s="622">
        <v>83</v>
      </c>
      <c r="T42" s="622">
        <v>82</v>
      </c>
      <c r="U42" s="622">
        <v>30.3</v>
      </c>
      <c r="V42" s="622">
        <v>4950.3</v>
      </c>
      <c r="W42" s="403">
        <v>300</v>
      </c>
      <c r="X42" s="404">
        <f t="shared" si="1"/>
        <v>-28.041785357888045</v>
      </c>
      <c r="Y42" s="397">
        <f t="shared" si="3"/>
        <v>29523.000000000004</v>
      </c>
      <c r="AB42" s="917">
        <f t="shared" si="4"/>
        <v>29.800000000000182</v>
      </c>
    </row>
    <row r="43" spans="1:28" s="397" customFormat="1" ht="16.399999999999999" customHeight="1">
      <c r="A43" s="397" t="s">
        <v>350</v>
      </c>
      <c r="B43" s="398" t="s">
        <v>689</v>
      </c>
      <c r="C43" s="398" t="s">
        <v>352</v>
      </c>
      <c r="D43" s="398" t="s">
        <v>908</v>
      </c>
      <c r="E43" s="398" t="s">
        <v>909</v>
      </c>
      <c r="F43" s="398" t="s">
        <v>45</v>
      </c>
      <c r="G43" s="399">
        <v>24</v>
      </c>
      <c r="H43" s="399"/>
      <c r="I43" s="399">
        <v>21</v>
      </c>
      <c r="J43" s="399">
        <f t="shared" si="2"/>
        <v>1461</v>
      </c>
      <c r="K43" s="399">
        <f t="shared" si="0"/>
        <v>24.35</v>
      </c>
      <c r="L43" s="399" t="s">
        <v>356</v>
      </c>
      <c r="M43" s="400" t="s">
        <v>354</v>
      </c>
      <c r="N43" s="399" t="s">
        <v>932</v>
      </c>
      <c r="O43" s="957" t="s">
        <v>1209</v>
      </c>
      <c r="P43" s="401" t="s">
        <v>962</v>
      </c>
      <c r="Q43" s="402">
        <v>1449.9</v>
      </c>
      <c r="R43" s="402"/>
      <c r="S43" s="622">
        <v>25</v>
      </c>
      <c r="T43" s="622">
        <v>24</v>
      </c>
      <c r="U43" s="622">
        <v>25.5</v>
      </c>
      <c r="V43" s="622">
        <v>1465.5</v>
      </c>
      <c r="W43" s="403">
        <v>305</v>
      </c>
      <c r="X43" s="404">
        <f t="shared" si="1"/>
        <v>-23.505815113852861</v>
      </c>
      <c r="Y43" s="397">
        <f t="shared" si="3"/>
        <v>8844.3900000000012</v>
      </c>
      <c r="AB43" s="917">
        <f t="shared" si="4"/>
        <v>15.599999999999909</v>
      </c>
    </row>
    <row r="44" spans="1:28" s="397" customFormat="1" ht="16.399999999999999" customHeight="1">
      <c r="A44" s="397" t="s">
        <v>350</v>
      </c>
      <c r="B44" s="398" t="s">
        <v>690</v>
      </c>
      <c r="C44" s="398" t="s">
        <v>242</v>
      </c>
      <c r="D44" s="398" t="s">
        <v>908</v>
      </c>
      <c r="E44" s="398" t="s">
        <v>909</v>
      </c>
      <c r="F44" s="398" t="s">
        <v>42</v>
      </c>
      <c r="G44" s="399">
        <v>12</v>
      </c>
      <c r="H44" s="399"/>
      <c r="I44" s="399">
        <v>59</v>
      </c>
      <c r="J44" s="399">
        <f t="shared" si="2"/>
        <v>779</v>
      </c>
      <c r="K44" s="399">
        <f t="shared" si="0"/>
        <v>12.983333333333333</v>
      </c>
      <c r="L44" s="399" t="s">
        <v>356</v>
      </c>
      <c r="M44" s="400" t="s">
        <v>354</v>
      </c>
      <c r="N44" s="399" t="s">
        <v>847</v>
      </c>
      <c r="O44" s="957" t="s">
        <v>1209</v>
      </c>
      <c r="P44" s="401" t="s">
        <v>963</v>
      </c>
      <c r="Q44" s="402">
        <v>777.8</v>
      </c>
      <c r="R44" s="402"/>
      <c r="S44" s="622">
        <v>13</v>
      </c>
      <c r="T44" s="622">
        <v>12</v>
      </c>
      <c r="U44" s="622">
        <v>59.3</v>
      </c>
      <c r="V44" s="622">
        <v>779.3</v>
      </c>
      <c r="W44" s="403">
        <v>325</v>
      </c>
      <c r="X44" s="404">
        <f t="shared" si="1"/>
        <v>-5.3619341377120691</v>
      </c>
      <c r="Y44" s="397">
        <f t="shared" si="3"/>
        <v>5055.7</v>
      </c>
      <c r="AB44" s="917">
        <f t="shared" si="4"/>
        <v>1.5</v>
      </c>
    </row>
    <row r="45" spans="1:28" s="397" customFormat="1" ht="16.399999999999999" customHeight="1">
      <c r="A45" s="397" t="s">
        <v>350</v>
      </c>
      <c r="B45" s="398" t="s">
        <v>966</v>
      </c>
      <c r="C45" s="398" t="s">
        <v>352</v>
      </c>
      <c r="D45" s="398" t="s">
        <v>908</v>
      </c>
      <c r="E45" s="398" t="s">
        <v>909</v>
      </c>
      <c r="F45" s="398" t="s">
        <v>51</v>
      </c>
      <c r="G45" s="399">
        <v>52</v>
      </c>
      <c r="H45" s="399"/>
      <c r="I45" s="399">
        <v>10</v>
      </c>
      <c r="J45" s="399">
        <f t="shared" si="2"/>
        <v>3130</v>
      </c>
      <c r="K45" s="399">
        <f t="shared" si="0"/>
        <v>52.166666666666664</v>
      </c>
      <c r="L45" s="399" t="s">
        <v>356</v>
      </c>
      <c r="M45" s="400" t="s">
        <v>354</v>
      </c>
      <c r="N45" s="399" t="s">
        <v>847</v>
      </c>
      <c r="O45" s="957" t="s">
        <v>1209</v>
      </c>
      <c r="P45" s="401" t="s">
        <v>967</v>
      </c>
      <c r="Q45" s="402">
        <v>3130.1</v>
      </c>
      <c r="R45" s="402"/>
      <c r="S45" s="622">
        <v>53</v>
      </c>
      <c r="T45" s="622">
        <v>52</v>
      </c>
      <c r="U45" s="622">
        <v>20.3</v>
      </c>
      <c r="V45" s="622">
        <v>3140.3</v>
      </c>
      <c r="W45" s="403">
        <v>300</v>
      </c>
      <c r="X45" s="404">
        <f t="shared" si="1"/>
        <v>-28.041785357888045</v>
      </c>
      <c r="Y45" s="397">
        <f t="shared" si="3"/>
        <v>18780.599999999999</v>
      </c>
      <c r="AB45" s="917">
        <f t="shared" si="4"/>
        <v>10.200000000000273</v>
      </c>
    </row>
    <row r="46" spans="1:28" s="397" customFormat="1" ht="16.399999999999999" customHeight="1">
      <c r="A46" s="397" t="s">
        <v>350</v>
      </c>
      <c r="B46" s="398" t="s">
        <v>966</v>
      </c>
      <c r="C46" s="398" t="s">
        <v>352</v>
      </c>
      <c r="D46" s="398" t="s">
        <v>908</v>
      </c>
      <c r="E46" s="398" t="s">
        <v>909</v>
      </c>
      <c r="F46" s="398" t="s">
        <v>52</v>
      </c>
      <c r="G46" s="399">
        <v>8</v>
      </c>
      <c r="H46" s="399"/>
      <c r="I46" s="399">
        <v>30</v>
      </c>
      <c r="J46" s="399">
        <f t="shared" si="2"/>
        <v>510</v>
      </c>
      <c r="K46" s="399">
        <f t="shared" si="0"/>
        <v>8.5</v>
      </c>
      <c r="L46" s="399" t="s">
        <v>355</v>
      </c>
      <c r="M46" s="400" t="s">
        <v>856</v>
      </c>
      <c r="N46" s="399" t="s">
        <v>1062</v>
      </c>
      <c r="O46" s="957" t="s">
        <v>1207</v>
      </c>
      <c r="P46" s="401" t="s">
        <v>968</v>
      </c>
      <c r="Q46" s="402">
        <v>509.4</v>
      </c>
      <c r="R46" s="402"/>
      <c r="S46" s="622">
        <v>9</v>
      </c>
      <c r="T46" s="622">
        <v>8</v>
      </c>
      <c r="U46" s="622">
        <v>35.9</v>
      </c>
      <c r="V46" s="622">
        <v>515.9</v>
      </c>
      <c r="W46" s="403">
        <v>150</v>
      </c>
      <c r="X46" s="404">
        <f t="shared" si="1"/>
        <v>-164.12089267894402</v>
      </c>
      <c r="Y46" s="397">
        <f t="shared" si="3"/>
        <v>1528.2</v>
      </c>
      <c r="AB46" s="917">
        <f t="shared" si="4"/>
        <v>6.5</v>
      </c>
    </row>
    <row r="47" spans="1:28" s="397" customFormat="1" ht="16.399999999999999" customHeight="1">
      <c r="A47" s="397" t="s">
        <v>350</v>
      </c>
      <c r="B47" s="398" t="s">
        <v>969</v>
      </c>
      <c r="C47" s="398" t="s">
        <v>970</v>
      </c>
      <c r="D47" s="398" t="s">
        <v>908</v>
      </c>
      <c r="E47" s="398" t="s">
        <v>909</v>
      </c>
      <c r="F47" s="398" t="s">
        <v>51</v>
      </c>
      <c r="G47" s="399">
        <v>80</v>
      </c>
      <c r="H47" s="399"/>
      <c r="I47" s="399">
        <v>30</v>
      </c>
      <c r="J47" s="399">
        <f t="shared" si="2"/>
        <v>4830</v>
      </c>
      <c r="K47" s="399">
        <f t="shared" si="0"/>
        <v>80.5</v>
      </c>
      <c r="L47" s="399" t="s">
        <v>356</v>
      </c>
      <c r="M47" s="400" t="s">
        <v>354</v>
      </c>
      <c r="N47" s="399" t="s">
        <v>847</v>
      </c>
      <c r="O47" s="957" t="s">
        <v>1209</v>
      </c>
      <c r="P47" s="401" t="s">
        <v>971</v>
      </c>
      <c r="Q47" s="402">
        <v>4810</v>
      </c>
      <c r="R47" s="402"/>
      <c r="S47" s="622">
        <v>81</v>
      </c>
      <c r="T47" s="622">
        <v>80</v>
      </c>
      <c r="U47" s="622">
        <v>43.1</v>
      </c>
      <c r="V47" s="622">
        <v>4843.1000000000004</v>
      </c>
      <c r="W47" s="403">
        <v>300</v>
      </c>
      <c r="X47" s="404">
        <f t="shared" si="1"/>
        <v>-28.041785357888045</v>
      </c>
      <c r="Y47" s="397">
        <f t="shared" si="3"/>
        <v>28860</v>
      </c>
      <c r="AB47" s="917">
        <f t="shared" si="4"/>
        <v>33.100000000000364</v>
      </c>
    </row>
    <row r="48" spans="1:28" s="397" customFormat="1" ht="16.399999999999999" customHeight="1">
      <c r="A48" s="397" t="s">
        <v>350</v>
      </c>
      <c r="B48" s="398" t="s">
        <v>969</v>
      </c>
      <c r="C48" s="398" t="s">
        <v>682</v>
      </c>
      <c r="D48" s="398" t="s">
        <v>908</v>
      </c>
      <c r="E48" s="398" t="s">
        <v>909</v>
      </c>
      <c r="F48" s="398" t="s">
        <v>52</v>
      </c>
      <c r="G48" s="399">
        <v>4</v>
      </c>
      <c r="H48" s="399"/>
      <c r="I48" s="399">
        <v>14</v>
      </c>
      <c r="J48" s="399">
        <f t="shared" si="2"/>
        <v>254</v>
      </c>
      <c r="K48" s="399">
        <f t="shared" si="0"/>
        <v>4.2333333333333334</v>
      </c>
      <c r="L48" s="399" t="s">
        <v>62</v>
      </c>
      <c r="M48" s="400" t="s">
        <v>856</v>
      </c>
      <c r="N48" s="399" t="s">
        <v>972</v>
      </c>
      <c r="O48" s="957" t="s">
        <v>1207</v>
      </c>
      <c r="P48" s="401" t="s">
        <v>973</v>
      </c>
      <c r="Q48" s="402">
        <v>252.5</v>
      </c>
      <c r="R48" s="402"/>
      <c r="S48" s="622">
        <v>5</v>
      </c>
      <c r="T48" s="622">
        <v>4</v>
      </c>
      <c r="U48" s="622">
        <v>16.5</v>
      </c>
      <c r="V48" s="622">
        <v>256.5</v>
      </c>
      <c r="W48" s="403">
        <v>230</v>
      </c>
      <c r="X48" s="404">
        <f t="shared" si="1"/>
        <v>-91.545368774380847</v>
      </c>
      <c r="Y48" s="397">
        <f t="shared" si="3"/>
        <v>1161.5</v>
      </c>
      <c r="AB48" s="917">
        <f t="shared" si="4"/>
        <v>4</v>
      </c>
    </row>
    <row r="49" spans="1:28" s="397" customFormat="1" ht="16.399999999999999" customHeight="1">
      <c r="A49" s="397" t="s">
        <v>350</v>
      </c>
      <c r="B49" s="398" t="s">
        <v>691</v>
      </c>
      <c r="C49" s="398" t="s">
        <v>238</v>
      </c>
      <c r="D49" s="398" t="s">
        <v>908</v>
      </c>
      <c r="E49" s="398" t="s">
        <v>909</v>
      </c>
      <c r="F49" s="398" t="s">
        <v>42</v>
      </c>
      <c r="G49" s="399">
        <v>91</v>
      </c>
      <c r="H49" s="399"/>
      <c r="I49" s="399">
        <v>45</v>
      </c>
      <c r="J49" s="399">
        <f t="shared" si="2"/>
        <v>5505</v>
      </c>
      <c r="K49" s="399">
        <f t="shared" si="0"/>
        <v>91.75</v>
      </c>
      <c r="L49" s="399" t="s">
        <v>45</v>
      </c>
      <c r="M49" s="400" t="s">
        <v>354</v>
      </c>
      <c r="N49" s="399" t="s">
        <v>434</v>
      </c>
      <c r="O49" s="957" t="s">
        <v>1209</v>
      </c>
      <c r="P49" s="401" t="s">
        <v>974</v>
      </c>
      <c r="Q49" s="402">
        <v>5480</v>
      </c>
      <c r="R49" s="402"/>
      <c r="S49" s="622">
        <v>92</v>
      </c>
      <c r="T49" s="622">
        <v>91</v>
      </c>
      <c r="U49" s="622">
        <v>48.2</v>
      </c>
      <c r="V49" s="622">
        <v>5508.2</v>
      </c>
      <c r="W49" s="403">
        <v>340</v>
      </c>
      <c r="X49" s="404">
        <f t="shared" si="1"/>
        <v>8.2459765943935395</v>
      </c>
      <c r="Y49" s="397">
        <f t="shared" si="3"/>
        <v>37264</v>
      </c>
      <c r="AB49" s="917">
        <f t="shared" si="4"/>
        <v>28.199999999999818</v>
      </c>
    </row>
    <row r="50" spans="1:28" s="397" customFormat="1" ht="16.399999999999999" customHeight="1">
      <c r="A50" s="397" t="s">
        <v>350</v>
      </c>
      <c r="B50" s="398" t="s">
        <v>691</v>
      </c>
      <c r="C50" s="398" t="s">
        <v>238</v>
      </c>
      <c r="D50" s="398" t="s">
        <v>908</v>
      </c>
      <c r="E50" s="398" t="s">
        <v>909</v>
      </c>
      <c r="F50" s="398" t="s">
        <v>43</v>
      </c>
      <c r="G50" s="399">
        <v>86</v>
      </c>
      <c r="H50" s="399"/>
      <c r="I50" s="399">
        <v>37</v>
      </c>
      <c r="J50" s="399">
        <f t="shared" si="2"/>
        <v>5197</v>
      </c>
      <c r="K50" s="399">
        <f t="shared" si="0"/>
        <v>86.61666666666666</v>
      </c>
      <c r="L50" s="399" t="s">
        <v>45</v>
      </c>
      <c r="M50" s="400" t="s">
        <v>354</v>
      </c>
      <c r="N50" s="399" t="s">
        <v>697</v>
      </c>
      <c r="O50" s="957" t="s">
        <v>1209</v>
      </c>
      <c r="P50" s="401" t="s">
        <v>975</v>
      </c>
      <c r="Q50" s="402">
        <v>5174.2</v>
      </c>
      <c r="R50" s="402"/>
      <c r="S50" s="622">
        <v>87</v>
      </c>
      <c r="T50" s="622">
        <v>86</v>
      </c>
      <c r="U50" s="622">
        <v>22.7</v>
      </c>
      <c r="V50" s="622">
        <v>5182.7</v>
      </c>
      <c r="W50" s="403">
        <v>335</v>
      </c>
      <c r="X50" s="404">
        <f t="shared" si="1"/>
        <v>3.7100063503583556</v>
      </c>
      <c r="Y50" s="397">
        <f t="shared" si="3"/>
        <v>34667.14</v>
      </c>
      <c r="AB50" s="917">
        <f t="shared" si="4"/>
        <v>8.5</v>
      </c>
    </row>
    <row r="51" spans="1:28" s="397" customFormat="1" ht="16.399999999999999" customHeight="1">
      <c r="A51" s="397" t="s">
        <v>350</v>
      </c>
      <c r="B51" s="398" t="s">
        <v>691</v>
      </c>
      <c r="C51" s="398" t="s">
        <v>238</v>
      </c>
      <c r="D51" s="398" t="s">
        <v>908</v>
      </c>
      <c r="E51" s="398" t="s">
        <v>909</v>
      </c>
      <c r="F51" s="398" t="s">
        <v>45</v>
      </c>
      <c r="G51" s="399">
        <v>19</v>
      </c>
      <c r="H51" s="399"/>
      <c r="I51" s="399">
        <v>20</v>
      </c>
      <c r="J51" s="399">
        <f t="shared" si="2"/>
        <v>1160</v>
      </c>
      <c r="K51" s="399">
        <f t="shared" si="0"/>
        <v>19.333333333333332</v>
      </c>
      <c r="L51" s="399" t="s">
        <v>356</v>
      </c>
      <c r="M51" s="400" t="s">
        <v>354</v>
      </c>
      <c r="N51" s="399" t="s">
        <v>932</v>
      </c>
      <c r="O51" s="957" t="s">
        <v>1209</v>
      </c>
      <c r="P51" s="401" t="s">
        <v>976</v>
      </c>
      <c r="Q51" s="402">
        <v>1155.3</v>
      </c>
      <c r="R51" s="402"/>
      <c r="S51" s="622">
        <v>20</v>
      </c>
      <c r="T51" s="622">
        <v>19</v>
      </c>
      <c r="U51" s="622">
        <v>25</v>
      </c>
      <c r="V51" s="622">
        <v>1165</v>
      </c>
      <c r="W51" s="403">
        <v>305</v>
      </c>
      <c r="X51" s="404">
        <f t="shared" si="1"/>
        <v>-23.505815113852861</v>
      </c>
      <c r="Y51" s="397">
        <f t="shared" si="3"/>
        <v>7047.329999999999</v>
      </c>
      <c r="AB51" s="917">
        <f t="shared" si="4"/>
        <v>9.7000000000000455</v>
      </c>
    </row>
    <row r="52" spans="1:28" s="397" customFormat="1" ht="16.399999999999999" customHeight="1">
      <c r="B52" s="398"/>
      <c r="C52" s="398"/>
      <c r="D52" s="398"/>
      <c r="E52" s="398"/>
      <c r="F52" s="398"/>
      <c r="G52" s="399"/>
      <c r="H52" s="399"/>
      <c r="I52" s="1047">
        <f>SUM(I42:I51)</f>
        <v>302</v>
      </c>
      <c r="J52" s="399"/>
      <c r="K52" s="399"/>
      <c r="L52" s="399"/>
      <c r="M52" s="400"/>
      <c r="N52" s="399"/>
      <c r="O52" s="957"/>
      <c r="P52" s="401"/>
      <c r="Q52" s="402"/>
      <c r="R52" s="402"/>
      <c r="S52" s="622"/>
      <c r="T52" s="622"/>
      <c r="U52" s="622"/>
      <c r="V52" s="622">
        <f>SUM(V42:V51)</f>
        <v>27806.800000000003</v>
      </c>
      <c r="W52" s="403"/>
      <c r="X52" s="404"/>
      <c r="AB52" s="917"/>
    </row>
    <row r="53" spans="1:28" s="397" customFormat="1" ht="16.399999999999999" customHeight="1">
      <c r="B53" s="398"/>
      <c r="C53" s="398"/>
      <c r="D53" s="398"/>
      <c r="E53" s="398"/>
      <c r="F53" s="398"/>
      <c r="G53" s="399"/>
      <c r="H53" s="399"/>
      <c r="I53" s="1047">
        <f>I52/60</f>
        <v>5.0333333333333332</v>
      </c>
      <c r="J53" s="399"/>
      <c r="K53" s="399"/>
      <c r="L53" s="399"/>
      <c r="M53" s="400"/>
      <c r="N53" s="399"/>
      <c r="O53" s="957"/>
      <c r="P53" s="401"/>
      <c r="Q53" s="402"/>
      <c r="R53" s="402"/>
      <c r="S53" s="622"/>
      <c r="T53" s="622"/>
      <c r="U53" s="622"/>
      <c r="V53" s="622"/>
      <c r="W53" s="403"/>
      <c r="X53" s="404"/>
      <c r="AB53" s="917"/>
    </row>
    <row r="54" spans="1:28" s="397" customFormat="1" ht="16.399999999999999" customHeight="1">
      <c r="A54" s="397" t="s">
        <v>350</v>
      </c>
      <c r="B54" s="398" t="s">
        <v>690</v>
      </c>
      <c r="C54" s="398" t="s">
        <v>242</v>
      </c>
      <c r="D54" s="398" t="s">
        <v>908</v>
      </c>
      <c r="E54" s="398" t="s">
        <v>909</v>
      </c>
      <c r="F54" s="398" t="s">
        <v>43</v>
      </c>
      <c r="G54" s="399">
        <v>15</v>
      </c>
      <c r="H54" s="399"/>
      <c r="I54" s="399">
        <v>8</v>
      </c>
      <c r="J54" s="399">
        <f>G54*60+I54</f>
        <v>908</v>
      </c>
      <c r="K54" s="399">
        <f>+J54/60</f>
        <v>15.133333333333333</v>
      </c>
      <c r="L54" s="399" t="s">
        <v>356</v>
      </c>
      <c r="M54" s="400" t="s">
        <v>354</v>
      </c>
      <c r="N54" s="399" t="s">
        <v>847</v>
      </c>
      <c r="O54" s="957" t="s">
        <v>1209</v>
      </c>
      <c r="P54" s="401" t="s">
        <v>964</v>
      </c>
      <c r="Q54" s="402">
        <v>905.1</v>
      </c>
      <c r="R54" s="402"/>
      <c r="S54" s="622">
        <v>16</v>
      </c>
      <c r="T54" s="622">
        <v>15</v>
      </c>
      <c r="U54" s="622">
        <v>8.6</v>
      </c>
      <c r="V54" s="622">
        <v>908.6</v>
      </c>
      <c r="W54" s="403">
        <v>300</v>
      </c>
      <c r="X54" s="404">
        <f>W54/1.1023-$Z$1</f>
        <v>-28.041785357888045</v>
      </c>
      <c r="Y54" s="397">
        <f>(Q54/60*W54)*1.2</f>
        <v>5430.5999999999995</v>
      </c>
      <c r="AB54" s="917">
        <f>V54-Q54</f>
        <v>3.5</v>
      </c>
    </row>
    <row r="55" spans="1:28" s="397" customFormat="1" ht="16.399999999999999" customHeight="1">
      <c r="A55" s="397" t="s">
        <v>350</v>
      </c>
      <c r="B55" s="398" t="s">
        <v>690</v>
      </c>
      <c r="C55" s="398" t="s">
        <v>242</v>
      </c>
      <c r="D55" s="398" t="s">
        <v>908</v>
      </c>
      <c r="E55" s="398" t="s">
        <v>909</v>
      </c>
      <c r="F55" s="398" t="s">
        <v>45</v>
      </c>
      <c r="G55" s="399">
        <v>9</v>
      </c>
      <c r="H55" s="399"/>
      <c r="I55" s="399">
        <v>43</v>
      </c>
      <c r="J55" s="399">
        <f>G55*60+I55</f>
        <v>583</v>
      </c>
      <c r="K55" s="399">
        <f>+J55/60</f>
        <v>9.7166666666666668</v>
      </c>
      <c r="L55" s="399" t="s">
        <v>60</v>
      </c>
      <c r="M55" s="400" t="s">
        <v>856</v>
      </c>
      <c r="N55" s="399" t="s">
        <v>856</v>
      </c>
      <c r="O55" s="957" t="s">
        <v>1207</v>
      </c>
      <c r="P55" s="401" t="s">
        <v>965</v>
      </c>
      <c r="Q55" s="402">
        <v>578.70000000000005</v>
      </c>
      <c r="R55" s="402"/>
      <c r="S55" s="622">
        <v>10</v>
      </c>
      <c r="T55" s="622">
        <v>9</v>
      </c>
      <c r="U55" s="622">
        <v>40</v>
      </c>
      <c r="V55" s="622">
        <v>580</v>
      </c>
      <c r="W55" s="403">
        <v>270</v>
      </c>
      <c r="X55" s="404">
        <f>W55/1.1023-$Z$1</f>
        <v>-55.257606822099262</v>
      </c>
      <c r="Y55" s="397">
        <f>(Q55/60*W55)*1.2</f>
        <v>3124.9800000000005</v>
      </c>
      <c r="AB55" s="917">
        <f>V55-Q55</f>
        <v>1.2999999999999545</v>
      </c>
    </row>
    <row r="56" spans="1:28" s="397" customFormat="1" ht="16.399999999999999" customHeight="1">
      <c r="A56" s="397" t="s">
        <v>350</v>
      </c>
      <c r="B56" s="398" t="s">
        <v>368</v>
      </c>
      <c r="C56" s="398" t="s">
        <v>237</v>
      </c>
      <c r="D56" s="398" t="s">
        <v>908</v>
      </c>
      <c r="E56" s="398" t="s">
        <v>909</v>
      </c>
      <c r="F56" s="398" t="s">
        <v>45</v>
      </c>
      <c r="G56" s="399">
        <v>17</v>
      </c>
      <c r="H56" s="399"/>
      <c r="I56" s="1047">
        <f>SUM(I54:I55)</f>
        <v>51</v>
      </c>
      <c r="J56" s="399">
        <f t="shared" si="2"/>
        <v>1071</v>
      </c>
      <c r="K56" s="399">
        <f t="shared" si="0"/>
        <v>17.850000000000001</v>
      </c>
      <c r="L56" s="399" t="s">
        <v>54</v>
      </c>
      <c r="M56" s="400" t="s">
        <v>354</v>
      </c>
      <c r="N56" s="399" t="s">
        <v>435</v>
      </c>
      <c r="O56" s="957" t="s">
        <v>1209</v>
      </c>
      <c r="P56" s="401" t="s">
        <v>979</v>
      </c>
      <c r="Q56" s="402">
        <v>1028.2</v>
      </c>
      <c r="R56" s="402"/>
      <c r="S56" s="622">
        <v>18</v>
      </c>
      <c r="T56" s="622">
        <v>17</v>
      </c>
      <c r="U56" s="622">
        <v>15.8</v>
      </c>
      <c r="V56" s="622">
        <f>SUM(V54:V55)</f>
        <v>1488.6</v>
      </c>
      <c r="W56" s="403">
        <v>310</v>
      </c>
      <c r="X56" s="404">
        <f t="shared" si="1"/>
        <v>-18.969844869817678</v>
      </c>
      <c r="Y56" s="397">
        <f t="shared" si="3"/>
        <v>6374.84</v>
      </c>
      <c r="AB56" s="917">
        <f t="shared" si="4"/>
        <v>460.39999999999986</v>
      </c>
    </row>
    <row r="57" spans="1:28" s="397" customFormat="1" ht="16.399999999999999" customHeight="1">
      <c r="A57" s="397" t="s">
        <v>350</v>
      </c>
      <c r="B57" s="398" t="s">
        <v>980</v>
      </c>
      <c r="C57" s="398" t="s">
        <v>981</v>
      </c>
      <c r="D57" s="398" t="s">
        <v>908</v>
      </c>
      <c r="E57" s="398" t="s">
        <v>909</v>
      </c>
      <c r="F57" s="398" t="s">
        <v>51</v>
      </c>
      <c r="G57" s="399">
        <v>53</v>
      </c>
      <c r="H57" s="399"/>
      <c r="I57" s="1056">
        <f>I56/60</f>
        <v>0.85</v>
      </c>
      <c r="J57" s="399">
        <f t="shared" si="2"/>
        <v>3180.85</v>
      </c>
      <c r="K57" s="399">
        <f t="shared" si="0"/>
        <v>53.014166666666668</v>
      </c>
      <c r="L57" s="399" t="s">
        <v>356</v>
      </c>
      <c r="M57" s="400" t="s">
        <v>354</v>
      </c>
      <c r="N57" s="399" t="s">
        <v>847</v>
      </c>
      <c r="O57" s="957" t="s">
        <v>1209</v>
      </c>
      <c r="P57" s="401" t="s">
        <v>982</v>
      </c>
      <c r="Q57" s="402">
        <v>3228</v>
      </c>
      <c r="R57" s="402"/>
      <c r="S57" s="622">
        <v>54</v>
      </c>
      <c r="T57" s="622">
        <v>54</v>
      </c>
      <c r="U57" s="622">
        <v>31.4</v>
      </c>
      <c r="V57" s="622">
        <v>3271.4</v>
      </c>
      <c r="W57" s="403">
        <v>300</v>
      </c>
      <c r="X57" s="404">
        <f t="shared" si="1"/>
        <v>-28.041785357888045</v>
      </c>
      <c r="Y57" s="397">
        <f t="shared" si="3"/>
        <v>19368</v>
      </c>
      <c r="AB57" s="917">
        <f t="shared" si="4"/>
        <v>43.400000000000091</v>
      </c>
    </row>
    <row r="58" spans="1:28" s="397" customFormat="1" ht="16.399999999999999" customHeight="1">
      <c r="A58" s="397" t="s">
        <v>350</v>
      </c>
      <c r="B58" s="398" t="s">
        <v>980</v>
      </c>
      <c r="C58" s="398" t="s">
        <v>981</v>
      </c>
      <c r="D58" s="398" t="s">
        <v>908</v>
      </c>
      <c r="E58" s="398" t="s">
        <v>909</v>
      </c>
      <c r="F58" s="398" t="s">
        <v>52</v>
      </c>
      <c r="G58" s="399">
        <v>9</v>
      </c>
      <c r="H58" s="399"/>
      <c r="I58" s="399">
        <v>42</v>
      </c>
      <c r="J58" s="399">
        <f t="shared" si="2"/>
        <v>582</v>
      </c>
      <c r="K58" s="399">
        <f t="shared" si="0"/>
        <v>9.6999999999999993</v>
      </c>
      <c r="L58" s="399" t="s">
        <v>355</v>
      </c>
      <c r="M58" s="400" t="s">
        <v>856</v>
      </c>
      <c r="N58" s="399" t="s">
        <v>1062</v>
      </c>
      <c r="O58" s="957" t="s">
        <v>1207</v>
      </c>
      <c r="P58" s="401" t="s">
        <v>983</v>
      </c>
      <c r="Q58" s="402">
        <v>580</v>
      </c>
      <c r="R58" s="402"/>
      <c r="S58" s="622">
        <v>10</v>
      </c>
      <c r="T58" s="622">
        <v>9</v>
      </c>
      <c r="U58" s="622">
        <v>48</v>
      </c>
      <c r="V58" s="622">
        <v>588</v>
      </c>
      <c r="W58" s="403">
        <v>150</v>
      </c>
      <c r="X58" s="404">
        <f t="shared" si="1"/>
        <v>-164.12089267894402</v>
      </c>
      <c r="Y58" s="397">
        <f t="shared" si="3"/>
        <v>1740</v>
      </c>
      <c r="AB58" s="917">
        <f t="shared" si="4"/>
        <v>8</v>
      </c>
    </row>
    <row r="59" spans="1:28" s="397" customFormat="1" ht="16.399999999999999" customHeight="1">
      <c r="A59" s="397" t="s">
        <v>350</v>
      </c>
      <c r="B59" s="398" t="s">
        <v>692</v>
      </c>
      <c r="C59" s="398" t="s">
        <v>984</v>
      </c>
      <c r="D59" s="398" t="s">
        <v>908</v>
      </c>
      <c r="E59" s="398" t="s">
        <v>909</v>
      </c>
      <c r="F59" s="398" t="s">
        <v>42</v>
      </c>
      <c r="G59" s="399">
        <v>87</v>
      </c>
      <c r="H59" s="399"/>
      <c r="I59" s="399">
        <v>64</v>
      </c>
      <c r="J59" s="399">
        <f t="shared" si="2"/>
        <v>5284</v>
      </c>
      <c r="K59" s="399">
        <f t="shared" si="0"/>
        <v>88.066666666666663</v>
      </c>
      <c r="L59" s="399" t="s">
        <v>54</v>
      </c>
      <c r="M59" s="400" t="s">
        <v>354</v>
      </c>
      <c r="N59" s="399" t="s">
        <v>434</v>
      </c>
      <c r="O59" s="957" t="s">
        <v>1209</v>
      </c>
      <c r="P59" s="401" t="s">
        <v>985</v>
      </c>
      <c r="Q59" s="402">
        <v>5254.7</v>
      </c>
      <c r="R59" s="402"/>
      <c r="S59" s="622">
        <v>88</v>
      </c>
      <c r="T59" s="622">
        <v>87</v>
      </c>
      <c r="U59" s="622">
        <v>55.8</v>
      </c>
      <c r="V59" s="622">
        <v>5275.8</v>
      </c>
      <c r="W59" s="403">
        <v>340</v>
      </c>
      <c r="X59" s="404">
        <f t="shared" si="1"/>
        <v>8.2459765943935395</v>
      </c>
      <c r="Y59" s="397">
        <f t="shared" si="3"/>
        <v>35731.96</v>
      </c>
      <c r="AB59" s="917">
        <f t="shared" si="4"/>
        <v>21.100000000000364</v>
      </c>
    </row>
    <row r="60" spans="1:28" s="397" customFormat="1" ht="16.399999999999999" customHeight="1">
      <c r="A60" s="397" t="s">
        <v>350</v>
      </c>
      <c r="B60" s="398" t="s">
        <v>692</v>
      </c>
      <c r="C60" s="398" t="s">
        <v>984</v>
      </c>
      <c r="D60" s="398" t="s">
        <v>908</v>
      </c>
      <c r="E60" s="398" t="s">
        <v>909</v>
      </c>
      <c r="F60" s="398" t="s">
        <v>43</v>
      </c>
      <c r="G60" s="1076">
        <v>81</v>
      </c>
      <c r="H60" s="1076"/>
      <c r="I60" s="1076">
        <v>25</v>
      </c>
      <c r="J60" s="1076">
        <f t="shared" si="2"/>
        <v>4885</v>
      </c>
      <c r="K60" s="1076">
        <f t="shared" si="0"/>
        <v>81.416666666666671</v>
      </c>
      <c r="L60" s="399" t="s">
        <v>56</v>
      </c>
      <c r="M60" s="400" t="s">
        <v>354</v>
      </c>
      <c r="N60" s="399" t="s">
        <v>847</v>
      </c>
      <c r="O60" s="957" t="s">
        <v>1209</v>
      </c>
      <c r="P60" s="401" t="s">
        <v>986</v>
      </c>
      <c r="Q60" s="402">
        <v>4873.8999999999996</v>
      </c>
      <c r="R60" s="402"/>
      <c r="S60" s="622">
        <v>82</v>
      </c>
      <c r="T60" s="622">
        <v>81</v>
      </c>
      <c r="U60" s="622">
        <v>33.200000000000003</v>
      </c>
      <c r="V60" s="622">
        <v>4893.2</v>
      </c>
      <c r="W60" s="403">
        <v>335</v>
      </c>
      <c r="X60" s="404">
        <f t="shared" si="1"/>
        <v>3.7100063503583556</v>
      </c>
      <c r="Y60" s="397">
        <f t="shared" si="3"/>
        <v>32655.129999999994</v>
      </c>
      <c r="AB60" s="917">
        <f t="shared" si="4"/>
        <v>19.300000000000182</v>
      </c>
    </row>
    <row r="61" spans="1:28" s="397" customFormat="1" ht="16.399999999999999" customHeight="1">
      <c r="A61" s="397" t="s">
        <v>350</v>
      </c>
      <c r="B61" s="398" t="s">
        <v>692</v>
      </c>
      <c r="C61" s="398" t="s">
        <v>984</v>
      </c>
      <c r="D61" s="398" t="s">
        <v>908</v>
      </c>
      <c r="E61" s="398" t="s">
        <v>909</v>
      </c>
      <c r="F61" s="1061" t="s">
        <v>45</v>
      </c>
      <c r="G61" s="1106">
        <v>23</v>
      </c>
      <c r="H61" s="1106"/>
      <c r="I61" s="1106" t="s">
        <v>1372</v>
      </c>
      <c r="J61" s="1106" t="s">
        <v>1373</v>
      </c>
      <c r="K61" s="1106" t="s">
        <v>1374</v>
      </c>
      <c r="L61" s="1069" t="s">
        <v>397</v>
      </c>
      <c r="M61" s="400" t="s">
        <v>856</v>
      </c>
      <c r="N61" s="399" t="s">
        <v>927</v>
      </c>
      <c r="O61" s="957" t="s">
        <v>1207</v>
      </c>
      <c r="P61" s="401" t="s">
        <v>987</v>
      </c>
      <c r="Q61" s="402">
        <v>1391.6</v>
      </c>
      <c r="R61" s="402"/>
      <c r="S61" s="622">
        <v>24</v>
      </c>
      <c r="T61" s="622">
        <v>23</v>
      </c>
      <c r="U61" s="622">
        <v>22.4</v>
      </c>
      <c r="V61" s="622">
        <v>1402.4</v>
      </c>
      <c r="W61" s="403">
        <v>280</v>
      </c>
      <c r="X61" s="404">
        <f t="shared" si="1"/>
        <v>-46.185666334028838</v>
      </c>
      <c r="Y61" s="397">
        <f t="shared" si="3"/>
        <v>7792.9599999999991</v>
      </c>
      <c r="AB61" s="917">
        <f t="shared" si="4"/>
        <v>10.800000000000182</v>
      </c>
    </row>
    <row r="62" spans="1:28" s="397" customFormat="1" ht="16.399999999999999" customHeight="1">
      <c r="A62" s="397" t="s">
        <v>350</v>
      </c>
      <c r="B62" s="398" t="s">
        <v>988</v>
      </c>
      <c r="C62" s="398" t="s">
        <v>989</v>
      </c>
      <c r="D62" s="398" t="s">
        <v>908</v>
      </c>
      <c r="E62" s="398" t="s">
        <v>909</v>
      </c>
      <c r="F62" s="1061" t="s">
        <v>51</v>
      </c>
      <c r="G62" s="1106" t="s">
        <v>354</v>
      </c>
      <c r="H62" s="1106"/>
      <c r="I62" s="1106">
        <v>30087</v>
      </c>
      <c r="J62" s="1106">
        <v>30223.7</v>
      </c>
      <c r="K62" s="1106">
        <v>30163</v>
      </c>
      <c r="L62" s="1069" t="s">
        <v>60</v>
      </c>
      <c r="M62" s="400" t="s">
        <v>856</v>
      </c>
      <c r="N62" s="400" t="s">
        <v>856</v>
      </c>
      <c r="O62" s="957" t="s">
        <v>1207</v>
      </c>
      <c r="P62" s="401" t="s">
        <v>990</v>
      </c>
      <c r="Q62" s="416">
        <v>879</v>
      </c>
      <c r="R62" s="416"/>
      <c r="S62" s="622">
        <v>15</v>
      </c>
      <c r="T62" s="625">
        <v>14</v>
      </c>
      <c r="U62" s="625">
        <v>40.5</v>
      </c>
      <c r="V62" s="625">
        <v>880.5</v>
      </c>
      <c r="W62" s="403">
        <v>270</v>
      </c>
      <c r="X62" s="404">
        <f t="shared" si="1"/>
        <v>-55.257606822099262</v>
      </c>
      <c r="Y62" s="397">
        <f t="shared" si="3"/>
        <v>4746.5999999999995</v>
      </c>
      <c r="AB62" s="917">
        <f t="shared" si="4"/>
        <v>1.5</v>
      </c>
    </row>
    <row r="63" spans="1:28" s="397" customFormat="1" ht="16.399999999999999" customHeight="1">
      <c r="A63" s="397" t="s">
        <v>350</v>
      </c>
      <c r="B63" s="398" t="s">
        <v>988</v>
      </c>
      <c r="C63" s="398" t="s">
        <v>989</v>
      </c>
      <c r="D63" s="398" t="s">
        <v>908</v>
      </c>
      <c r="E63" s="398" t="s">
        <v>909</v>
      </c>
      <c r="F63" s="1061" t="s">
        <v>52</v>
      </c>
      <c r="G63" s="1106" t="s">
        <v>856</v>
      </c>
      <c r="H63" s="1106"/>
      <c r="I63" s="1106">
        <v>88</v>
      </c>
      <c r="J63" s="1106">
        <v>88</v>
      </c>
      <c r="K63" s="1106">
        <v>89</v>
      </c>
      <c r="L63" s="1069" t="s">
        <v>62</v>
      </c>
      <c r="M63" s="400" t="s">
        <v>856</v>
      </c>
      <c r="N63" s="399" t="s">
        <v>972</v>
      </c>
      <c r="O63" s="957" t="s">
        <v>1207</v>
      </c>
      <c r="P63" s="401" t="s">
        <v>991</v>
      </c>
      <c r="Q63" s="402">
        <v>366.4</v>
      </c>
      <c r="R63" s="402"/>
      <c r="S63" s="622">
        <v>7</v>
      </c>
      <c r="T63" s="622">
        <v>6</v>
      </c>
      <c r="U63" s="622">
        <v>4.7</v>
      </c>
      <c r="V63" s="622">
        <v>364.7</v>
      </c>
      <c r="W63" s="403">
        <v>230</v>
      </c>
      <c r="X63" s="404">
        <f t="shared" ref="X63:X90" si="5">W63/1.1023-$Z$1</f>
        <v>-91.545368774380847</v>
      </c>
      <c r="Y63" s="397">
        <f t="shared" si="3"/>
        <v>1685.4399999999998</v>
      </c>
      <c r="AB63" s="917">
        <f t="shared" si="4"/>
        <v>-1.6999999999999886</v>
      </c>
    </row>
    <row r="64" spans="1:28" s="397" customFormat="1" ht="16.399999999999999" customHeight="1">
      <c r="A64" s="397" t="s">
        <v>350</v>
      </c>
      <c r="B64" s="398" t="s">
        <v>992</v>
      </c>
      <c r="C64" s="398" t="s">
        <v>352</v>
      </c>
      <c r="D64" s="398" t="s">
        <v>908</v>
      </c>
      <c r="E64" s="398" t="s">
        <v>909</v>
      </c>
      <c r="F64" s="398" t="s">
        <v>51</v>
      </c>
      <c r="G64" s="1090">
        <v>46</v>
      </c>
      <c r="H64" s="1090"/>
      <c r="I64" s="1090">
        <v>37</v>
      </c>
      <c r="J64" s="1090">
        <f t="shared" si="2"/>
        <v>2797</v>
      </c>
      <c r="K64" s="1090">
        <f t="shared" ref="K64:K88" si="6">+J64/60</f>
        <v>46.616666666666667</v>
      </c>
      <c r="L64" s="399" t="s">
        <v>60</v>
      </c>
      <c r="M64" s="400" t="s">
        <v>856</v>
      </c>
      <c r="N64" s="400" t="s">
        <v>856</v>
      </c>
      <c r="O64" s="957" t="s">
        <v>1207</v>
      </c>
      <c r="P64" s="401" t="s">
        <v>993</v>
      </c>
      <c r="Q64" s="416">
        <v>2770.9</v>
      </c>
      <c r="R64" s="416"/>
      <c r="S64" s="622">
        <v>47</v>
      </c>
      <c r="T64" s="625">
        <v>46</v>
      </c>
      <c r="U64" s="625">
        <v>50.7</v>
      </c>
      <c r="V64" s="625">
        <v>2810.7</v>
      </c>
      <c r="W64" s="403">
        <v>270</v>
      </c>
      <c r="X64" s="404">
        <f t="shared" si="5"/>
        <v>-55.257606822099262</v>
      </c>
      <c r="Y64" s="397">
        <f t="shared" si="3"/>
        <v>14962.859999999999</v>
      </c>
      <c r="AB64" s="917">
        <f t="shared" si="4"/>
        <v>39.799999999999727</v>
      </c>
    </row>
    <row r="65" spans="1:28" s="397" customFormat="1" ht="16.399999999999999" customHeight="1">
      <c r="A65" s="397" t="s">
        <v>350</v>
      </c>
      <c r="B65" s="398" t="s">
        <v>992</v>
      </c>
      <c r="C65" s="398" t="s">
        <v>352</v>
      </c>
      <c r="D65" s="398" t="s">
        <v>908</v>
      </c>
      <c r="E65" s="398" t="s">
        <v>909</v>
      </c>
      <c r="F65" s="398" t="s">
        <v>52</v>
      </c>
      <c r="G65" s="399">
        <v>3</v>
      </c>
      <c r="H65" s="399"/>
      <c r="I65" s="399">
        <v>43</v>
      </c>
      <c r="J65" s="399">
        <f t="shared" si="2"/>
        <v>223</v>
      </c>
      <c r="K65" s="399">
        <f t="shared" si="6"/>
        <v>3.7166666666666668</v>
      </c>
      <c r="L65" s="399" t="s">
        <v>62</v>
      </c>
      <c r="M65" s="400" t="s">
        <v>856</v>
      </c>
      <c r="N65" s="399" t="s">
        <v>972</v>
      </c>
      <c r="O65" s="957" t="s">
        <v>1207</v>
      </c>
      <c r="P65" s="401" t="s">
        <v>994</v>
      </c>
      <c r="Q65" s="402">
        <v>221.2</v>
      </c>
      <c r="R65" s="402"/>
      <c r="S65" s="622">
        <v>4</v>
      </c>
      <c r="T65" s="622">
        <v>3</v>
      </c>
      <c r="U65" s="622">
        <v>42.4</v>
      </c>
      <c r="V65" s="622">
        <v>222.4</v>
      </c>
      <c r="W65" s="403">
        <v>230</v>
      </c>
      <c r="X65" s="404">
        <f t="shared" si="5"/>
        <v>-91.545368774380847</v>
      </c>
      <c r="Y65" s="397">
        <f t="shared" si="3"/>
        <v>1017.5199999999999</v>
      </c>
      <c r="AB65" s="917">
        <f t="shared" si="4"/>
        <v>1.2000000000000171</v>
      </c>
    </row>
    <row r="66" spans="1:28" s="397" customFormat="1" ht="16.399999999999999" customHeight="1">
      <c r="A66" s="397" t="s">
        <v>350</v>
      </c>
      <c r="B66" s="398" t="s">
        <v>693</v>
      </c>
      <c r="C66" s="398" t="s">
        <v>685</v>
      </c>
      <c r="D66" s="398" t="s">
        <v>908</v>
      </c>
      <c r="E66" s="398" t="s">
        <v>909</v>
      </c>
      <c r="F66" s="398" t="s">
        <v>42</v>
      </c>
      <c r="G66" s="399">
        <v>26</v>
      </c>
      <c r="H66" s="399"/>
      <c r="I66" s="399">
        <v>15</v>
      </c>
      <c r="J66" s="399">
        <f t="shared" si="2"/>
        <v>1575</v>
      </c>
      <c r="K66" s="399">
        <f t="shared" si="6"/>
        <v>26.25</v>
      </c>
      <c r="L66" s="399" t="s">
        <v>56</v>
      </c>
      <c r="M66" s="400" t="s">
        <v>354</v>
      </c>
      <c r="N66" s="399" t="s">
        <v>426</v>
      </c>
      <c r="O66" s="957" t="s">
        <v>1209</v>
      </c>
      <c r="P66" s="401" t="s">
        <v>995</v>
      </c>
      <c r="Q66" s="402">
        <v>1575.2</v>
      </c>
      <c r="R66" s="402"/>
      <c r="S66" s="622">
        <v>27</v>
      </c>
      <c r="T66" s="622">
        <v>26</v>
      </c>
      <c r="U66" s="622">
        <v>21.7</v>
      </c>
      <c r="V66" s="622">
        <v>1581.7</v>
      </c>
      <c r="W66" s="403">
        <v>340</v>
      </c>
      <c r="X66" s="404">
        <f t="shared" si="5"/>
        <v>8.2459765943935395</v>
      </c>
      <c r="Y66" s="397">
        <f t="shared" si="3"/>
        <v>10711.359999999999</v>
      </c>
      <c r="AB66" s="917">
        <f t="shared" si="4"/>
        <v>6.5</v>
      </c>
    </row>
    <row r="67" spans="1:28" s="397" customFormat="1" ht="16.399999999999999" customHeight="1">
      <c r="A67" s="397" t="s">
        <v>350</v>
      </c>
      <c r="B67" s="398" t="s">
        <v>693</v>
      </c>
      <c r="C67" s="398" t="s">
        <v>685</v>
      </c>
      <c r="D67" s="398" t="s">
        <v>908</v>
      </c>
      <c r="E67" s="398" t="s">
        <v>909</v>
      </c>
      <c r="F67" s="398" t="s">
        <v>43</v>
      </c>
      <c r="G67" s="399">
        <v>26</v>
      </c>
      <c r="H67" s="399"/>
      <c r="I67" s="399">
        <v>65</v>
      </c>
      <c r="J67" s="399">
        <f t="shared" ref="J67:J91" si="7">G67*60+I67</f>
        <v>1625</v>
      </c>
      <c r="K67" s="399">
        <f t="shared" si="6"/>
        <v>27.083333333333332</v>
      </c>
      <c r="L67" s="399" t="s">
        <v>57</v>
      </c>
      <c r="M67" s="400" t="s">
        <v>354</v>
      </c>
      <c r="N67" s="399" t="s">
        <v>847</v>
      </c>
      <c r="O67" s="957" t="s">
        <v>1209</v>
      </c>
      <c r="P67" s="401" t="s">
        <v>996</v>
      </c>
      <c r="Q67" s="402">
        <v>1624.4</v>
      </c>
      <c r="R67" s="402"/>
      <c r="S67" s="622">
        <v>27</v>
      </c>
      <c r="T67" s="622">
        <v>27</v>
      </c>
      <c r="U67" s="622">
        <v>12.7</v>
      </c>
      <c r="V67" s="622">
        <v>1632.7</v>
      </c>
      <c r="W67" s="403">
        <v>335</v>
      </c>
      <c r="X67" s="404">
        <f t="shared" si="5"/>
        <v>3.7100063503583556</v>
      </c>
      <c r="Y67" s="397">
        <f t="shared" ref="Y67:Y112" si="8">(Q67/60*W67)*1.2</f>
        <v>10883.480000000001</v>
      </c>
      <c r="AB67" s="917">
        <f t="shared" ref="AB67:AB112" si="9">V67-Q67</f>
        <v>8.2999999999999545</v>
      </c>
    </row>
    <row r="68" spans="1:28" s="397" customFormat="1" ht="16.399999999999999" customHeight="1">
      <c r="A68" s="397" t="s">
        <v>350</v>
      </c>
      <c r="B68" s="398" t="s">
        <v>693</v>
      </c>
      <c r="C68" s="398" t="s">
        <v>685</v>
      </c>
      <c r="D68" s="398" t="s">
        <v>908</v>
      </c>
      <c r="E68" s="398" t="s">
        <v>909</v>
      </c>
      <c r="F68" s="398" t="s">
        <v>45</v>
      </c>
      <c r="G68" s="399">
        <v>12</v>
      </c>
      <c r="H68" s="399"/>
      <c r="I68" s="399">
        <v>8</v>
      </c>
      <c r="J68" s="399">
        <f t="shared" si="7"/>
        <v>728</v>
      </c>
      <c r="K68" s="399">
        <f t="shared" si="6"/>
        <v>12.133333333333333</v>
      </c>
      <c r="L68" s="399" t="s">
        <v>356</v>
      </c>
      <c r="M68" s="400" t="s">
        <v>354</v>
      </c>
      <c r="N68" s="399" t="s">
        <v>932</v>
      </c>
      <c r="O68" s="957" t="s">
        <v>1209</v>
      </c>
      <c r="P68" s="401" t="s">
        <v>997</v>
      </c>
      <c r="Q68" s="402">
        <v>728.4</v>
      </c>
      <c r="R68" s="402"/>
      <c r="S68" s="622">
        <v>13</v>
      </c>
      <c r="T68" s="622">
        <v>12</v>
      </c>
      <c r="U68" s="622">
        <v>10.3</v>
      </c>
      <c r="V68" s="622">
        <v>730.3</v>
      </c>
      <c r="W68" s="403">
        <v>305</v>
      </c>
      <c r="X68" s="404">
        <f t="shared" si="5"/>
        <v>-23.505815113852861</v>
      </c>
      <c r="Y68" s="397">
        <f t="shared" si="8"/>
        <v>4443.24</v>
      </c>
      <c r="AB68" s="917">
        <f t="shared" si="9"/>
        <v>1.8999999999999773</v>
      </c>
    </row>
    <row r="69" spans="1:28" s="397" customFormat="1" ht="16.399999999999999" customHeight="1">
      <c r="A69" s="397" t="s">
        <v>350</v>
      </c>
      <c r="B69" s="398" t="s">
        <v>693</v>
      </c>
      <c r="C69" s="398" t="s">
        <v>685</v>
      </c>
      <c r="D69" s="398" t="s">
        <v>908</v>
      </c>
      <c r="E69" s="398" t="s">
        <v>909</v>
      </c>
      <c r="F69" s="398" t="s">
        <v>44</v>
      </c>
      <c r="G69" s="399">
        <v>5</v>
      </c>
      <c r="H69" s="399"/>
      <c r="I69" s="399">
        <v>22</v>
      </c>
      <c r="J69" s="399">
        <f t="shared" si="7"/>
        <v>322</v>
      </c>
      <c r="K69" s="399">
        <f t="shared" si="6"/>
        <v>5.3666666666666663</v>
      </c>
      <c r="L69" s="399" t="s">
        <v>56</v>
      </c>
      <c r="M69" s="400" t="s">
        <v>354</v>
      </c>
      <c r="N69" s="399" t="s">
        <v>847</v>
      </c>
      <c r="O69" s="957" t="s">
        <v>1209</v>
      </c>
      <c r="P69" s="401" t="s">
        <v>998</v>
      </c>
      <c r="Q69" s="402">
        <v>321.3</v>
      </c>
      <c r="R69" s="402"/>
      <c r="S69" s="622">
        <v>6</v>
      </c>
      <c r="T69" s="622">
        <v>5</v>
      </c>
      <c r="U69" s="622">
        <v>24.6</v>
      </c>
      <c r="V69" s="622">
        <v>324.60000000000002</v>
      </c>
      <c r="W69" s="403">
        <v>335</v>
      </c>
      <c r="X69" s="404">
        <f t="shared" si="5"/>
        <v>3.7100063503583556</v>
      </c>
      <c r="Y69" s="397">
        <f t="shared" si="8"/>
        <v>2152.71</v>
      </c>
      <c r="AB69" s="917">
        <f t="shared" si="9"/>
        <v>3.3000000000000114</v>
      </c>
    </row>
    <row r="70" spans="1:28" s="397" customFormat="1" ht="16.399999999999999" customHeight="1">
      <c r="A70" s="397" t="s">
        <v>350</v>
      </c>
      <c r="B70" s="398" t="s">
        <v>999</v>
      </c>
      <c r="C70" s="398" t="s">
        <v>237</v>
      </c>
      <c r="D70" s="398" t="s">
        <v>908</v>
      </c>
      <c r="E70" s="398" t="s">
        <v>909</v>
      </c>
      <c r="F70" s="398" t="s">
        <v>51</v>
      </c>
      <c r="G70" s="399">
        <v>85</v>
      </c>
      <c r="H70" s="399"/>
      <c r="I70" s="399">
        <v>23</v>
      </c>
      <c r="J70" s="399">
        <f t="shared" si="7"/>
        <v>5123</v>
      </c>
      <c r="K70" s="399">
        <f t="shared" si="6"/>
        <v>85.38333333333334</v>
      </c>
      <c r="L70" s="399" t="s">
        <v>56</v>
      </c>
      <c r="M70" s="400" t="s">
        <v>354</v>
      </c>
      <c r="N70" s="399" t="s">
        <v>847</v>
      </c>
      <c r="O70" s="957" t="s">
        <v>1209</v>
      </c>
      <c r="P70" s="401" t="s">
        <v>1000</v>
      </c>
      <c r="Q70" s="402">
        <v>5109.5</v>
      </c>
      <c r="R70" s="402"/>
      <c r="S70" s="622">
        <v>86</v>
      </c>
      <c r="T70" s="622">
        <v>85</v>
      </c>
      <c r="U70" s="622">
        <v>21.6</v>
      </c>
      <c r="V70" s="622">
        <v>5121.6000000000004</v>
      </c>
      <c r="W70" s="403">
        <v>270</v>
      </c>
      <c r="X70" s="404">
        <f t="shared" si="5"/>
        <v>-55.257606822099262</v>
      </c>
      <c r="Y70" s="397">
        <f t="shared" si="8"/>
        <v>27591.3</v>
      </c>
      <c r="AB70" s="917">
        <f t="shared" si="9"/>
        <v>12.100000000000364</v>
      </c>
    </row>
    <row r="71" spans="1:28" s="397" customFormat="1" ht="16.399999999999999" customHeight="1">
      <c r="A71" s="397" t="s">
        <v>350</v>
      </c>
      <c r="B71" s="398" t="s">
        <v>999</v>
      </c>
      <c r="C71" s="398" t="s">
        <v>237</v>
      </c>
      <c r="D71" s="398" t="s">
        <v>908</v>
      </c>
      <c r="E71" s="398" t="s">
        <v>909</v>
      </c>
      <c r="F71" s="398" t="s">
        <v>52</v>
      </c>
      <c r="G71" s="399">
        <v>6</v>
      </c>
      <c r="H71" s="399"/>
      <c r="I71" s="399">
        <v>20</v>
      </c>
      <c r="J71" s="399">
        <f t="shared" si="7"/>
        <v>380</v>
      </c>
      <c r="K71" s="399">
        <f t="shared" si="6"/>
        <v>6.333333333333333</v>
      </c>
      <c r="L71" s="399" t="s">
        <v>62</v>
      </c>
      <c r="M71" s="400" t="s">
        <v>856</v>
      </c>
      <c r="N71" s="399" t="s">
        <v>972</v>
      </c>
      <c r="O71" s="957" t="s">
        <v>1207</v>
      </c>
      <c r="P71" s="401" t="s">
        <v>1001</v>
      </c>
      <c r="Q71" s="402">
        <v>371.4</v>
      </c>
      <c r="R71" s="402"/>
      <c r="S71" s="622">
        <v>7</v>
      </c>
      <c r="T71" s="622">
        <v>6</v>
      </c>
      <c r="U71" s="622">
        <v>20.7</v>
      </c>
      <c r="V71" s="622">
        <v>380.7</v>
      </c>
      <c r="W71" s="403">
        <v>230</v>
      </c>
      <c r="X71" s="404">
        <f t="shared" si="5"/>
        <v>-91.545368774380847</v>
      </c>
      <c r="Y71" s="397">
        <f t="shared" si="8"/>
        <v>1708.4399999999998</v>
      </c>
      <c r="AB71" s="917">
        <f t="shared" si="9"/>
        <v>9.3000000000000114</v>
      </c>
    </row>
    <row r="72" spans="1:28" s="397" customFormat="1" ht="16.399999999999999" customHeight="1">
      <c r="A72" s="397" t="s">
        <v>350</v>
      </c>
      <c r="B72" s="398" t="s">
        <v>372</v>
      </c>
      <c r="C72" s="398" t="s">
        <v>694</v>
      </c>
      <c r="D72" s="398" t="s">
        <v>908</v>
      </c>
      <c r="E72" s="398" t="s">
        <v>909</v>
      </c>
      <c r="F72" s="398" t="s">
        <v>42</v>
      </c>
      <c r="G72" s="399">
        <v>22</v>
      </c>
      <c r="H72" s="399"/>
      <c r="I72" s="399">
        <v>40</v>
      </c>
      <c r="J72" s="399">
        <f t="shared" si="7"/>
        <v>1360</v>
      </c>
      <c r="K72" s="399">
        <f t="shared" si="6"/>
        <v>22.666666666666668</v>
      </c>
      <c r="L72" s="399" t="s">
        <v>45</v>
      </c>
      <c r="M72" s="400" t="s">
        <v>354</v>
      </c>
      <c r="N72" s="399" t="s">
        <v>434</v>
      </c>
      <c r="O72" s="957" t="s">
        <v>1209</v>
      </c>
      <c r="P72" s="401" t="s">
        <v>1002</v>
      </c>
      <c r="Q72" s="402">
        <v>1362.6</v>
      </c>
      <c r="R72" s="402"/>
      <c r="S72" s="622">
        <v>23</v>
      </c>
      <c r="T72" s="622">
        <v>22</v>
      </c>
      <c r="U72" s="622">
        <v>46.3</v>
      </c>
      <c r="V72" s="622">
        <v>1366.3</v>
      </c>
      <c r="W72" s="403">
        <v>340</v>
      </c>
      <c r="X72" s="404">
        <f t="shared" si="5"/>
        <v>8.2459765943935395</v>
      </c>
      <c r="Y72" s="397">
        <f t="shared" si="8"/>
        <v>9265.6799999999985</v>
      </c>
      <c r="AB72" s="917">
        <f t="shared" si="9"/>
        <v>3.7000000000000455</v>
      </c>
    </row>
    <row r="73" spans="1:28" s="397" customFormat="1" ht="16.399999999999999" customHeight="1">
      <c r="A73" s="397" t="s">
        <v>350</v>
      </c>
      <c r="B73" s="398" t="s">
        <v>372</v>
      </c>
      <c r="C73" s="398" t="s">
        <v>694</v>
      </c>
      <c r="D73" s="398" t="s">
        <v>908</v>
      </c>
      <c r="E73" s="398" t="s">
        <v>909</v>
      </c>
      <c r="F73" s="398" t="s">
        <v>43</v>
      </c>
      <c r="G73" s="399">
        <v>30</v>
      </c>
      <c r="H73" s="399"/>
      <c r="I73" s="399">
        <v>41</v>
      </c>
      <c r="J73" s="399">
        <f t="shared" si="7"/>
        <v>1841</v>
      </c>
      <c r="K73" s="399">
        <f t="shared" si="6"/>
        <v>30.683333333333334</v>
      </c>
      <c r="L73" s="399" t="s">
        <v>45</v>
      </c>
      <c r="M73" s="400" t="s">
        <v>354</v>
      </c>
      <c r="N73" s="399" t="s">
        <v>697</v>
      </c>
      <c r="O73" s="957" t="s">
        <v>1209</v>
      </c>
      <c r="P73" s="401" t="s">
        <v>1003</v>
      </c>
      <c r="Q73" s="402">
        <v>1845</v>
      </c>
      <c r="R73" s="402"/>
      <c r="S73" s="622">
        <v>31</v>
      </c>
      <c r="T73" s="622">
        <v>30</v>
      </c>
      <c r="U73" s="622">
        <v>58.1</v>
      </c>
      <c r="V73" s="622">
        <v>1858.1</v>
      </c>
      <c r="W73" s="403">
        <v>335</v>
      </c>
      <c r="X73" s="404">
        <f t="shared" si="5"/>
        <v>3.7100063503583556</v>
      </c>
      <c r="Y73" s="397">
        <f t="shared" si="8"/>
        <v>12361.5</v>
      </c>
      <c r="AB73" s="917">
        <f t="shared" si="9"/>
        <v>13.099999999999909</v>
      </c>
    </row>
    <row r="74" spans="1:28" s="397" customFormat="1" ht="16.399999999999999" customHeight="1">
      <c r="A74" s="397" t="s">
        <v>350</v>
      </c>
      <c r="B74" s="398" t="s">
        <v>372</v>
      </c>
      <c r="C74" s="398" t="s">
        <v>694</v>
      </c>
      <c r="D74" s="398" t="s">
        <v>908</v>
      </c>
      <c r="E74" s="398" t="s">
        <v>909</v>
      </c>
      <c r="F74" s="398" t="s">
        <v>44</v>
      </c>
      <c r="G74" s="399">
        <v>3</v>
      </c>
      <c r="H74" s="399"/>
      <c r="I74" s="399">
        <v>45</v>
      </c>
      <c r="J74" s="399">
        <f t="shared" si="7"/>
        <v>225</v>
      </c>
      <c r="K74" s="399">
        <f t="shared" si="6"/>
        <v>3.75</v>
      </c>
      <c r="L74" s="399" t="s">
        <v>45</v>
      </c>
      <c r="M74" s="400" t="s">
        <v>354</v>
      </c>
      <c r="N74" s="399" t="s">
        <v>697</v>
      </c>
      <c r="O74" s="957" t="s">
        <v>1209</v>
      </c>
      <c r="P74" s="401" t="s">
        <v>1004</v>
      </c>
      <c r="Q74" s="402">
        <v>225.7</v>
      </c>
      <c r="R74" s="402"/>
      <c r="S74" s="622">
        <v>4</v>
      </c>
      <c r="T74" s="622">
        <v>3</v>
      </c>
      <c r="U74" s="622">
        <v>46.4</v>
      </c>
      <c r="V74" s="622">
        <v>226.4</v>
      </c>
      <c r="W74" s="403">
        <v>335</v>
      </c>
      <c r="X74" s="404">
        <f t="shared" si="5"/>
        <v>3.7100063503583556</v>
      </c>
      <c r="Y74" s="397">
        <f t="shared" si="8"/>
        <v>1512.1899999999998</v>
      </c>
      <c r="AB74" s="917">
        <f t="shared" si="9"/>
        <v>0.70000000000001705</v>
      </c>
    </row>
    <row r="75" spans="1:28" s="397" customFormat="1" ht="16.399999999999999" customHeight="1">
      <c r="A75" s="397" t="s">
        <v>350</v>
      </c>
      <c r="B75" s="398" t="s">
        <v>373</v>
      </c>
      <c r="C75" s="398" t="s">
        <v>233</v>
      </c>
      <c r="D75" s="398" t="s">
        <v>908</v>
      </c>
      <c r="E75" s="398" t="s">
        <v>909</v>
      </c>
      <c r="F75" s="398" t="s">
        <v>43</v>
      </c>
      <c r="G75" s="399">
        <v>40</v>
      </c>
      <c r="H75" s="399"/>
      <c r="I75" s="399">
        <v>26</v>
      </c>
      <c r="J75" s="399">
        <f t="shared" si="7"/>
        <v>2426</v>
      </c>
      <c r="K75" s="399">
        <f t="shared" si="6"/>
        <v>40.43333333333333</v>
      </c>
      <c r="L75" s="399" t="s">
        <v>45</v>
      </c>
      <c r="M75" s="400" t="s">
        <v>354</v>
      </c>
      <c r="N75" s="399" t="s">
        <v>697</v>
      </c>
      <c r="O75" s="957" t="s">
        <v>1209</v>
      </c>
      <c r="P75" s="401">
        <v>70376</v>
      </c>
      <c r="Q75" s="402">
        <v>2423.1</v>
      </c>
      <c r="R75" s="402"/>
      <c r="S75" s="622">
        <v>41</v>
      </c>
      <c r="T75" s="622">
        <v>40</v>
      </c>
      <c r="U75" s="622">
        <v>40.1</v>
      </c>
      <c r="V75" s="622">
        <v>2440.1</v>
      </c>
      <c r="W75" s="403">
        <v>335</v>
      </c>
      <c r="X75" s="404">
        <f t="shared" si="5"/>
        <v>3.7100063503583556</v>
      </c>
      <c r="Y75" s="397">
        <f t="shared" si="8"/>
        <v>16234.769999999997</v>
      </c>
      <c r="AB75" s="917">
        <f t="shared" si="9"/>
        <v>17</v>
      </c>
    </row>
    <row r="76" spans="1:28" s="397" customFormat="1" ht="16.399999999999999" customHeight="1">
      <c r="A76" s="397" t="s">
        <v>350</v>
      </c>
      <c r="B76" s="398" t="s">
        <v>373</v>
      </c>
      <c r="C76" s="398" t="s">
        <v>233</v>
      </c>
      <c r="D76" s="398" t="s">
        <v>908</v>
      </c>
      <c r="E76" s="398" t="s">
        <v>909</v>
      </c>
      <c r="F76" s="398" t="s">
        <v>45</v>
      </c>
      <c r="G76" s="399">
        <v>9</v>
      </c>
      <c r="H76" s="399"/>
      <c r="I76" s="399">
        <v>24</v>
      </c>
      <c r="J76" s="399">
        <f t="shared" si="7"/>
        <v>564</v>
      </c>
      <c r="K76" s="399">
        <f t="shared" si="6"/>
        <v>9.4</v>
      </c>
      <c r="L76" s="399" t="s">
        <v>56</v>
      </c>
      <c r="M76" s="400" t="s">
        <v>354</v>
      </c>
      <c r="N76" s="399" t="s">
        <v>847</v>
      </c>
      <c r="O76" s="957" t="s">
        <v>1209</v>
      </c>
      <c r="P76" s="401">
        <v>70377</v>
      </c>
      <c r="Q76" s="402">
        <v>564</v>
      </c>
      <c r="R76" s="402"/>
      <c r="S76" s="622">
        <v>10</v>
      </c>
      <c r="T76" s="622">
        <v>9</v>
      </c>
      <c r="U76" s="622">
        <v>28</v>
      </c>
      <c r="V76" s="622">
        <v>568</v>
      </c>
      <c r="W76" s="403">
        <v>310</v>
      </c>
      <c r="X76" s="404">
        <f t="shared" si="5"/>
        <v>-18.969844869817678</v>
      </c>
      <c r="Y76" s="397">
        <f t="shared" si="8"/>
        <v>3496.7999999999997</v>
      </c>
      <c r="AB76" s="917">
        <f t="shared" si="9"/>
        <v>4</v>
      </c>
    </row>
    <row r="77" spans="1:28" s="397" customFormat="1" ht="16.399999999999999" customHeight="1">
      <c r="A77" s="397" t="s">
        <v>350</v>
      </c>
      <c r="B77" s="398" t="s">
        <v>695</v>
      </c>
      <c r="C77" s="398" t="s">
        <v>682</v>
      </c>
      <c r="D77" s="398" t="s">
        <v>908</v>
      </c>
      <c r="E77" s="398" t="s">
        <v>909</v>
      </c>
      <c r="F77" s="398" t="s">
        <v>42</v>
      </c>
      <c r="G77" s="399">
        <v>32</v>
      </c>
      <c r="H77" s="399"/>
      <c r="I77" s="399">
        <v>23</v>
      </c>
      <c r="J77" s="399">
        <f t="shared" si="7"/>
        <v>1943</v>
      </c>
      <c r="K77" s="399">
        <f t="shared" si="6"/>
        <v>32.383333333333333</v>
      </c>
      <c r="L77" s="399" t="s">
        <v>45</v>
      </c>
      <c r="M77" s="400" t="s">
        <v>354</v>
      </c>
      <c r="N77" s="399" t="s">
        <v>434</v>
      </c>
      <c r="O77" s="957" t="s">
        <v>1209</v>
      </c>
      <c r="P77" s="401" t="s">
        <v>1005</v>
      </c>
      <c r="Q77" s="402">
        <v>1937</v>
      </c>
      <c r="R77" s="402"/>
      <c r="S77" s="622">
        <v>33</v>
      </c>
      <c r="T77" s="622">
        <v>32</v>
      </c>
      <c r="U77" s="622">
        <v>23.3</v>
      </c>
      <c r="V77" s="622">
        <v>1943.3</v>
      </c>
      <c r="W77" s="403">
        <v>340</v>
      </c>
      <c r="X77" s="404">
        <f t="shared" si="5"/>
        <v>8.2459765943935395</v>
      </c>
      <c r="Y77" s="397">
        <f t="shared" si="8"/>
        <v>13171.599999999999</v>
      </c>
      <c r="AB77" s="917">
        <f t="shared" si="9"/>
        <v>6.2999999999999545</v>
      </c>
    </row>
    <row r="78" spans="1:28" s="397" customFormat="1" ht="16.399999999999999" customHeight="1">
      <c r="A78" s="397" t="s">
        <v>350</v>
      </c>
      <c r="B78" s="398" t="s">
        <v>695</v>
      </c>
      <c r="C78" s="398" t="s">
        <v>238</v>
      </c>
      <c r="D78" s="398" t="s">
        <v>908</v>
      </c>
      <c r="E78" s="398" t="s">
        <v>909</v>
      </c>
      <c r="F78" s="398" t="s">
        <v>43</v>
      </c>
      <c r="G78" s="399">
        <v>46</v>
      </c>
      <c r="H78" s="399"/>
      <c r="I78" s="399">
        <v>7</v>
      </c>
      <c r="J78" s="399">
        <f t="shared" si="7"/>
        <v>2767</v>
      </c>
      <c r="K78" s="399">
        <f t="shared" si="6"/>
        <v>46.116666666666667</v>
      </c>
      <c r="L78" s="399" t="s">
        <v>45</v>
      </c>
      <c r="M78" s="400" t="s">
        <v>354</v>
      </c>
      <c r="N78" s="399" t="s">
        <v>697</v>
      </c>
      <c r="O78" s="957" t="s">
        <v>1209</v>
      </c>
      <c r="P78" s="401" t="s">
        <v>1006</v>
      </c>
      <c r="Q78" s="402">
        <v>2738.2</v>
      </c>
      <c r="R78" s="402"/>
      <c r="S78" s="622">
        <v>47</v>
      </c>
      <c r="T78" s="622">
        <v>45</v>
      </c>
      <c r="U78" s="622">
        <v>45.7</v>
      </c>
      <c r="V78" s="622">
        <v>2745.7</v>
      </c>
      <c r="W78" s="403">
        <v>335</v>
      </c>
      <c r="X78" s="404">
        <f t="shared" si="5"/>
        <v>3.7100063503583556</v>
      </c>
      <c r="Y78" s="397">
        <f t="shared" si="8"/>
        <v>18345.939999999999</v>
      </c>
      <c r="AB78" s="917">
        <f t="shared" si="9"/>
        <v>7.5</v>
      </c>
    </row>
    <row r="79" spans="1:28" s="397" customFormat="1" ht="16.399999999999999" customHeight="1">
      <c r="A79" s="397" t="s">
        <v>350</v>
      </c>
      <c r="B79" s="398" t="s">
        <v>695</v>
      </c>
      <c r="C79" s="398" t="s">
        <v>682</v>
      </c>
      <c r="D79" s="398" t="s">
        <v>908</v>
      </c>
      <c r="E79" s="398" t="s">
        <v>909</v>
      </c>
      <c r="F79" s="398" t="s">
        <v>45</v>
      </c>
      <c r="G79" s="399">
        <v>15</v>
      </c>
      <c r="H79" s="399"/>
      <c r="I79" s="399">
        <v>7</v>
      </c>
      <c r="J79" s="399">
        <f t="shared" si="7"/>
        <v>907</v>
      </c>
      <c r="K79" s="399">
        <f t="shared" si="6"/>
        <v>15.116666666666667</v>
      </c>
      <c r="L79" s="399" t="s">
        <v>56</v>
      </c>
      <c r="M79" s="400" t="s">
        <v>354</v>
      </c>
      <c r="N79" s="399" t="s">
        <v>847</v>
      </c>
      <c r="O79" s="957" t="s">
        <v>1209</v>
      </c>
      <c r="P79" s="401" t="s">
        <v>1007</v>
      </c>
      <c r="Q79" s="402">
        <v>900.3</v>
      </c>
      <c r="R79" s="402"/>
      <c r="S79" s="622">
        <v>16</v>
      </c>
      <c r="T79" s="622">
        <v>15</v>
      </c>
      <c r="U79" s="622">
        <v>4.5999999999999996</v>
      </c>
      <c r="V79" s="622">
        <v>904.6</v>
      </c>
      <c r="W79" s="403">
        <v>310</v>
      </c>
      <c r="X79" s="404">
        <f t="shared" si="5"/>
        <v>-18.969844869817678</v>
      </c>
      <c r="Y79" s="397">
        <f t="shared" si="8"/>
        <v>5581.8599999999988</v>
      </c>
      <c r="AB79" s="917">
        <f t="shared" si="9"/>
        <v>4.3000000000000682</v>
      </c>
    </row>
    <row r="80" spans="1:28" s="397" customFormat="1" ht="16.399999999999999" customHeight="1">
      <c r="A80" s="397" t="s">
        <v>350</v>
      </c>
      <c r="B80" s="398" t="s">
        <v>695</v>
      </c>
      <c r="C80" s="398" t="s">
        <v>238</v>
      </c>
      <c r="D80" s="398" t="s">
        <v>908</v>
      </c>
      <c r="E80" s="398" t="s">
        <v>909</v>
      </c>
      <c r="F80" s="398" t="s">
        <v>44</v>
      </c>
      <c r="G80" s="399">
        <v>6</v>
      </c>
      <c r="H80" s="399"/>
      <c r="I80" s="399">
        <v>24</v>
      </c>
      <c r="J80" s="399">
        <f t="shared" si="7"/>
        <v>384</v>
      </c>
      <c r="K80" s="399">
        <f t="shared" si="6"/>
        <v>6.4</v>
      </c>
      <c r="L80" s="399" t="s">
        <v>45</v>
      </c>
      <c r="M80" s="400" t="s">
        <v>354</v>
      </c>
      <c r="N80" s="399" t="s">
        <v>697</v>
      </c>
      <c r="O80" s="957" t="s">
        <v>1209</v>
      </c>
      <c r="P80" s="401" t="s">
        <v>1008</v>
      </c>
      <c r="Q80" s="402">
        <v>381.4</v>
      </c>
      <c r="R80" s="402"/>
      <c r="S80" s="622">
        <v>7</v>
      </c>
      <c r="T80" s="622">
        <v>6</v>
      </c>
      <c r="U80" s="622">
        <v>22.7</v>
      </c>
      <c r="V80" s="622">
        <v>382.7</v>
      </c>
      <c r="W80" s="403">
        <v>335</v>
      </c>
      <c r="X80" s="404">
        <f t="shared" si="5"/>
        <v>3.7100063503583556</v>
      </c>
      <c r="Y80" s="397">
        <f t="shared" si="8"/>
        <v>2555.3799999999997</v>
      </c>
      <c r="AB80" s="917">
        <f t="shared" si="9"/>
        <v>1.3000000000000114</v>
      </c>
    </row>
    <row r="81" spans="1:28" s="397" customFormat="1" ht="16.399999999999999" customHeight="1">
      <c r="A81" s="397" t="s">
        <v>350</v>
      </c>
      <c r="B81" s="398" t="s">
        <v>376</v>
      </c>
      <c r="C81" s="398" t="s">
        <v>239</v>
      </c>
      <c r="D81" s="398" t="s">
        <v>908</v>
      </c>
      <c r="E81" s="398" t="s">
        <v>909</v>
      </c>
      <c r="F81" s="398" t="s">
        <v>42</v>
      </c>
      <c r="G81" s="399">
        <v>54</v>
      </c>
      <c r="H81" s="399"/>
      <c r="I81" s="399">
        <v>26</v>
      </c>
      <c r="J81" s="399">
        <f t="shared" si="7"/>
        <v>3266</v>
      </c>
      <c r="K81" s="399">
        <f t="shared" si="6"/>
        <v>54.43333333333333</v>
      </c>
      <c r="L81" s="399" t="s">
        <v>45</v>
      </c>
      <c r="M81" s="400" t="s">
        <v>354</v>
      </c>
      <c r="N81" s="399" t="s">
        <v>434</v>
      </c>
      <c r="O81" s="957" t="s">
        <v>1209</v>
      </c>
      <c r="P81" s="401" t="s">
        <v>1009</v>
      </c>
      <c r="Q81" s="402">
        <v>3244.2</v>
      </c>
      <c r="R81" s="402"/>
      <c r="S81" s="622">
        <v>55</v>
      </c>
      <c r="T81" s="622">
        <v>54</v>
      </c>
      <c r="U81" s="622">
        <v>25.5</v>
      </c>
      <c r="V81" s="622">
        <v>3265.5</v>
      </c>
      <c r="W81" s="403">
        <v>340</v>
      </c>
      <c r="X81" s="404">
        <f t="shared" si="5"/>
        <v>8.2459765943935395</v>
      </c>
      <c r="Y81" s="397">
        <f t="shared" si="8"/>
        <v>22060.559999999998</v>
      </c>
      <c r="AB81" s="917">
        <f t="shared" si="9"/>
        <v>21.300000000000182</v>
      </c>
    </row>
    <row r="82" spans="1:28" s="397" customFormat="1" ht="16.399999999999999" customHeight="1">
      <c r="A82" s="397" t="s">
        <v>350</v>
      </c>
      <c r="B82" s="398" t="s">
        <v>376</v>
      </c>
      <c r="C82" s="398" t="s">
        <v>239</v>
      </c>
      <c r="D82" s="398" t="s">
        <v>908</v>
      </c>
      <c r="E82" s="398" t="s">
        <v>909</v>
      </c>
      <c r="F82" s="398" t="s">
        <v>43</v>
      </c>
      <c r="G82" s="399">
        <v>73</v>
      </c>
      <c r="H82" s="399"/>
      <c r="I82" s="399">
        <v>11</v>
      </c>
      <c r="J82" s="399">
        <f t="shared" si="7"/>
        <v>4391</v>
      </c>
      <c r="K82" s="399">
        <f t="shared" si="6"/>
        <v>73.183333333333337</v>
      </c>
      <c r="L82" s="399" t="s">
        <v>45</v>
      </c>
      <c r="M82" s="400" t="s">
        <v>354</v>
      </c>
      <c r="N82" s="399" t="s">
        <v>697</v>
      </c>
      <c r="O82" s="957" t="s">
        <v>1209</v>
      </c>
      <c r="P82" s="401" t="s">
        <v>1010</v>
      </c>
      <c r="Q82" s="402">
        <v>4361.8</v>
      </c>
      <c r="R82" s="402"/>
      <c r="S82" s="622">
        <v>74</v>
      </c>
      <c r="T82" s="622">
        <v>73</v>
      </c>
      <c r="U82" s="622">
        <v>14.4</v>
      </c>
      <c r="V82" s="622">
        <v>4394.3999999999996</v>
      </c>
      <c r="W82" s="403">
        <v>335</v>
      </c>
      <c r="X82" s="404">
        <f t="shared" si="5"/>
        <v>3.7100063503583556</v>
      </c>
      <c r="Y82" s="397">
        <f t="shared" si="8"/>
        <v>29224.06</v>
      </c>
      <c r="AB82" s="917">
        <f t="shared" si="9"/>
        <v>32.599999999999454</v>
      </c>
    </row>
    <row r="83" spans="1:28" s="397" customFormat="1" ht="16.399999999999999" customHeight="1">
      <c r="A83" s="397" t="s">
        <v>350</v>
      </c>
      <c r="B83" s="398" t="s">
        <v>377</v>
      </c>
      <c r="C83" s="398" t="s">
        <v>233</v>
      </c>
      <c r="D83" s="398" t="s">
        <v>908</v>
      </c>
      <c r="E83" s="398" t="s">
        <v>909</v>
      </c>
      <c r="F83" s="398" t="s">
        <v>42</v>
      </c>
      <c r="G83" s="399">
        <v>78</v>
      </c>
      <c r="H83" s="399"/>
      <c r="I83" s="399">
        <v>36</v>
      </c>
      <c r="J83" s="399">
        <f t="shared" si="7"/>
        <v>4716</v>
      </c>
      <c r="K83" s="399">
        <f t="shared" si="6"/>
        <v>78.599999999999994</v>
      </c>
      <c r="L83" s="399" t="s">
        <v>54</v>
      </c>
      <c r="M83" s="400" t="s">
        <v>354</v>
      </c>
      <c r="N83" s="399" t="s">
        <v>434</v>
      </c>
      <c r="O83" s="957" t="s">
        <v>1209</v>
      </c>
      <c r="P83" s="401">
        <v>70378</v>
      </c>
      <c r="Q83" s="402">
        <v>4681.2</v>
      </c>
      <c r="R83" s="402"/>
      <c r="S83" s="622">
        <v>79</v>
      </c>
      <c r="T83" s="622">
        <v>78</v>
      </c>
      <c r="U83" s="622">
        <v>22.9</v>
      </c>
      <c r="V83" s="622">
        <v>4702.8999999999996</v>
      </c>
      <c r="W83" s="403">
        <v>340</v>
      </c>
      <c r="X83" s="404">
        <f t="shared" si="5"/>
        <v>8.2459765943935395</v>
      </c>
      <c r="Y83" s="397">
        <f t="shared" si="8"/>
        <v>31832.159999999996</v>
      </c>
      <c r="AB83" s="917">
        <f t="shared" si="9"/>
        <v>21.699999999999818</v>
      </c>
    </row>
    <row r="84" spans="1:28" s="397" customFormat="1" ht="16.399999999999999" customHeight="1">
      <c r="A84" s="397" t="s">
        <v>350</v>
      </c>
      <c r="B84" s="398" t="s">
        <v>377</v>
      </c>
      <c r="C84" s="398" t="s">
        <v>233</v>
      </c>
      <c r="D84" s="398" t="s">
        <v>908</v>
      </c>
      <c r="E84" s="398" t="s">
        <v>909</v>
      </c>
      <c r="F84" s="398" t="s">
        <v>43</v>
      </c>
      <c r="G84" s="399">
        <v>80</v>
      </c>
      <c r="H84" s="399"/>
      <c r="I84" s="399">
        <v>32</v>
      </c>
      <c r="J84" s="399">
        <f t="shared" si="7"/>
        <v>4832</v>
      </c>
      <c r="K84" s="399">
        <f t="shared" si="6"/>
        <v>80.533333333333331</v>
      </c>
      <c r="L84" s="399" t="s">
        <v>54</v>
      </c>
      <c r="M84" s="400" t="s">
        <v>354</v>
      </c>
      <c r="N84" s="399" t="s">
        <v>697</v>
      </c>
      <c r="O84" s="957" t="s">
        <v>1209</v>
      </c>
      <c r="P84" s="401">
        <v>70379</v>
      </c>
      <c r="Q84" s="402">
        <v>4807.2</v>
      </c>
      <c r="R84" s="402"/>
      <c r="S84" s="622">
        <v>81</v>
      </c>
      <c r="T84" s="622">
        <v>80</v>
      </c>
      <c r="U84" s="622">
        <v>11.1</v>
      </c>
      <c r="V84" s="622">
        <v>4811.1000000000004</v>
      </c>
      <c r="W84" s="403">
        <v>335</v>
      </c>
      <c r="X84" s="404">
        <f t="shared" si="5"/>
        <v>3.7100063503583556</v>
      </c>
      <c r="Y84" s="397">
        <f t="shared" si="8"/>
        <v>32208.239999999994</v>
      </c>
      <c r="AB84" s="917">
        <f t="shared" si="9"/>
        <v>3.9000000000005457</v>
      </c>
    </row>
    <row r="85" spans="1:28" s="397" customFormat="1" ht="16.399999999999999" customHeight="1">
      <c r="A85" s="397" t="s">
        <v>350</v>
      </c>
      <c r="B85" s="398" t="s">
        <v>1011</v>
      </c>
      <c r="C85" s="398" t="s">
        <v>696</v>
      </c>
      <c r="D85" s="398" t="s">
        <v>908</v>
      </c>
      <c r="E85" s="398" t="s">
        <v>909</v>
      </c>
      <c r="F85" s="398" t="s">
        <v>42</v>
      </c>
      <c r="G85" s="399">
        <v>8</v>
      </c>
      <c r="H85" s="399"/>
      <c r="I85" s="399">
        <v>10</v>
      </c>
      <c r="J85" s="399">
        <f t="shared" si="7"/>
        <v>490</v>
      </c>
      <c r="K85" s="399">
        <f t="shared" si="6"/>
        <v>8.1666666666666661</v>
      </c>
      <c r="L85" s="399" t="s">
        <v>45</v>
      </c>
      <c r="M85" s="400" t="s">
        <v>354</v>
      </c>
      <c r="N85" s="399" t="s">
        <v>434</v>
      </c>
      <c r="O85" s="957" t="s">
        <v>1209</v>
      </c>
      <c r="P85" s="401" t="s">
        <v>1012</v>
      </c>
      <c r="Q85" s="402">
        <v>480</v>
      </c>
      <c r="R85" s="402"/>
      <c r="S85" s="622">
        <v>8</v>
      </c>
      <c r="T85" s="622">
        <v>8</v>
      </c>
      <c r="U85" s="622">
        <v>7.8</v>
      </c>
      <c r="V85" s="622">
        <v>487.8</v>
      </c>
      <c r="W85" s="403">
        <v>340</v>
      </c>
      <c r="X85" s="404">
        <f t="shared" si="5"/>
        <v>8.2459765943935395</v>
      </c>
      <c r="Y85" s="397">
        <f t="shared" si="8"/>
        <v>3264</v>
      </c>
      <c r="AB85" s="917">
        <f t="shared" si="9"/>
        <v>7.8000000000000114</v>
      </c>
    </row>
    <row r="86" spans="1:28" s="397" customFormat="1" ht="16.399999999999999" customHeight="1">
      <c r="A86" s="397" t="s">
        <v>350</v>
      </c>
      <c r="B86" s="398" t="s">
        <v>1011</v>
      </c>
      <c r="C86" s="398" t="s">
        <v>696</v>
      </c>
      <c r="D86" s="398" t="s">
        <v>908</v>
      </c>
      <c r="E86" s="398" t="s">
        <v>909</v>
      </c>
      <c r="F86" s="398" t="s">
        <v>43</v>
      </c>
      <c r="G86" s="399">
        <v>19</v>
      </c>
      <c r="H86" s="399"/>
      <c r="I86" s="399">
        <v>28</v>
      </c>
      <c r="J86" s="399">
        <f t="shared" si="7"/>
        <v>1168</v>
      </c>
      <c r="K86" s="399">
        <f t="shared" si="6"/>
        <v>19.466666666666665</v>
      </c>
      <c r="L86" s="399" t="s">
        <v>45</v>
      </c>
      <c r="M86" s="400" t="s">
        <v>354</v>
      </c>
      <c r="N86" s="399" t="s">
        <v>697</v>
      </c>
      <c r="O86" s="957" t="s">
        <v>1209</v>
      </c>
      <c r="P86" s="401" t="s">
        <v>1013</v>
      </c>
      <c r="Q86" s="402">
        <v>1156.0999999999999</v>
      </c>
      <c r="R86" s="402"/>
      <c r="S86" s="622">
        <v>20</v>
      </c>
      <c r="T86" s="622">
        <v>19</v>
      </c>
      <c r="U86" s="622">
        <v>29</v>
      </c>
      <c r="V86" s="622">
        <v>1169</v>
      </c>
      <c r="W86" s="403">
        <v>335</v>
      </c>
      <c r="X86" s="404">
        <f t="shared" si="5"/>
        <v>3.7100063503583556</v>
      </c>
      <c r="Y86" s="397">
        <f t="shared" si="8"/>
        <v>7745.8699999999981</v>
      </c>
      <c r="AB86" s="917">
        <f t="shared" si="9"/>
        <v>12.900000000000091</v>
      </c>
    </row>
    <row r="87" spans="1:28" s="397" customFormat="1" ht="16.399999999999999" customHeight="1">
      <c r="A87" s="397" t="s">
        <v>350</v>
      </c>
      <c r="B87" s="398" t="s">
        <v>1011</v>
      </c>
      <c r="C87" s="398" t="s">
        <v>696</v>
      </c>
      <c r="D87" s="398" t="s">
        <v>908</v>
      </c>
      <c r="E87" s="398" t="s">
        <v>909</v>
      </c>
      <c r="F87" s="398" t="s">
        <v>45</v>
      </c>
      <c r="G87" s="399">
        <v>8</v>
      </c>
      <c r="H87" s="399"/>
      <c r="I87" s="399">
        <v>28</v>
      </c>
      <c r="J87" s="399">
        <f t="shared" si="7"/>
        <v>508</v>
      </c>
      <c r="K87" s="399">
        <f t="shared" si="6"/>
        <v>8.4666666666666668</v>
      </c>
      <c r="L87" s="399" t="s">
        <v>54</v>
      </c>
      <c r="M87" s="400" t="s">
        <v>354</v>
      </c>
      <c r="N87" s="399" t="s">
        <v>435</v>
      </c>
      <c r="O87" s="957" t="s">
        <v>1209</v>
      </c>
      <c r="P87" s="401" t="s">
        <v>1014</v>
      </c>
      <c r="Q87" s="402">
        <v>497.2</v>
      </c>
      <c r="R87" s="402"/>
      <c r="S87" s="622">
        <v>9</v>
      </c>
      <c r="T87" s="622">
        <v>8</v>
      </c>
      <c r="U87" s="622">
        <v>25.9</v>
      </c>
      <c r="V87" s="622">
        <v>505.9</v>
      </c>
      <c r="W87" s="403">
        <v>310</v>
      </c>
      <c r="X87" s="404">
        <f t="shared" si="5"/>
        <v>-18.969844869817678</v>
      </c>
      <c r="Y87" s="397">
        <f t="shared" si="8"/>
        <v>3082.64</v>
      </c>
      <c r="AB87" s="917">
        <f t="shared" si="9"/>
        <v>8.6999999999999886</v>
      </c>
    </row>
    <row r="88" spans="1:28" s="397" customFormat="1" ht="16.399999999999999" customHeight="1">
      <c r="A88" s="397" t="s">
        <v>350</v>
      </c>
      <c r="B88" s="398" t="s">
        <v>1011</v>
      </c>
      <c r="C88" s="398" t="s">
        <v>239</v>
      </c>
      <c r="D88" s="398" t="s">
        <v>908</v>
      </c>
      <c r="E88" s="398" t="s">
        <v>909</v>
      </c>
      <c r="F88" s="398" t="s">
        <v>44</v>
      </c>
      <c r="G88" s="399">
        <v>1</v>
      </c>
      <c r="H88" s="399"/>
      <c r="I88" s="399">
        <v>62</v>
      </c>
      <c r="J88" s="399">
        <f t="shared" si="7"/>
        <v>122</v>
      </c>
      <c r="K88" s="399">
        <f t="shared" si="6"/>
        <v>2.0333333333333332</v>
      </c>
      <c r="L88" s="399" t="s">
        <v>45</v>
      </c>
      <c r="M88" s="400" t="s">
        <v>354</v>
      </c>
      <c r="N88" s="399" t="s">
        <v>697</v>
      </c>
      <c r="O88" s="957" t="s">
        <v>1209</v>
      </c>
      <c r="P88" s="401" t="s">
        <v>1015</v>
      </c>
      <c r="Q88" s="402">
        <v>122.1</v>
      </c>
      <c r="R88" s="402"/>
      <c r="S88" s="626">
        <v>2</v>
      </c>
      <c r="T88" s="622">
        <v>2</v>
      </c>
      <c r="U88" s="622">
        <v>2.2000000000000002</v>
      </c>
      <c r="V88" s="622">
        <v>122.2</v>
      </c>
      <c r="W88" s="403">
        <v>335</v>
      </c>
      <c r="X88" s="404">
        <f t="shared" si="5"/>
        <v>3.7100063503583556</v>
      </c>
      <c r="Y88" s="397">
        <f t="shared" si="8"/>
        <v>818.06999999999982</v>
      </c>
      <c r="AB88" s="917">
        <f t="shared" si="9"/>
        <v>0.10000000000000853</v>
      </c>
    </row>
    <row r="89" spans="1:28" ht="14.5">
      <c r="A89" s="493" t="s">
        <v>350</v>
      </c>
      <c r="B89" s="494" t="s">
        <v>1092</v>
      </c>
      <c r="C89" s="494" t="s">
        <v>1107</v>
      </c>
      <c r="D89" s="495"/>
      <c r="E89" s="495"/>
      <c r="F89" s="494" t="s">
        <v>60</v>
      </c>
      <c r="G89" s="496">
        <v>48</v>
      </c>
      <c r="H89" s="496"/>
      <c r="I89" s="496">
        <v>19</v>
      </c>
      <c r="J89" s="399">
        <f t="shared" si="7"/>
        <v>2899</v>
      </c>
      <c r="K89" s="343">
        <v>49</v>
      </c>
      <c r="L89" s="497" t="s">
        <v>356</v>
      </c>
      <c r="M89" s="496" t="s">
        <v>418</v>
      </c>
      <c r="N89" s="495" t="s">
        <v>436</v>
      </c>
      <c r="O89" s="957" t="s">
        <v>1207</v>
      </c>
      <c r="P89" s="401" t="s">
        <v>1108</v>
      </c>
      <c r="Q89" s="402">
        <v>2899</v>
      </c>
      <c r="R89" s="402"/>
      <c r="S89" s="624">
        <v>49</v>
      </c>
      <c r="T89" s="624">
        <v>48</v>
      </c>
      <c r="U89" s="624">
        <v>31.9</v>
      </c>
      <c r="V89" s="624">
        <v>2911.9</v>
      </c>
      <c r="W89" s="8">
        <v>258.7</v>
      </c>
      <c r="X89" s="404">
        <f t="shared" si="5"/>
        <v>-65.508899573618805</v>
      </c>
      <c r="Y89" s="397">
        <f t="shared" si="8"/>
        <v>14999.425999999999</v>
      </c>
      <c r="AB89" s="917">
        <f t="shared" si="9"/>
        <v>12.900000000000091</v>
      </c>
    </row>
    <row r="90" spans="1:28" ht="14.5" customHeight="1">
      <c r="A90" s="508" t="s">
        <v>350</v>
      </c>
      <c r="B90" s="515" t="s">
        <v>1093</v>
      </c>
      <c r="C90" s="494" t="s">
        <v>1107</v>
      </c>
      <c r="D90" s="510"/>
      <c r="E90" s="510"/>
      <c r="F90" s="509" t="s">
        <v>60</v>
      </c>
      <c r="G90" s="511">
        <v>8</v>
      </c>
      <c r="H90" s="511"/>
      <c r="I90" s="511">
        <v>25</v>
      </c>
      <c r="J90" s="399">
        <f t="shared" si="7"/>
        <v>505</v>
      </c>
      <c r="K90" s="512">
        <v>9</v>
      </c>
      <c r="L90" s="513" t="s">
        <v>60</v>
      </c>
      <c r="M90" s="511" t="s">
        <v>418</v>
      </c>
      <c r="N90" s="510" t="s">
        <v>418</v>
      </c>
      <c r="O90" s="957" t="s">
        <v>1207</v>
      </c>
      <c r="P90" s="401" t="s">
        <v>1109</v>
      </c>
      <c r="Q90" s="402">
        <v>505</v>
      </c>
      <c r="R90" s="402"/>
      <c r="S90" s="624">
        <v>9</v>
      </c>
      <c r="T90" s="624">
        <v>8</v>
      </c>
      <c r="U90" s="624">
        <v>28.9</v>
      </c>
      <c r="V90" s="624">
        <v>508.9</v>
      </c>
      <c r="W90" s="8">
        <v>245</v>
      </c>
      <c r="X90" s="404">
        <f t="shared" si="5"/>
        <v>-77.937458042275239</v>
      </c>
      <c r="Y90" s="397">
        <f t="shared" si="8"/>
        <v>2474.4999999999995</v>
      </c>
      <c r="AB90" s="917">
        <f t="shared" si="9"/>
        <v>3.8999999999999773</v>
      </c>
    </row>
    <row r="91" spans="1:28" ht="15" customHeight="1">
      <c r="A91" s="397" t="s">
        <v>350</v>
      </c>
      <c r="B91" s="516" t="s">
        <v>1104</v>
      </c>
      <c r="C91" s="398" t="s">
        <v>1107</v>
      </c>
      <c r="D91" s="201"/>
      <c r="E91" s="201"/>
      <c r="F91" s="398" t="s">
        <v>47</v>
      </c>
      <c r="G91" s="399">
        <v>10</v>
      </c>
      <c r="H91" s="399"/>
      <c r="I91" s="399">
        <v>30</v>
      </c>
      <c r="J91" s="399">
        <f t="shared" si="7"/>
        <v>630</v>
      </c>
      <c r="K91" s="14"/>
      <c r="L91" s="400" t="s">
        <v>355</v>
      </c>
      <c r="M91" s="399" t="s">
        <v>418</v>
      </c>
      <c r="N91" s="399" t="s">
        <v>1062</v>
      </c>
      <c r="O91" s="957" t="s">
        <v>1207</v>
      </c>
      <c r="P91" s="401" t="s">
        <v>1103</v>
      </c>
      <c r="Q91" s="402">
        <v>630</v>
      </c>
      <c r="R91" s="402"/>
      <c r="S91" s="624">
        <v>11</v>
      </c>
      <c r="T91" s="624">
        <v>10</v>
      </c>
      <c r="U91" s="624">
        <v>32.1</v>
      </c>
      <c r="V91" s="624">
        <v>632.1</v>
      </c>
      <c r="W91" s="8">
        <v>116.74</v>
      </c>
      <c r="X91" s="404">
        <f t="shared" ref="X91:X96" si="10">W91/1.1023-$Z$1</f>
        <v>-194.29416674226616</v>
      </c>
      <c r="Y91" s="397">
        <f t="shared" si="8"/>
        <v>1470.924</v>
      </c>
      <c r="AB91" s="917">
        <f t="shared" si="9"/>
        <v>2.1000000000000227</v>
      </c>
    </row>
    <row r="92" spans="1:28" ht="15" customHeight="1">
      <c r="A92" s="397" t="s">
        <v>350</v>
      </c>
      <c r="B92" s="516" t="s">
        <v>1094</v>
      </c>
      <c r="C92" s="398" t="s">
        <v>1107</v>
      </c>
      <c r="D92" s="201"/>
      <c r="E92" s="201"/>
      <c r="F92" s="398" t="s">
        <v>47</v>
      </c>
      <c r="G92" s="399">
        <v>33</v>
      </c>
      <c r="H92" s="399"/>
      <c r="I92" s="399">
        <v>9</v>
      </c>
      <c r="J92" s="399">
        <f t="shared" ref="J92:J96" si="11">G92*60+I92</f>
        <v>1989</v>
      </c>
      <c r="K92" s="14"/>
      <c r="L92" s="400" t="s">
        <v>60</v>
      </c>
      <c r="M92" s="399" t="s">
        <v>418</v>
      </c>
      <c r="N92" s="201" t="s">
        <v>418</v>
      </c>
      <c r="O92" s="957" t="s">
        <v>1207</v>
      </c>
      <c r="P92" s="401" t="s">
        <v>1110</v>
      </c>
      <c r="Q92" s="402">
        <v>1989</v>
      </c>
      <c r="R92" s="402"/>
      <c r="S92" s="624">
        <v>34</v>
      </c>
      <c r="T92" s="624">
        <v>33</v>
      </c>
      <c r="U92" s="624">
        <v>11.4</v>
      </c>
      <c r="V92" s="624">
        <v>1991.4</v>
      </c>
      <c r="W92" s="8">
        <v>250</v>
      </c>
      <c r="X92" s="404">
        <f t="shared" si="10"/>
        <v>-73.401487798240055</v>
      </c>
      <c r="Y92" s="397">
        <f t="shared" si="8"/>
        <v>9945</v>
      </c>
      <c r="AB92" s="917">
        <f t="shared" si="9"/>
        <v>2.4000000000000909</v>
      </c>
    </row>
    <row r="93" spans="1:28" ht="14.5">
      <c r="A93" s="397" t="s">
        <v>350</v>
      </c>
      <c r="B93" s="516" t="s">
        <v>1097</v>
      </c>
      <c r="C93" s="398" t="s">
        <v>1107</v>
      </c>
      <c r="D93" s="201"/>
      <c r="E93" s="201"/>
      <c r="F93" s="398" t="s">
        <v>47</v>
      </c>
      <c r="G93" s="399">
        <v>12</v>
      </c>
      <c r="H93" s="399"/>
      <c r="I93" s="399">
        <v>0</v>
      </c>
      <c r="J93" s="399">
        <f t="shared" si="11"/>
        <v>720</v>
      </c>
      <c r="K93" s="14"/>
      <c r="L93" s="400" t="s">
        <v>63</v>
      </c>
      <c r="M93" s="399" t="s">
        <v>418</v>
      </c>
      <c r="N93" s="201" t="s">
        <v>972</v>
      </c>
      <c r="O93" s="957" t="s">
        <v>1207</v>
      </c>
      <c r="P93" s="401" t="s">
        <v>1098</v>
      </c>
      <c r="Q93" s="402">
        <v>720</v>
      </c>
      <c r="R93" s="402"/>
      <c r="S93" s="624">
        <v>12</v>
      </c>
      <c r="T93" s="624">
        <v>12</v>
      </c>
      <c r="U93" s="624">
        <v>0.2</v>
      </c>
      <c r="V93" s="624">
        <v>720.2</v>
      </c>
      <c r="W93" s="8">
        <v>230</v>
      </c>
      <c r="X93" s="404">
        <f t="shared" si="10"/>
        <v>-91.545368774380847</v>
      </c>
      <c r="Y93" s="397">
        <f t="shared" si="8"/>
        <v>3312</v>
      </c>
      <c r="AB93" s="917">
        <f t="shared" si="9"/>
        <v>0.20000000000004547</v>
      </c>
    </row>
    <row r="94" spans="1:28" ht="14.5">
      <c r="A94" s="397" t="s">
        <v>350</v>
      </c>
      <c r="B94" s="516" t="s">
        <v>1095</v>
      </c>
      <c r="C94" s="398" t="s">
        <v>1107</v>
      </c>
      <c r="D94" s="201"/>
      <c r="E94" s="201"/>
      <c r="F94" s="398" t="s">
        <v>47</v>
      </c>
      <c r="G94" s="399">
        <v>15</v>
      </c>
      <c r="H94" s="399"/>
      <c r="I94" s="399">
        <v>32</v>
      </c>
      <c r="J94" s="399">
        <f t="shared" si="11"/>
        <v>932</v>
      </c>
      <c r="K94" s="14"/>
      <c r="L94" s="400" t="s">
        <v>62</v>
      </c>
      <c r="M94" s="399" t="s">
        <v>418</v>
      </c>
      <c r="N94" s="201" t="s">
        <v>419</v>
      </c>
      <c r="O94" s="957" t="s">
        <v>1207</v>
      </c>
      <c r="P94" s="401" t="s">
        <v>1096</v>
      </c>
      <c r="Q94" s="402">
        <v>932</v>
      </c>
      <c r="R94" s="402"/>
      <c r="S94" s="624">
        <v>16</v>
      </c>
      <c r="T94" s="624">
        <v>15</v>
      </c>
      <c r="U94" s="624">
        <v>25.6</v>
      </c>
      <c r="V94" s="624">
        <v>925.6</v>
      </c>
      <c r="W94" s="8">
        <v>200</v>
      </c>
      <c r="X94" s="404">
        <f t="shared" si="10"/>
        <v>-118.76119023859204</v>
      </c>
      <c r="Y94" s="397">
        <f t="shared" si="8"/>
        <v>3727.9999999999995</v>
      </c>
      <c r="AB94" s="917">
        <f t="shared" si="9"/>
        <v>-6.3999999999999773</v>
      </c>
    </row>
    <row r="95" spans="1:28" ht="14.5">
      <c r="A95" s="397" t="s">
        <v>350</v>
      </c>
      <c r="B95" s="516" t="s">
        <v>1100</v>
      </c>
      <c r="C95" s="398" t="s">
        <v>1107</v>
      </c>
      <c r="D95" s="201"/>
      <c r="E95" s="201"/>
      <c r="F95" s="398" t="s">
        <v>46</v>
      </c>
      <c r="G95" s="399">
        <v>50</v>
      </c>
      <c r="H95" s="399"/>
      <c r="I95" s="399">
        <v>23</v>
      </c>
      <c r="J95" s="399">
        <f t="shared" si="11"/>
        <v>3023</v>
      </c>
      <c r="K95" s="14"/>
      <c r="L95" s="400" t="s">
        <v>60</v>
      </c>
      <c r="M95" s="399" t="s">
        <v>418</v>
      </c>
      <c r="N95" s="201" t="s">
        <v>418</v>
      </c>
      <c r="O95" s="957" t="s">
        <v>1207</v>
      </c>
      <c r="P95" s="401" t="s">
        <v>1099</v>
      </c>
      <c r="Q95" s="402">
        <v>3023</v>
      </c>
      <c r="R95" s="402"/>
      <c r="S95" s="624">
        <v>51</v>
      </c>
      <c r="T95" s="624">
        <v>50</v>
      </c>
      <c r="U95" s="624">
        <v>30.1</v>
      </c>
      <c r="V95" s="624">
        <v>3030.1</v>
      </c>
      <c r="W95" s="8">
        <v>226.83</v>
      </c>
      <c r="X95" s="404">
        <f t="shared" si="10"/>
        <v>-94.421173909099139</v>
      </c>
      <c r="Y95" s="397">
        <f t="shared" si="8"/>
        <v>13714.141800000001</v>
      </c>
      <c r="AB95" s="917">
        <f t="shared" si="9"/>
        <v>7.0999999999999091</v>
      </c>
    </row>
    <row r="96" spans="1:28" ht="14.5">
      <c r="A96" s="397" t="s">
        <v>350</v>
      </c>
      <c r="B96" s="516" t="s">
        <v>1102</v>
      </c>
      <c r="C96" s="398" t="s">
        <v>1107</v>
      </c>
      <c r="D96" s="201"/>
      <c r="E96" s="201"/>
      <c r="F96" s="398" t="s">
        <v>46</v>
      </c>
      <c r="G96" s="399">
        <v>68</v>
      </c>
      <c r="H96" s="399"/>
      <c r="I96" s="399">
        <v>48</v>
      </c>
      <c r="J96" s="399">
        <f t="shared" si="11"/>
        <v>4128</v>
      </c>
      <c r="K96" s="14"/>
      <c r="L96" s="400" t="s">
        <v>59</v>
      </c>
      <c r="M96" s="399" t="s">
        <v>418</v>
      </c>
      <c r="N96" s="201" t="s">
        <v>436</v>
      </c>
      <c r="O96" s="957" t="s">
        <v>1207</v>
      </c>
      <c r="P96" s="401" t="s">
        <v>1101</v>
      </c>
      <c r="Q96" s="402">
        <v>4128</v>
      </c>
      <c r="R96" s="402"/>
      <c r="S96" s="624">
        <v>69</v>
      </c>
      <c r="T96" s="624">
        <v>68</v>
      </c>
      <c r="U96" s="624">
        <v>51.9</v>
      </c>
      <c r="V96" s="624">
        <v>4131.8999999999996</v>
      </c>
      <c r="W96" s="8">
        <v>231.64</v>
      </c>
      <c r="X96" s="404">
        <f t="shared" si="10"/>
        <v>-90.057570534337316</v>
      </c>
      <c r="Y96" s="397">
        <f t="shared" si="8"/>
        <v>19124.198399999997</v>
      </c>
      <c r="AB96" s="917">
        <f t="shared" si="9"/>
        <v>3.8999999999996362</v>
      </c>
    </row>
    <row r="97" spans="1:28" s="280" customFormat="1" ht="14.5">
      <c r="A97" s="871" t="s">
        <v>350</v>
      </c>
      <c r="B97" s="872" t="s">
        <v>214</v>
      </c>
      <c r="C97" s="872" t="s">
        <v>700</v>
      </c>
      <c r="D97" s="279"/>
      <c r="E97" s="279"/>
      <c r="F97" s="872" t="s">
        <v>42</v>
      </c>
      <c r="G97" s="419">
        <v>68</v>
      </c>
      <c r="H97" s="419"/>
      <c r="I97" s="419">
        <v>18</v>
      </c>
      <c r="J97" s="418">
        <f t="shared" ref="J97:J112" si="12">G97*60+I97</f>
        <v>4098</v>
      </c>
      <c r="K97" s="114"/>
      <c r="L97" s="873" t="s">
        <v>54</v>
      </c>
      <c r="M97" s="419" t="s">
        <v>354</v>
      </c>
      <c r="N97" s="279" t="s">
        <v>434</v>
      </c>
      <c r="O97" s="957" t="s">
        <v>1209</v>
      </c>
      <c r="P97" s="874" t="s">
        <v>1083</v>
      </c>
      <c r="Q97" s="875">
        <v>4115</v>
      </c>
      <c r="R97" s="875"/>
      <c r="S97" s="876">
        <v>68</v>
      </c>
      <c r="T97" s="876">
        <v>18</v>
      </c>
      <c r="U97" s="876"/>
      <c r="V97" s="876"/>
      <c r="W97" s="256"/>
      <c r="X97" s="877"/>
      <c r="Y97" s="871"/>
      <c r="AB97" s="917">
        <f t="shared" si="9"/>
        <v>-4115</v>
      </c>
    </row>
    <row r="98" spans="1:28" ht="14.5">
      <c r="A98" s="397" t="s">
        <v>350</v>
      </c>
      <c r="B98" s="420" t="s">
        <v>311</v>
      </c>
      <c r="C98" s="420" t="s">
        <v>237</v>
      </c>
      <c r="D98" s="201"/>
      <c r="E98" s="201"/>
      <c r="F98" s="420" t="s">
        <v>44</v>
      </c>
      <c r="G98" s="400">
        <v>7</v>
      </c>
      <c r="H98" s="400"/>
      <c r="I98" s="400">
        <v>9</v>
      </c>
      <c r="J98" s="399">
        <f t="shared" si="12"/>
        <v>429</v>
      </c>
      <c r="K98" s="14"/>
      <c r="L98" s="400" t="s">
        <v>45</v>
      </c>
      <c r="M98" s="400" t="s">
        <v>354</v>
      </c>
      <c r="N98" s="201" t="s">
        <v>697</v>
      </c>
      <c r="O98" s="957" t="s">
        <v>1209</v>
      </c>
      <c r="P98" s="401" t="s">
        <v>1072</v>
      </c>
      <c r="Q98" s="402">
        <v>429.7</v>
      </c>
      <c r="R98" s="402"/>
      <c r="S98" s="624">
        <v>8</v>
      </c>
      <c r="T98" s="624">
        <v>7</v>
      </c>
      <c r="U98" s="624">
        <v>11.8</v>
      </c>
      <c r="V98" s="624">
        <v>431.8</v>
      </c>
      <c r="W98" s="8">
        <v>332</v>
      </c>
      <c r="X98" s="404">
        <f t="shared" ref="X98:X112" si="13">W98/1.1023-$Z$1</f>
        <v>0.98842420393719976</v>
      </c>
      <c r="Y98" s="397">
        <f t="shared" si="8"/>
        <v>2853.2079999999996</v>
      </c>
      <c r="AB98" s="917">
        <f t="shared" si="9"/>
        <v>2.1000000000000227</v>
      </c>
    </row>
    <row r="99" spans="1:28" ht="14.5">
      <c r="A99" s="397" t="s">
        <v>350</v>
      </c>
      <c r="B99" s="420" t="s">
        <v>686</v>
      </c>
      <c r="C99" s="420" t="s">
        <v>239</v>
      </c>
      <c r="D99" s="201"/>
      <c r="E99" s="201"/>
      <c r="F99" s="420" t="s">
        <v>44</v>
      </c>
      <c r="G99" s="400">
        <v>7</v>
      </c>
      <c r="H99" s="400"/>
      <c r="I99" s="400">
        <v>58</v>
      </c>
      <c r="J99" s="399">
        <f t="shared" si="12"/>
        <v>478</v>
      </c>
      <c r="K99" s="14"/>
      <c r="L99" s="400" t="s">
        <v>54</v>
      </c>
      <c r="M99" s="400" t="s">
        <v>354</v>
      </c>
      <c r="N99" s="201" t="s">
        <v>697</v>
      </c>
      <c r="O99" s="957" t="s">
        <v>1209</v>
      </c>
      <c r="P99" s="401" t="s">
        <v>1080</v>
      </c>
      <c r="Q99" s="402">
        <v>476.1</v>
      </c>
      <c r="R99" s="402"/>
      <c r="S99" s="624">
        <v>8</v>
      </c>
      <c r="T99" s="624">
        <v>7</v>
      </c>
      <c r="U99" s="624">
        <v>58.8</v>
      </c>
      <c r="V99" s="624">
        <v>478.8</v>
      </c>
      <c r="W99" s="8">
        <v>332</v>
      </c>
      <c r="X99" s="404">
        <f t="shared" si="13"/>
        <v>0.98842420393719976</v>
      </c>
      <c r="Y99" s="397">
        <f t="shared" si="8"/>
        <v>3161.3040000000001</v>
      </c>
      <c r="AB99" s="917">
        <f t="shared" si="9"/>
        <v>2.6999999999999886</v>
      </c>
    </row>
    <row r="100" spans="1:28" ht="14.5">
      <c r="A100" s="397" t="s">
        <v>350</v>
      </c>
      <c r="B100" s="420" t="s">
        <v>687</v>
      </c>
      <c r="C100" s="420" t="s">
        <v>238</v>
      </c>
      <c r="D100" s="201"/>
      <c r="E100" s="201"/>
      <c r="F100" s="420" t="s">
        <v>45</v>
      </c>
      <c r="G100" s="400">
        <v>29</v>
      </c>
      <c r="H100" s="400"/>
      <c r="I100" s="400">
        <v>7</v>
      </c>
      <c r="J100" s="399">
        <f t="shared" si="12"/>
        <v>1747</v>
      </c>
      <c r="K100" s="14"/>
      <c r="L100" s="421" t="s">
        <v>56</v>
      </c>
      <c r="M100" s="400" t="s">
        <v>354</v>
      </c>
      <c r="N100" s="201" t="s">
        <v>749</v>
      </c>
      <c r="O100" s="957" t="s">
        <v>1209</v>
      </c>
      <c r="P100" s="401" t="s">
        <v>1075</v>
      </c>
      <c r="Q100" s="402">
        <v>1741.9</v>
      </c>
      <c r="R100" s="402"/>
      <c r="S100" s="624">
        <v>30</v>
      </c>
      <c r="T100" s="624">
        <v>29</v>
      </c>
      <c r="U100" s="624">
        <v>16</v>
      </c>
      <c r="V100" s="624">
        <v>1756</v>
      </c>
      <c r="W100" s="8">
        <v>305</v>
      </c>
      <c r="X100" s="404">
        <f t="shared" si="13"/>
        <v>-23.505815113852861</v>
      </c>
      <c r="Y100" s="397">
        <f t="shared" si="8"/>
        <v>10625.590000000002</v>
      </c>
      <c r="AB100" s="917">
        <f t="shared" si="9"/>
        <v>14.099999999999909</v>
      </c>
    </row>
    <row r="101" spans="1:28" ht="14.5">
      <c r="A101" s="397" t="s">
        <v>350</v>
      </c>
      <c r="B101" s="420" t="s">
        <v>687</v>
      </c>
      <c r="C101" s="420" t="s">
        <v>238</v>
      </c>
      <c r="D101" s="201"/>
      <c r="E101" s="201"/>
      <c r="F101" s="420" t="s">
        <v>44</v>
      </c>
      <c r="G101" s="400">
        <v>16</v>
      </c>
      <c r="H101" s="400"/>
      <c r="I101" s="400">
        <v>8</v>
      </c>
      <c r="J101" s="399">
        <f t="shared" si="12"/>
        <v>968</v>
      </c>
      <c r="K101" s="14"/>
      <c r="L101" s="400" t="s">
        <v>94</v>
      </c>
      <c r="M101" s="400" t="s">
        <v>354</v>
      </c>
      <c r="N101" s="201" t="s">
        <v>697</v>
      </c>
      <c r="O101" s="957" t="s">
        <v>1209</v>
      </c>
      <c r="P101" s="401" t="s">
        <v>1076</v>
      </c>
      <c r="Q101" s="402">
        <v>971.8</v>
      </c>
      <c r="R101" s="402"/>
      <c r="S101" s="624">
        <v>17</v>
      </c>
      <c r="T101" s="624">
        <v>16</v>
      </c>
      <c r="U101" s="624">
        <v>11.7</v>
      </c>
      <c r="V101" s="624">
        <v>971.7</v>
      </c>
      <c r="W101" s="8">
        <v>340</v>
      </c>
      <c r="X101" s="404">
        <f t="shared" si="13"/>
        <v>8.2459765943935395</v>
      </c>
      <c r="Y101" s="397">
        <f t="shared" si="8"/>
        <v>6608.2399999999989</v>
      </c>
      <c r="AB101" s="917">
        <f t="shared" si="9"/>
        <v>-9.9999999999909051E-2</v>
      </c>
    </row>
    <row r="102" spans="1:28" ht="14.5">
      <c r="A102" s="397" t="s">
        <v>350</v>
      </c>
      <c r="B102" s="420" t="s">
        <v>280</v>
      </c>
      <c r="C102" s="420" t="s">
        <v>238</v>
      </c>
      <c r="D102" s="201"/>
      <c r="E102" s="201"/>
      <c r="F102" s="420" t="s">
        <v>45</v>
      </c>
      <c r="G102" s="400">
        <v>11</v>
      </c>
      <c r="H102" s="400"/>
      <c r="I102" s="400">
        <v>59</v>
      </c>
      <c r="J102" s="399">
        <f t="shared" si="12"/>
        <v>719</v>
      </c>
      <c r="K102" s="14"/>
      <c r="L102" s="400" t="s">
        <v>60</v>
      </c>
      <c r="M102" s="400" t="s">
        <v>418</v>
      </c>
      <c r="N102" s="201" t="s">
        <v>418</v>
      </c>
      <c r="O102" s="957" t="s">
        <v>1207</v>
      </c>
      <c r="P102" s="401" t="s">
        <v>1077</v>
      </c>
      <c r="Q102" s="402">
        <v>716.3</v>
      </c>
      <c r="R102" s="402"/>
      <c r="S102" s="624">
        <v>12</v>
      </c>
      <c r="T102" s="624">
        <v>12</v>
      </c>
      <c r="U102" s="624">
        <v>3.2</v>
      </c>
      <c r="V102" s="624">
        <v>723.2</v>
      </c>
      <c r="W102" s="8">
        <v>280</v>
      </c>
      <c r="X102" s="404">
        <f t="shared" si="13"/>
        <v>-46.185666334028838</v>
      </c>
      <c r="Y102" s="397">
        <f t="shared" si="8"/>
        <v>4011.2799999999997</v>
      </c>
      <c r="AB102" s="917">
        <f t="shared" si="9"/>
        <v>6.9000000000000909</v>
      </c>
    </row>
    <row r="103" spans="1:28" ht="14.5">
      <c r="A103" s="397" t="s">
        <v>350</v>
      </c>
      <c r="B103" s="420" t="s">
        <v>263</v>
      </c>
      <c r="C103" s="420" t="s">
        <v>243</v>
      </c>
      <c r="D103" s="201"/>
      <c r="E103" s="201"/>
      <c r="F103" s="420" t="s">
        <v>45</v>
      </c>
      <c r="G103" s="400">
        <v>13</v>
      </c>
      <c r="H103" s="400"/>
      <c r="I103" s="400">
        <v>32</v>
      </c>
      <c r="J103" s="399">
        <f t="shared" si="12"/>
        <v>812</v>
      </c>
      <c r="K103" s="14"/>
      <c r="L103" s="400" t="s">
        <v>60</v>
      </c>
      <c r="M103" s="400" t="s">
        <v>418</v>
      </c>
      <c r="N103" s="201" t="s">
        <v>418</v>
      </c>
      <c r="O103" s="957" t="s">
        <v>1207</v>
      </c>
      <c r="P103" s="401" t="s">
        <v>1082</v>
      </c>
      <c r="Q103" s="402">
        <v>811.9</v>
      </c>
      <c r="R103" s="402"/>
      <c r="S103" s="624">
        <v>14</v>
      </c>
      <c r="T103" s="624">
        <v>13</v>
      </c>
      <c r="U103" s="624">
        <v>40.4</v>
      </c>
      <c r="V103" s="624">
        <v>820.4</v>
      </c>
      <c r="W103" s="8">
        <v>280</v>
      </c>
      <c r="X103" s="404">
        <f t="shared" si="13"/>
        <v>-46.185666334028838</v>
      </c>
      <c r="Y103" s="397">
        <f t="shared" si="8"/>
        <v>4546.6400000000003</v>
      </c>
      <c r="AB103" s="917">
        <f t="shared" si="9"/>
        <v>8.5</v>
      </c>
    </row>
    <row r="104" spans="1:28" ht="14.5">
      <c r="A104" s="397" t="s">
        <v>350</v>
      </c>
      <c r="B104" s="420" t="s">
        <v>689</v>
      </c>
      <c r="C104" s="420" t="s">
        <v>352</v>
      </c>
      <c r="D104" s="201"/>
      <c r="E104" s="201"/>
      <c r="F104" s="420" t="s">
        <v>44</v>
      </c>
      <c r="G104" s="400">
        <v>15</v>
      </c>
      <c r="H104" s="400"/>
      <c r="I104" s="400">
        <v>48</v>
      </c>
      <c r="J104" s="399">
        <f t="shared" si="12"/>
        <v>948</v>
      </c>
      <c r="K104" s="14"/>
      <c r="L104" s="400" t="s">
        <v>56</v>
      </c>
      <c r="M104" s="400" t="s">
        <v>354</v>
      </c>
      <c r="N104" s="201" t="s">
        <v>749</v>
      </c>
      <c r="O104" s="957" t="s">
        <v>1209</v>
      </c>
      <c r="P104" s="401" t="s">
        <v>1087</v>
      </c>
      <c r="Q104" s="402">
        <v>940.5</v>
      </c>
      <c r="R104" s="402"/>
      <c r="S104" s="624">
        <v>16</v>
      </c>
      <c r="T104" s="624">
        <v>15</v>
      </c>
      <c r="U104" s="624">
        <v>50.6</v>
      </c>
      <c r="V104" s="624">
        <v>950.6</v>
      </c>
      <c r="W104" s="8">
        <v>310</v>
      </c>
      <c r="X104" s="404">
        <f t="shared" si="13"/>
        <v>-18.969844869817678</v>
      </c>
      <c r="Y104" s="397">
        <f t="shared" si="8"/>
        <v>5831.0999999999995</v>
      </c>
      <c r="AB104" s="917">
        <f t="shared" si="9"/>
        <v>10.100000000000023</v>
      </c>
    </row>
    <row r="105" spans="1:28" ht="14.5">
      <c r="A105" s="397" t="s">
        <v>350</v>
      </c>
      <c r="B105" s="420" t="s">
        <v>690</v>
      </c>
      <c r="C105" s="420" t="s">
        <v>700</v>
      </c>
      <c r="D105" s="201"/>
      <c r="E105" s="201"/>
      <c r="F105" s="420" t="s">
        <v>44</v>
      </c>
      <c r="G105" s="400">
        <v>2</v>
      </c>
      <c r="H105" s="400"/>
      <c r="I105" s="400">
        <v>59</v>
      </c>
      <c r="J105" s="399">
        <f t="shared" si="12"/>
        <v>179</v>
      </c>
      <c r="K105" s="14"/>
      <c r="L105" s="400" t="s">
        <v>60</v>
      </c>
      <c r="M105" s="400" t="s">
        <v>418</v>
      </c>
      <c r="N105" s="201" t="s">
        <v>749</v>
      </c>
      <c r="O105" s="957" t="s">
        <v>1207</v>
      </c>
      <c r="P105" s="401" t="s">
        <v>1084</v>
      </c>
      <c r="Q105" s="402">
        <v>178.2</v>
      </c>
      <c r="R105" s="482"/>
      <c r="S105" s="624">
        <v>3</v>
      </c>
      <c r="T105" s="624">
        <v>2</v>
      </c>
      <c r="U105" s="624">
        <v>56.3</v>
      </c>
      <c r="V105" s="624">
        <v>176.3</v>
      </c>
      <c r="W105" s="8">
        <v>280</v>
      </c>
      <c r="X105" s="404">
        <f t="shared" si="13"/>
        <v>-46.185666334028838</v>
      </c>
      <c r="Y105" s="397">
        <f t="shared" si="8"/>
        <v>997.91999999999985</v>
      </c>
      <c r="AB105" s="917">
        <f t="shared" si="9"/>
        <v>-1.8999999999999773</v>
      </c>
    </row>
    <row r="106" spans="1:28" ht="14.5">
      <c r="A106" s="397" t="s">
        <v>350</v>
      </c>
      <c r="B106" s="420" t="s">
        <v>691</v>
      </c>
      <c r="C106" s="420" t="s">
        <v>238</v>
      </c>
      <c r="D106" s="201"/>
      <c r="E106" s="201"/>
      <c r="F106" s="420" t="s">
        <v>44</v>
      </c>
      <c r="G106" s="400">
        <v>13</v>
      </c>
      <c r="H106" s="400"/>
      <c r="I106" s="400">
        <v>7</v>
      </c>
      <c r="J106" s="399">
        <f t="shared" si="12"/>
        <v>787</v>
      </c>
      <c r="K106" s="14"/>
      <c r="L106" s="400" t="s">
        <v>45</v>
      </c>
      <c r="M106" s="400" t="s">
        <v>354</v>
      </c>
      <c r="N106" s="201" t="s">
        <v>697</v>
      </c>
      <c r="O106" s="957" t="s">
        <v>1209</v>
      </c>
      <c r="P106" s="401" t="s">
        <v>1078</v>
      </c>
      <c r="Q106" s="402">
        <v>781.8</v>
      </c>
      <c r="R106" s="482"/>
      <c r="S106" s="624">
        <v>14</v>
      </c>
      <c r="T106" s="624">
        <v>13</v>
      </c>
      <c r="U106" s="624">
        <v>7.4</v>
      </c>
      <c r="V106" s="624">
        <v>787.4</v>
      </c>
      <c r="W106" s="8">
        <v>332</v>
      </c>
      <c r="X106" s="404">
        <f t="shared" si="13"/>
        <v>0.98842420393719976</v>
      </c>
      <c r="Y106" s="397">
        <f t="shared" si="8"/>
        <v>5191.152</v>
      </c>
      <c r="AB106" s="917">
        <f t="shared" si="9"/>
        <v>5.6000000000000227</v>
      </c>
    </row>
    <row r="107" spans="1:28" ht="14.5">
      <c r="A107" s="397" t="s">
        <v>350</v>
      </c>
      <c r="B107" s="420" t="s">
        <v>692</v>
      </c>
      <c r="C107" s="420" t="s">
        <v>682</v>
      </c>
      <c r="D107" s="201"/>
      <c r="E107" s="201"/>
      <c r="F107" s="420" t="s">
        <v>44</v>
      </c>
      <c r="G107" s="400">
        <v>14</v>
      </c>
      <c r="H107" s="400"/>
      <c r="I107" s="400">
        <v>28</v>
      </c>
      <c r="J107" s="399">
        <f t="shared" si="12"/>
        <v>868</v>
      </c>
      <c r="K107" s="14"/>
      <c r="L107" s="400" t="s">
        <v>56</v>
      </c>
      <c r="M107" s="400" t="s">
        <v>354</v>
      </c>
      <c r="N107" s="201" t="s">
        <v>749</v>
      </c>
      <c r="O107" s="957" t="s">
        <v>1209</v>
      </c>
      <c r="P107" s="401" t="s">
        <v>1079</v>
      </c>
      <c r="Q107" s="402">
        <v>862.6</v>
      </c>
      <c r="R107" s="483"/>
      <c r="S107" s="624">
        <v>15</v>
      </c>
      <c r="T107" s="624">
        <v>14</v>
      </c>
      <c r="U107" s="624">
        <v>29.5</v>
      </c>
      <c r="V107" s="624">
        <v>869.5</v>
      </c>
      <c r="W107" s="8">
        <v>310</v>
      </c>
      <c r="X107" s="404">
        <f t="shared" si="13"/>
        <v>-18.969844869817678</v>
      </c>
      <c r="Y107" s="397">
        <f t="shared" si="8"/>
        <v>5348.12</v>
      </c>
      <c r="AB107" s="917">
        <f t="shared" si="9"/>
        <v>6.8999999999999773</v>
      </c>
    </row>
    <row r="108" spans="1:28" ht="14.5">
      <c r="A108" s="397" t="s">
        <v>350</v>
      </c>
      <c r="B108" s="420" t="s">
        <v>371</v>
      </c>
      <c r="C108" s="420" t="s">
        <v>233</v>
      </c>
      <c r="D108" s="201"/>
      <c r="E108" s="201"/>
      <c r="F108" s="420" t="s">
        <v>44</v>
      </c>
      <c r="G108" s="400">
        <v>8</v>
      </c>
      <c r="H108" s="400"/>
      <c r="I108" s="400">
        <v>42</v>
      </c>
      <c r="J108" s="399">
        <f t="shared" si="12"/>
        <v>522</v>
      </c>
      <c r="K108" s="14"/>
      <c r="L108" s="400" t="s">
        <v>356</v>
      </c>
      <c r="M108" s="400" t="s">
        <v>354</v>
      </c>
      <c r="N108" s="201" t="s">
        <v>749</v>
      </c>
      <c r="O108" s="957" t="s">
        <v>1209</v>
      </c>
      <c r="P108" s="401" t="s">
        <v>1085</v>
      </c>
      <c r="Q108" s="402">
        <v>522.79999999999995</v>
      </c>
      <c r="R108" s="483"/>
      <c r="S108" s="624">
        <v>9</v>
      </c>
      <c r="T108" s="624">
        <v>8</v>
      </c>
      <c r="U108" s="624">
        <v>48.9</v>
      </c>
      <c r="V108" s="624">
        <v>528.9</v>
      </c>
      <c r="W108" s="8">
        <v>310</v>
      </c>
      <c r="X108" s="404">
        <f t="shared" si="13"/>
        <v>-18.969844869817678</v>
      </c>
      <c r="Y108" s="397">
        <f t="shared" si="8"/>
        <v>3241.3599999999997</v>
      </c>
      <c r="AB108" s="917">
        <f t="shared" si="9"/>
        <v>6.1000000000000227</v>
      </c>
    </row>
    <row r="109" spans="1:28" ht="14.5">
      <c r="A109" s="397" t="s">
        <v>350</v>
      </c>
      <c r="B109" s="420" t="s">
        <v>373</v>
      </c>
      <c r="C109" s="420" t="s">
        <v>233</v>
      </c>
      <c r="D109" s="201"/>
      <c r="E109" s="201"/>
      <c r="F109" s="420" t="s">
        <v>44</v>
      </c>
      <c r="G109" s="400">
        <v>4</v>
      </c>
      <c r="H109" s="400"/>
      <c r="I109" s="400">
        <v>30</v>
      </c>
      <c r="J109" s="399">
        <f t="shared" si="12"/>
        <v>270</v>
      </c>
      <c r="K109" s="14"/>
      <c r="L109" s="400" t="s">
        <v>54</v>
      </c>
      <c r="M109" s="400" t="s">
        <v>354</v>
      </c>
      <c r="N109" s="201" t="s">
        <v>697</v>
      </c>
      <c r="O109" s="957" t="s">
        <v>1209</v>
      </c>
      <c r="P109" s="401" t="s">
        <v>1086</v>
      </c>
      <c r="Q109" s="402">
        <v>260.60000000000002</v>
      </c>
      <c r="R109" s="483"/>
      <c r="S109" s="624">
        <v>5</v>
      </c>
      <c r="T109" s="624">
        <v>4</v>
      </c>
      <c r="U109" s="624">
        <v>29.5</v>
      </c>
      <c r="V109" s="624">
        <v>269.5</v>
      </c>
      <c r="W109" s="8">
        <v>332</v>
      </c>
      <c r="X109" s="404">
        <f t="shared" si="13"/>
        <v>0.98842420393719976</v>
      </c>
      <c r="Y109" s="397">
        <f t="shared" si="8"/>
        <v>1730.384</v>
      </c>
      <c r="AB109" s="917">
        <f t="shared" si="9"/>
        <v>8.8999999999999773</v>
      </c>
    </row>
    <row r="110" spans="1:28" ht="14.5">
      <c r="A110" s="397" t="s">
        <v>350</v>
      </c>
      <c r="B110" s="420" t="s">
        <v>374</v>
      </c>
      <c r="C110" s="420" t="s">
        <v>237</v>
      </c>
      <c r="D110" s="201"/>
      <c r="E110" s="201"/>
      <c r="F110" s="420" t="s">
        <v>44</v>
      </c>
      <c r="G110" s="400">
        <v>5</v>
      </c>
      <c r="H110" s="400"/>
      <c r="I110" s="400">
        <v>24</v>
      </c>
      <c r="J110" s="399">
        <f t="shared" si="12"/>
        <v>324</v>
      </c>
      <c r="K110" s="14"/>
      <c r="L110" s="400" t="s">
        <v>60</v>
      </c>
      <c r="M110" s="400" t="s">
        <v>418</v>
      </c>
      <c r="N110" s="201" t="s">
        <v>418</v>
      </c>
      <c r="O110" s="957" t="s">
        <v>1207</v>
      </c>
      <c r="P110" s="401" t="s">
        <v>1074</v>
      </c>
      <c r="Q110" s="402">
        <v>323.8</v>
      </c>
      <c r="R110" s="483"/>
      <c r="S110" s="624">
        <v>6</v>
      </c>
      <c r="T110" s="624">
        <v>5</v>
      </c>
      <c r="U110" s="624">
        <v>22.6</v>
      </c>
      <c r="V110" s="624">
        <v>322.60000000000002</v>
      </c>
      <c r="W110" s="8">
        <v>305</v>
      </c>
      <c r="X110" s="404">
        <f t="shared" si="13"/>
        <v>-23.505815113852861</v>
      </c>
      <c r="Y110" s="397">
        <f t="shared" si="8"/>
        <v>1975.1799999999998</v>
      </c>
      <c r="AB110" s="917">
        <f t="shared" si="9"/>
        <v>-1.1999999999999886</v>
      </c>
    </row>
    <row r="111" spans="1:28" ht="14.5">
      <c r="A111" s="397" t="s">
        <v>350</v>
      </c>
      <c r="B111" s="420" t="s">
        <v>941</v>
      </c>
      <c r="C111" s="420" t="s">
        <v>237</v>
      </c>
      <c r="D111" s="201"/>
      <c r="E111" s="201"/>
      <c r="F111" s="420" t="s">
        <v>52</v>
      </c>
      <c r="G111" s="400">
        <v>5</v>
      </c>
      <c r="H111" s="400"/>
      <c r="I111" s="400"/>
      <c r="J111" s="399">
        <f t="shared" si="12"/>
        <v>300</v>
      </c>
      <c r="K111" s="14"/>
      <c r="L111" s="400" t="s">
        <v>60</v>
      </c>
      <c r="M111" s="400" t="s">
        <v>418</v>
      </c>
      <c r="N111" s="201" t="s">
        <v>436</v>
      </c>
      <c r="O111" s="957" t="s">
        <v>1207</v>
      </c>
      <c r="P111" s="401" t="s">
        <v>1073</v>
      </c>
      <c r="Q111" s="402">
        <v>300.10000000000002</v>
      </c>
      <c r="R111" s="483"/>
      <c r="S111" s="624">
        <v>5</v>
      </c>
      <c r="T111" s="624">
        <v>5</v>
      </c>
      <c r="U111" s="624">
        <v>1.5</v>
      </c>
      <c r="V111" s="624">
        <v>301.5</v>
      </c>
      <c r="W111" s="8">
        <v>150</v>
      </c>
      <c r="X111" s="404">
        <f t="shared" si="13"/>
        <v>-164.12089267894402</v>
      </c>
      <c r="Y111" s="397">
        <f t="shared" si="8"/>
        <v>900.3</v>
      </c>
      <c r="AB111" s="917">
        <f t="shared" si="9"/>
        <v>1.3999999999999773</v>
      </c>
    </row>
    <row r="112" spans="1:28" ht="14.5">
      <c r="A112" s="397" t="s">
        <v>350</v>
      </c>
      <c r="B112" s="420" t="s">
        <v>376</v>
      </c>
      <c r="C112" s="420" t="s">
        <v>239</v>
      </c>
      <c r="D112" s="201"/>
      <c r="E112" s="201"/>
      <c r="F112" s="420" t="s">
        <v>44</v>
      </c>
      <c r="G112" s="400">
        <v>12</v>
      </c>
      <c r="H112" s="400"/>
      <c r="I112" s="400">
        <v>66</v>
      </c>
      <c r="J112" s="399">
        <f t="shared" si="12"/>
        <v>786</v>
      </c>
      <c r="K112" s="14"/>
      <c r="L112" s="400" t="s">
        <v>54</v>
      </c>
      <c r="M112" s="400" t="s">
        <v>354</v>
      </c>
      <c r="N112" s="201" t="s">
        <v>697</v>
      </c>
      <c r="O112" s="957" t="s">
        <v>1209</v>
      </c>
      <c r="P112" s="401" t="s">
        <v>1081</v>
      </c>
      <c r="Q112" s="402">
        <v>782.5</v>
      </c>
      <c r="R112" s="483"/>
      <c r="S112" s="624">
        <v>13</v>
      </c>
      <c r="T112" s="624">
        <v>13</v>
      </c>
      <c r="U112" s="624">
        <v>9.3000000000000007</v>
      </c>
      <c r="V112" s="624">
        <v>789.3</v>
      </c>
      <c r="W112" s="8">
        <v>332</v>
      </c>
      <c r="X112" s="404">
        <f t="shared" si="13"/>
        <v>0.98842420393719976</v>
      </c>
      <c r="Y112" s="397">
        <f t="shared" si="8"/>
        <v>5195.7999999999993</v>
      </c>
      <c r="AB112" s="917">
        <f t="shared" si="9"/>
        <v>6.7999999999999545</v>
      </c>
    </row>
    <row r="113" spans="7:28" ht="14">
      <c r="G113" s="422">
        <f t="shared" ref="G113:I113" si="14">SUM(G2:G112)</f>
        <v>3282</v>
      </c>
      <c r="H113" s="422"/>
      <c r="I113" s="422">
        <f t="shared" si="14"/>
        <v>33746.883333333331</v>
      </c>
      <c r="J113" s="422">
        <f>SUM(J2:J112)</f>
        <v>229116.55000000002</v>
      </c>
      <c r="S113" s="399"/>
      <c r="Y113" s="199">
        <f>SUM(Y2:Y112)</f>
        <v>1244137.9382000004</v>
      </c>
      <c r="AB113" s="422">
        <f>SUM(AB2:AB112)</f>
        <v>-2611.5</v>
      </c>
    </row>
    <row r="114" spans="7:28">
      <c r="J114" s="422"/>
    </row>
    <row r="116" spans="7:28" ht="13">
      <c r="Y116" s="423">
        <f>Y113/J113*50</f>
        <v>271.50765368106329</v>
      </c>
    </row>
  </sheetData>
  <autoFilter ref="A1:W114" xr:uid="{E012AE3D-B3EE-46C2-AC6D-A5D91B32F043}"/>
  <mergeCells count="2">
    <mergeCell ref="P22:P23"/>
    <mergeCell ref="Q22:Q23"/>
  </mergeCells>
  <pageMargins left="0.7" right="0.7" top="0.75" bottom="0.75" header="0.3" footer="0.3"/>
  <pageSetup scale="22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A95A-66BF-4E2F-A0B6-B97D63F6D368}">
  <sheetPr>
    <tabColor theme="7" tint="0.79998168889431442"/>
  </sheetPr>
  <dimension ref="A1:V63"/>
  <sheetViews>
    <sheetView workbookViewId="0">
      <selection activeCell="H30" sqref="H30"/>
    </sheetView>
  </sheetViews>
  <sheetFormatPr defaultRowHeight="14.5"/>
  <cols>
    <col min="1" max="1" width="9.1796875" bestFit="1" customWidth="1"/>
    <col min="2" max="2" width="13.81640625" bestFit="1" customWidth="1"/>
    <col min="3" max="3" width="12.54296875" bestFit="1" customWidth="1"/>
    <col min="4" max="4" width="6.81640625" bestFit="1" customWidth="1"/>
    <col min="5" max="5" width="9.1796875" bestFit="1" customWidth="1"/>
    <col min="6" max="6" width="5.1796875" bestFit="1" customWidth="1"/>
    <col min="7" max="7" width="12" bestFit="1" customWidth="1"/>
    <col min="8" max="8" width="12" customWidth="1"/>
    <col min="9" max="9" width="19.453125" bestFit="1" customWidth="1"/>
    <col min="10" max="10" width="14.36328125" bestFit="1" customWidth="1"/>
    <col min="11" max="11" width="14.54296875" bestFit="1" customWidth="1"/>
    <col min="12" max="12" width="14.81640625" customWidth="1"/>
    <col min="13" max="13" width="8.81640625" customWidth="1"/>
    <col min="14" max="14" width="6" customWidth="1"/>
    <col min="15" max="15" width="4.81640625" customWidth="1"/>
    <col min="16" max="16" width="9" customWidth="1"/>
    <col min="17" max="17" width="4" bestFit="1" customWidth="1"/>
    <col min="18" max="18" width="23.81640625" bestFit="1" customWidth="1"/>
    <col min="19" max="19" width="13.453125" bestFit="1" customWidth="1"/>
    <col min="20" max="20" width="13.1796875" bestFit="1" customWidth="1"/>
    <col min="21" max="21" width="12.453125" bestFit="1" customWidth="1"/>
    <col min="22" max="22" width="11.81640625" bestFit="1" customWidth="1"/>
  </cols>
  <sheetData>
    <row r="1" spans="1:22">
      <c r="A1" s="2" t="s">
        <v>78</v>
      </c>
      <c r="B1" s="2" t="s">
        <v>709</v>
      </c>
      <c r="C1" s="2" t="s">
        <v>710</v>
      </c>
      <c r="D1" s="2" t="s">
        <v>23</v>
      </c>
      <c r="E1" s="2" t="s">
        <v>711</v>
      </c>
      <c r="F1" s="2" t="s">
        <v>39</v>
      </c>
      <c r="G1" s="2" t="s">
        <v>346</v>
      </c>
      <c r="H1" s="2"/>
      <c r="I1" s="2" t="s">
        <v>112</v>
      </c>
      <c r="J1" s="2" t="s">
        <v>1206</v>
      </c>
      <c r="K1" s="2" t="s">
        <v>26</v>
      </c>
      <c r="L1" s="2" t="s">
        <v>28</v>
      </c>
      <c r="M1" s="2" t="s">
        <v>1129</v>
      </c>
      <c r="N1" s="2" t="s">
        <v>142</v>
      </c>
      <c r="O1" s="2" t="s">
        <v>30</v>
      </c>
      <c r="P1" s="2" t="s">
        <v>1128</v>
      </c>
      <c r="Q1" s="17">
        <v>310</v>
      </c>
      <c r="R1" s="655" t="s">
        <v>1145</v>
      </c>
      <c r="S1" s="221" t="s">
        <v>705</v>
      </c>
      <c r="T1" s="221" t="s">
        <v>706</v>
      </c>
      <c r="U1" s="221" t="s">
        <v>704</v>
      </c>
      <c r="V1" s="221" t="s">
        <v>707</v>
      </c>
    </row>
    <row r="2" spans="1:22">
      <c r="A2" s="14" t="s">
        <v>712</v>
      </c>
      <c r="B2" s="14" t="s">
        <v>259</v>
      </c>
      <c r="C2" s="14" t="s">
        <v>713</v>
      </c>
      <c r="D2" s="14" t="s">
        <v>391</v>
      </c>
      <c r="E2" s="14">
        <v>49</v>
      </c>
      <c r="F2" s="14">
        <v>40</v>
      </c>
      <c r="G2" s="14">
        <f>+I2/60</f>
        <v>49.716666666666669</v>
      </c>
      <c r="H2" s="14"/>
      <c r="I2" s="14">
        <v>2983</v>
      </c>
      <c r="J2" s="939" t="s">
        <v>1207</v>
      </c>
      <c r="K2" s="14" t="s">
        <v>440</v>
      </c>
      <c r="L2" s="14" t="s">
        <v>714</v>
      </c>
      <c r="M2" s="14" t="s">
        <v>418</v>
      </c>
      <c r="N2" s="14">
        <v>260</v>
      </c>
      <c r="O2" s="258">
        <f>N2/1.1023-$Q$1</f>
        <v>-74.12954731016967</v>
      </c>
      <c r="P2" s="14">
        <f t="shared" ref="P2:P25" si="0">I2/60*N2*1.2</f>
        <v>15511.6</v>
      </c>
      <c r="R2" s="846">
        <v>46150</v>
      </c>
      <c r="S2" s="344">
        <v>50</v>
      </c>
      <c r="T2" s="344">
        <v>49</v>
      </c>
      <c r="U2" s="344">
        <v>43</v>
      </c>
      <c r="V2" s="344">
        <v>2983</v>
      </c>
    </row>
    <row r="3" spans="1:22">
      <c r="A3" s="14" t="s">
        <v>712</v>
      </c>
      <c r="B3" s="14" t="s">
        <v>259</v>
      </c>
      <c r="C3" s="14" t="s">
        <v>715</v>
      </c>
      <c r="D3" s="14" t="s">
        <v>391</v>
      </c>
      <c r="E3" s="14">
        <v>65</v>
      </c>
      <c r="F3" s="14">
        <v>16</v>
      </c>
      <c r="G3" s="14">
        <f t="shared" ref="G3:G23" si="1">+I3/60</f>
        <v>65.283333333333331</v>
      </c>
      <c r="H3" s="14"/>
      <c r="I3" s="14">
        <v>3917</v>
      </c>
      <c r="J3" s="939" t="s">
        <v>1207</v>
      </c>
      <c r="K3" s="14" t="s">
        <v>440</v>
      </c>
      <c r="L3" s="14" t="s">
        <v>401</v>
      </c>
      <c r="M3" s="14" t="s">
        <v>418</v>
      </c>
      <c r="N3" s="14">
        <v>260</v>
      </c>
      <c r="O3" s="258">
        <f t="shared" ref="O3:O25" si="2">N3/1.1023-$Q$1</f>
        <v>-74.12954731016967</v>
      </c>
      <c r="P3" s="14">
        <f t="shared" si="0"/>
        <v>20368.400000000001</v>
      </c>
      <c r="R3" s="846">
        <v>46150</v>
      </c>
      <c r="S3" s="344">
        <v>66</v>
      </c>
      <c r="T3" s="344">
        <v>65</v>
      </c>
      <c r="U3" s="344">
        <v>19.600000000000001</v>
      </c>
      <c r="V3" s="344">
        <v>3919.6</v>
      </c>
    </row>
    <row r="4" spans="1:22">
      <c r="A4" s="14" t="s">
        <v>712</v>
      </c>
      <c r="B4" s="14" t="s">
        <v>259</v>
      </c>
      <c r="C4" s="14" t="s">
        <v>716</v>
      </c>
      <c r="D4" s="14" t="s">
        <v>391</v>
      </c>
      <c r="E4" s="14">
        <v>64</v>
      </c>
      <c r="F4" s="14">
        <v>33</v>
      </c>
      <c r="G4" s="14">
        <f t="shared" si="1"/>
        <v>64.650000000000006</v>
      </c>
      <c r="H4" s="14"/>
      <c r="I4" s="14">
        <v>3879</v>
      </c>
      <c r="J4" s="939" t="s">
        <v>1207</v>
      </c>
      <c r="K4" s="14" t="s">
        <v>440</v>
      </c>
      <c r="L4" s="14" t="s">
        <v>443</v>
      </c>
      <c r="M4" s="14" t="s">
        <v>418</v>
      </c>
      <c r="N4" s="14">
        <v>260</v>
      </c>
      <c r="O4" s="258">
        <f t="shared" si="2"/>
        <v>-74.12954731016967</v>
      </c>
      <c r="P4" s="14">
        <f t="shared" si="0"/>
        <v>20170.8</v>
      </c>
      <c r="R4" s="846">
        <v>46142</v>
      </c>
      <c r="S4" s="344">
        <v>65</v>
      </c>
      <c r="T4" s="344">
        <v>64</v>
      </c>
      <c r="U4" s="344">
        <v>50.5</v>
      </c>
      <c r="V4" s="344">
        <v>3890.5</v>
      </c>
    </row>
    <row r="5" spans="1:22">
      <c r="A5" s="14" t="s">
        <v>712</v>
      </c>
      <c r="B5" s="14" t="s">
        <v>259</v>
      </c>
      <c r="C5" s="14" t="s">
        <v>717</v>
      </c>
      <c r="D5" s="14" t="s">
        <v>391</v>
      </c>
      <c r="E5" s="14">
        <v>76</v>
      </c>
      <c r="F5" s="14">
        <v>30</v>
      </c>
      <c r="G5" s="14">
        <f t="shared" si="1"/>
        <v>76.483333333333334</v>
      </c>
      <c r="H5" s="14"/>
      <c r="I5" s="14">
        <v>4589</v>
      </c>
      <c r="J5" s="939" t="s">
        <v>1207</v>
      </c>
      <c r="K5" s="14" t="s">
        <v>440</v>
      </c>
      <c r="L5" s="14" t="s">
        <v>598</v>
      </c>
      <c r="M5" s="14" t="s">
        <v>418</v>
      </c>
      <c r="N5" s="14">
        <v>260</v>
      </c>
      <c r="O5" s="258">
        <f t="shared" si="2"/>
        <v>-74.12954731016967</v>
      </c>
      <c r="P5" s="14">
        <f t="shared" si="0"/>
        <v>23862.799999999999</v>
      </c>
      <c r="R5" s="846" t="s">
        <v>1187</v>
      </c>
      <c r="S5" s="344">
        <v>77</v>
      </c>
      <c r="T5" s="344">
        <v>76</v>
      </c>
      <c r="U5" s="344">
        <v>47.7</v>
      </c>
      <c r="V5" s="344">
        <v>4608</v>
      </c>
    </row>
    <row r="6" spans="1:22">
      <c r="A6" s="14" t="s">
        <v>712</v>
      </c>
      <c r="B6" s="14" t="s">
        <v>259</v>
      </c>
      <c r="C6" s="14" t="s">
        <v>718</v>
      </c>
      <c r="D6" s="14" t="s">
        <v>391</v>
      </c>
      <c r="E6" s="326">
        <v>68</v>
      </c>
      <c r="F6" s="326">
        <v>57</v>
      </c>
      <c r="G6" s="326">
        <f t="shared" si="1"/>
        <v>69.05</v>
      </c>
      <c r="H6" s="326"/>
      <c r="I6" s="14">
        <v>4143</v>
      </c>
      <c r="J6" s="939" t="s">
        <v>1207</v>
      </c>
      <c r="K6" s="14" t="s">
        <v>440</v>
      </c>
      <c r="L6" s="14" t="s">
        <v>719</v>
      </c>
      <c r="M6" s="14" t="s">
        <v>418</v>
      </c>
      <c r="N6" s="14">
        <v>260</v>
      </c>
      <c r="O6" s="258">
        <f t="shared" si="2"/>
        <v>-74.12954731016967</v>
      </c>
      <c r="P6" s="14">
        <f t="shared" si="0"/>
        <v>21543.599999999999</v>
      </c>
      <c r="R6" s="846">
        <v>46142</v>
      </c>
      <c r="S6" s="344">
        <v>69</v>
      </c>
      <c r="T6" s="344">
        <v>69</v>
      </c>
      <c r="U6" s="344">
        <v>23.9</v>
      </c>
      <c r="V6" s="344">
        <v>4163.8999999999996</v>
      </c>
    </row>
    <row r="7" spans="1:22">
      <c r="A7" s="14" t="s">
        <v>712</v>
      </c>
      <c r="B7" s="14" t="s">
        <v>73</v>
      </c>
      <c r="C7" s="14" t="s">
        <v>720</v>
      </c>
      <c r="D7" s="14" t="s">
        <v>391</v>
      </c>
      <c r="E7" s="2">
        <v>53</v>
      </c>
      <c r="F7" s="2">
        <v>48</v>
      </c>
      <c r="G7" s="14">
        <f t="shared" si="1"/>
        <v>53.85</v>
      </c>
      <c r="H7" s="14"/>
      <c r="I7" s="14">
        <v>3231</v>
      </c>
      <c r="J7" s="939" t="s">
        <v>1207</v>
      </c>
      <c r="K7" s="14" t="s">
        <v>440</v>
      </c>
      <c r="L7" s="14" t="s">
        <v>721</v>
      </c>
      <c r="M7" s="14" t="s">
        <v>418</v>
      </c>
      <c r="N7" s="14">
        <v>260</v>
      </c>
      <c r="O7" s="258">
        <f t="shared" si="2"/>
        <v>-74.12954731016967</v>
      </c>
      <c r="P7" s="14">
        <f t="shared" si="0"/>
        <v>16801.2</v>
      </c>
      <c r="R7" s="846">
        <v>46142</v>
      </c>
      <c r="S7" s="344">
        <v>54</v>
      </c>
      <c r="T7" s="344">
        <v>53</v>
      </c>
      <c r="U7" s="344">
        <v>39.4</v>
      </c>
      <c r="V7" s="344">
        <v>3219.4</v>
      </c>
    </row>
    <row r="8" spans="1:22">
      <c r="A8" s="14" t="s">
        <v>712</v>
      </c>
      <c r="B8" s="14" t="s">
        <v>73</v>
      </c>
      <c r="C8" s="14" t="s">
        <v>722</v>
      </c>
      <c r="D8" s="14" t="s">
        <v>391</v>
      </c>
      <c r="E8" s="14">
        <v>54</v>
      </c>
      <c r="F8" s="14">
        <v>38</v>
      </c>
      <c r="G8" s="14">
        <f t="shared" si="1"/>
        <v>54.616666666666667</v>
      </c>
      <c r="H8" s="14"/>
      <c r="I8" s="14">
        <v>3277</v>
      </c>
      <c r="J8" s="939" t="s">
        <v>1207</v>
      </c>
      <c r="K8" s="14" t="s">
        <v>440</v>
      </c>
      <c r="L8" s="14" t="s">
        <v>719</v>
      </c>
      <c r="M8" s="14" t="s">
        <v>418</v>
      </c>
      <c r="N8" s="14">
        <v>260</v>
      </c>
      <c r="O8" s="258">
        <f t="shared" si="2"/>
        <v>-74.12954731016967</v>
      </c>
      <c r="P8" s="14">
        <f t="shared" si="0"/>
        <v>17040.400000000001</v>
      </c>
      <c r="R8" s="846">
        <v>46142</v>
      </c>
      <c r="S8" s="344">
        <v>55</v>
      </c>
      <c r="T8" s="344">
        <v>54</v>
      </c>
      <c r="U8" s="344">
        <v>39.5</v>
      </c>
      <c r="V8" s="344">
        <v>3279.5</v>
      </c>
    </row>
    <row r="9" spans="1:22">
      <c r="A9" s="14" t="s">
        <v>712</v>
      </c>
      <c r="B9" s="14" t="s">
        <v>723</v>
      </c>
      <c r="C9" s="14" t="s">
        <v>724</v>
      </c>
      <c r="D9" s="14" t="s">
        <v>391</v>
      </c>
      <c r="E9" s="14">
        <v>58</v>
      </c>
      <c r="F9" s="14">
        <v>8</v>
      </c>
      <c r="G9" s="14">
        <f t="shared" si="1"/>
        <v>58.18333333333333</v>
      </c>
      <c r="H9" s="14"/>
      <c r="I9" s="14">
        <v>3491</v>
      </c>
      <c r="J9" s="939" t="s">
        <v>1207</v>
      </c>
      <c r="K9" s="14" t="s">
        <v>440</v>
      </c>
      <c r="L9" s="14" t="s">
        <v>719</v>
      </c>
      <c r="M9" s="14" t="s">
        <v>418</v>
      </c>
      <c r="N9" s="14">
        <v>260</v>
      </c>
      <c r="O9" s="258">
        <f t="shared" si="2"/>
        <v>-74.12954731016967</v>
      </c>
      <c r="P9" s="14">
        <f t="shared" si="0"/>
        <v>18153.199999999997</v>
      </c>
      <c r="R9" s="846">
        <v>46142</v>
      </c>
      <c r="S9" s="344">
        <v>59</v>
      </c>
      <c r="T9" s="344">
        <v>58</v>
      </c>
      <c r="U9" s="344">
        <v>21.9</v>
      </c>
      <c r="V9" s="344">
        <v>3501.9</v>
      </c>
    </row>
    <row r="10" spans="1:22">
      <c r="A10" s="14" t="s">
        <v>712</v>
      </c>
      <c r="B10" s="14" t="s">
        <v>723</v>
      </c>
      <c r="C10" s="14" t="s">
        <v>725</v>
      </c>
      <c r="D10" s="14" t="s">
        <v>391</v>
      </c>
      <c r="E10" s="14">
        <v>61</v>
      </c>
      <c r="F10" s="14">
        <v>17</v>
      </c>
      <c r="G10" s="14">
        <f t="shared" si="1"/>
        <v>61.283333333333331</v>
      </c>
      <c r="H10" s="14"/>
      <c r="I10" s="14">
        <v>3677</v>
      </c>
      <c r="J10" s="939" t="s">
        <v>1207</v>
      </c>
      <c r="K10" s="14" t="s">
        <v>440</v>
      </c>
      <c r="L10" s="14" t="s">
        <v>401</v>
      </c>
      <c r="M10" s="14" t="s">
        <v>418</v>
      </c>
      <c r="N10" s="14">
        <v>260</v>
      </c>
      <c r="O10" s="258">
        <f t="shared" si="2"/>
        <v>-74.12954731016967</v>
      </c>
      <c r="P10" s="14">
        <f t="shared" si="0"/>
        <v>19120.399999999998</v>
      </c>
      <c r="R10" s="846">
        <v>46150</v>
      </c>
      <c r="S10" s="344">
        <v>62</v>
      </c>
      <c r="T10" s="344">
        <v>61</v>
      </c>
      <c r="U10" s="344">
        <v>29.2</v>
      </c>
      <c r="V10" s="344">
        <v>3689.2</v>
      </c>
    </row>
    <row r="11" spans="1:22">
      <c r="A11" s="14" t="s">
        <v>712</v>
      </c>
      <c r="B11" s="14" t="s">
        <v>723</v>
      </c>
      <c r="C11" s="14" t="s">
        <v>726</v>
      </c>
      <c r="D11" s="14" t="s">
        <v>391</v>
      </c>
      <c r="E11" s="14">
        <v>78</v>
      </c>
      <c r="F11" s="14">
        <v>32</v>
      </c>
      <c r="G11" s="14">
        <f t="shared" si="1"/>
        <v>78.5</v>
      </c>
      <c r="H11" s="14"/>
      <c r="I11" s="14">
        <v>4710</v>
      </c>
      <c r="J11" s="939" t="s">
        <v>1207</v>
      </c>
      <c r="K11" s="14" t="s">
        <v>440</v>
      </c>
      <c r="L11" s="14" t="s">
        <v>443</v>
      </c>
      <c r="M11" s="14" t="s">
        <v>418</v>
      </c>
      <c r="N11" s="14">
        <v>260</v>
      </c>
      <c r="O11" s="258">
        <f t="shared" si="2"/>
        <v>-74.12954731016967</v>
      </c>
      <c r="P11" s="14">
        <f t="shared" si="0"/>
        <v>24492</v>
      </c>
      <c r="R11" s="846">
        <v>46150</v>
      </c>
      <c r="S11" s="344">
        <v>89</v>
      </c>
      <c r="T11" s="344">
        <v>78</v>
      </c>
      <c r="U11" s="344">
        <v>23.9</v>
      </c>
      <c r="V11" s="344">
        <v>4703.8999999999996</v>
      </c>
    </row>
    <row r="12" spans="1:22">
      <c r="A12" s="14" t="s">
        <v>712</v>
      </c>
      <c r="B12" s="14" t="s">
        <v>727</v>
      </c>
      <c r="C12" s="14" t="s">
        <v>728</v>
      </c>
      <c r="D12" s="14" t="s">
        <v>391</v>
      </c>
      <c r="E12" s="14">
        <v>57</v>
      </c>
      <c r="F12" s="14">
        <v>26</v>
      </c>
      <c r="G12" s="14">
        <f t="shared" si="1"/>
        <v>57.4</v>
      </c>
      <c r="H12" s="14"/>
      <c r="I12" s="14">
        <v>3444</v>
      </c>
      <c r="J12" s="939" t="s">
        <v>1207</v>
      </c>
      <c r="K12" s="14" t="s">
        <v>440</v>
      </c>
      <c r="L12" s="14" t="s">
        <v>443</v>
      </c>
      <c r="M12" s="14" t="s">
        <v>418</v>
      </c>
      <c r="N12" s="14">
        <v>260</v>
      </c>
      <c r="O12" s="258">
        <f t="shared" si="2"/>
        <v>-74.12954731016967</v>
      </c>
      <c r="P12" s="14">
        <f t="shared" si="0"/>
        <v>17908.8</v>
      </c>
      <c r="R12" s="846">
        <v>46150</v>
      </c>
      <c r="S12" s="344">
        <v>58</v>
      </c>
      <c r="T12" s="344">
        <v>57</v>
      </c>
      <c r="U12" s="344">
        <v>52.8</v>
      </c>
      <c r="V12" s="344">
        <v>3472.8</v>
      </c>
    </row>
    <row r="13" spans="1:22">
      <c r="A13" s="14" t="s">
        <v>712</v>
      </c>
      <c r="B13" s="14" t="s">
        <v>727</v>
      </c>
      <c r="C13" s="14" t="s">
        <v>729</v>
      </c>
      <c r="D13" s="14" t="s">
        <v>391</v>
      </c>
      <c r="E13" s="14">
        <v>57</v>
      </c>
      <c r="F13" s="14">
        <v>45</v>
      </c>
      <c r="G13" s="14">
        <f t="shared" si="1"/>
        <v>57.75</v>
      </c>
      <c r="H13" s="14"/>
      <c r="I13" s="14">
        <v>3465</v>
      </c>
      <c r="J13" s="939" t="s">
        <v>1207</v>
      </c>
      <c r="K13" s="14" t="s">
        <v>440</v>
      </c>
      <c r="L13" s="14" t="s">
        <v>401</v>
      </c>
      <c r="M13" s="14" t="s">
        <v>418</v>
      </c>
      <c r="N13" s="14">
        <v>260</v>
      </c>
      <c r="O13" s="258">
        <f t="shared" si="2"/>
        <v>-74.12954731016967</v>
      </c>
      <c r="P13" s="14">
        <f t="shared" si="0"/>
        <v>18018</v>
      </c>
      <c r="R13" s="846">
        <v>46142</v>
      </c>
      <c r="S13" s="344">
        <v>58</v>
      </c>
      <c r="T13" s="344">
        <v>58</v>
      </c>
      <c r="U13" s="344">
        <f>SUM(U3:U12)</f>
        <v>348.4</v>
      </c>
      <c r="V13" s="344">
        <v>3488.8</v>
      </c>
    </row>
    <row r="14" spans="1:22">
      <c r="A14" s="14" t="s">
        <v>712</v>
      </c>
      <c r="B14" s="14" t="s">
        <v>259</v>
      </c>
      <c r="C14" s="14" t="s">
        <v>713</v>
      </c>
      <c r="D14" s="14" t="s">
        <v>392</v>
      </c>
      <c r="E14" s="14">
        <v>22</v>
      </c>
      <c r="F14" s="14">
        <v>62</v>
      </c>
      <c r="G14" s="14">
        <f t="shared" si="1"/>
        <v>22.95</v>
      </c>
      <c r="H14" s="14"/>
      <c r="I14" s="14">
        <v>1377</v>
      </c>
      <c r="J14" s="939" t="s">
        <v>1207</v>
      </c>
      <c r="K14" s="14" t="s">
        <v>730</v>
      </c>
      <c r="L14" s="14" t="s">
        <v>401</v>
      </c>
      <c r="M14" s="14" t="s">
        <v>418</v>
      </c>
      <c r="N14" s="14">
        <v>160</v>
      </c>
      <c r="O14" s="258">
        <f t="shared" si="2"/>
        <v>-164.84895219087363</v>
      </c>
      <c r="P14" s="14">
        <f t="shared" si="0"/>
        <v>4406.3999999999996</v>
      </c>
      <c r="R14" s="846">
        <v>46142</v>
      </c>
      <c r="S14" s="344">
        <v>23</v>
      </c>
      <c r="T14" s="344">
        <v>23</v>
      </c>
      <c r="U14" s="344">
        <v>0.3</v>
      </c>
      <c r="V14" s="344">
        <v>1380.3</v>
      </c>
    </row>
    <row r="15" spans="1:22">
      <c r="A15" s="14" t="s">
        <v>712</v>
      </c>
      <c r="B15" s="14" t="s">
        <v>259</v>
      </c>
      <c r="C15" s="14" t="s">
        <v>715</v>
      </c>
      <c r="D15" s="14" t="s">
        <v>392</v>
      </c>
      <c r="E15" s="14">
        <v>41</v>
      </c>
      <c r="F15" s="14">
        <v>12</v>
      </c>
      <c r="G15" s="14">
        <f t="shared" si="1"/>
        <v>41.25</v>
      </c>
      <c r="H15" s="14"/>
      <c r="I15" s="14">
        <v>2475</v>
      </c>
      <c r="J15" s="939" t="s">
        <v>1207</v>
      </c>
      <c r="K15" s="14" t="s">
        <v>730</v>
      </c>
      <c r="L15" s="14" t="s">
        <v>401</v>
      </c>
      <c r="M15" s="14" t="s">
        <v>418</v>
      </c>
      <c r="N15" s="14">
        <v>160</v>
      </c>
      <c r="O15" s="258">
        <f t="shared" si="2"/>
        <v>-164.84895219087363</v>
      </c>
      <c r="P15" s="14">
        <f t="shared" si="0"/>
        <v>7920</v>
      </c>
      <c r="R15" s="846">
        <v>46150</v>
      </c>
      <c r="S15" s="344">
        <v>42</v>
      </c>
      <c r="T15" s="344">
        <v>41</v>
      </c>
      <c r="U15" s="344">
        <v>22.2</v>
      </c>
      <c r="V15" s="344">
        <v>2482.1999999999998</v>
      </c>
    </row>
    <row r="16" spans="1:22">
      <c r="A16" s="14" t="s">
        <v>712</v>
      </c>
      <c r="B16" s="14" t="s">
        <v>259</v>
      </c>
      <c r="C16" s="14" t="s">
        <v>716</v>
      </c>
      <c r="D16" s="14" t="s">
        <v>392</v>
      </c>
      <c r="E16" s="14">
        <v>40</v>
      </c>
      <c r="F16" s="14">
        <v>63</v>
      </c>
      <c r="G16" s="14">
        <f t="shared" si="1"/>
        <v>41.05</v>
      </c>
      <c r="H16" s="14"/>
      <c r="I16" s="14">
        <v>2463</v>
      </c>
      <c r="J16" s="939" t="s">
        <v>1207</v>
      </c>
      <c r="K16" s="14" t="s">
        <v>730</v>
      </c>
      <c r="L16" s="14" t="s">
        <v>401</v>
      </c>
      <c r="M16" s="14" t="s">
        <v>418</v>
      </c>
      <c r="N16" s="14">
        <v>160</v>
      </c>
      <c r="O16" s="258">
        <f t="shared" si="2"/>
        <v>-164.84895219087363</v>
      </c>
      <c r="P16" s="14">
        <f t="shared" si="0"/>
        <v>7881.5999999999995</v>
      </c>
      <c r="R16" s="846">
        <v>46142</v>
      </c>
      <c r="S16" s="344">
        <v>41</v>
      </c>
      <c r="T16" s="344">
        <v>41</v>
      </c>
      <c r="U16" s="344">
        <f>SUM(U14:U15)</f>
        <v>22.5</v>
      </c>
      <c r="V16" s="344">
        <v>2477.1</v>
      </c>
    </row>
    <row r="17" spans="1:22">
      <c r="A17" s="14" t="s">
        <v>712</v>
      </c>
      <c r="B17" s="14" t="s">
        <v>259</v>
      </c>
      <c r="C17" s="14" t="s">
        <v>717</v>
      </c>
      <c r="D17" s="14" t="s">
        <v>392</v>
      </c>
      <c r="E17" s="14">
        <v>42</v>
      </c>
      <c r="F17" s="14">
        <v>20</v>
      </c>
      <c r="G17" s="14">
        <f t="shared" si="1"/>
        <v>42.25</v>
      </c>
      <c r="H17" s="14"/>
      <c r="I17" s="14">
        <v>2535</v>
      </c>
      <c r="J17" s="939" t="s">
        <v>1207</v>
      </c>
      <c r="K17" s="14" t="s">
        <v>442</v>
      </c>
      <c r="L17" s="14" t="s">
        <v>401</v>
      </c>
      <c r="M17" s="14" t="s">
        <v>418</v>
      </c>
      <c r="N17" s="14">
        <v>160</v>
      </c>
      <c r="O17" s="258">
        <f t="shared" si="2"/>
        <v>-164.84895219087363</v>
      </c>
      <c r="P17" s="14">
        <f t="shared" si="0"/>
        <v>8112</v>
      </c>
      <c r="R17" s="846" t="s">
        <v>1187</v>
      </c>
      <c r="S17" s="344">
        <v>43</v>
      </c>
      <c r="T17" s="344">
        <v>42</v>
      </c>
      <c r="U17" s="344">
        <v>23.3</v>
      </c>
      <c r="V17" s="344">
        <v>2543</v>
      </c>
    </row>
    <row r="18" spans="1:22">
      <c r="A18" s="14" t="s">
        <v>712</v>
      </c>
      <c r="B18" s="14" t="s">
        <v>259</v>
      </c>
      <c r="C18" s="14" t="s">
        <v>718</v>
      </c>
      <c r="D18" s="14" t="s">
        <v>392</v>
      </c>
      <c r="E18" s="14">
        <v>41</v>
      </c>
      <c r="F18" s="14">
        <v>52</v>
      </c>
      <c r="G18" s="14">
        <f t="shared" si="1"/>
        <v>41.9</v>
      </c>
      <c r="H18" s="14"/>
      <c r="I18" s="14">
        <v>2514</v>
      </c>
      <c r="J18" s="939" t="s">
        <v>1207</v>
      </c>
      <c r="K18" s="14" t="s">
        <v>730</v>
      </c>
      <c r="L18" s="14" t="s">
        <v>401</v>
      </c>
      <c r="M18" s="14" t="s">
        <v>418</v>
      </c>
      <c r="N18" s="14">
        <v>160</v>
      </c>
      <c r="O18" s="258">
        <f t="shared" si="2"/>
        <v>-164.84895219087363</v>
      </c>
      <c r="P18" s="14">
        <f t="shared" si="0"/>
        <v>8044.7999999999993</v>
      </c>
      <c r="R18" s="846">
        <v>46150</v>
      </c>
      <c r="S18" s="344">
        <v>42</v>
      </c>
      <c r="T18" s="344">
        <v>41</v>
      </c>
      <c r="U18" s="344">
        <v>57.2</v>
      </c>
      <c r="V18" s="344">
        <v>2517.1999999999998</v>
      </c>
    </row>
    <row r="19" spans="1:22" s="522" customFormat="1">
      <c r="A19" s="520" t="s">
        <v>712</v>
      </c>
      <c r="B19" s="520" t="s">
        <v>73</v>
      </c>
      <c r="C19" s="520" t="s">
        <v>720</v>
      </c>
      <c r="D19" s="520" t="s">
        <v>392</v>
      </c>
      <c r="E19" s="520">
        <v>36</v>
      </c>
      <c r="F19" s="520">
        <v>55</v>
      </c>
      <c r="G19" s="520">
        <f t="shared" si="1"/>
        <v>0</v>
      </c>
      <c r="H19" s="520"/>
      <c r="I19" s="520"/>
      <c r="J19" s="939" t="s">
        <v>1207</v>
      </c>
      <c r="K19" s="520" t="s">
        <v>730</v>
      </c>
      <c r="L19" s="520" t="s">
        <v>401</v>
      </c>
      <c r="M19" s="14" t="s">
        <v>418</v>
      </c>
      <c r="N19" s="520">
        <v>160</v>
      </c>
      <c r="O19" s="521">
        <f t="shared" si="2"/>
        <v>-164.84895219087363</v>
      </c>
      <c r="P19" s="520">
        <f t="shared" si="0"/>
        <v>0</v>
      </c>
      <c r="R19" s="846">
        <v>46142</v>
      </c>
      <c r="S19" s="344">
        <v>37</v>
      </c>
      <c r="T19" s="344">
        <v>36</v>
      </c>
      <c r="U19" s="344">
        <v>55.7</v>
      </c>
      <c r="V19" s="344">
        <v>2215.6999999999998</v>
      </c>
    </row>
    <row r="20" spans="1:22">
      <c r="A20" s="14" t="s">
        <v>712</v>
      </c>
      <c r="B20" s="14" t="s">
        <v>73</v>
      </c>
      <c r="C20" s="14" t="s">
        <v>722</v>
      </c>
      <c r="D20" s="14" t="s">
        <v>392</v>
      </c>
      <c r="E20" s="14">
        <v>35</v>
      </c>
      <c r="F20" s="14">
        <v>39</v>
      </c>
      <c r="G20" s="14">
        <f t="shared" si="1"/>
        <v>0</v>
      </c>
      <c r="H20" s="14"/>
      <c r="I20" s="14"/>
      <c r="J20" s="939" t="s">
        <v>1207</v>
      </c>
      <c r="K20" s="14" t="s">
        <v>730</v>
      </c>
      <c r="L20" s="14" t="s">
        <v>401</v>
      </c>
      <c r="M20" s="14" t="s">
        <v>418</v>
      </c>
      <c r="N20" s="14">
        <v>160</v>
      </c>
      <c r="O20" s="258">
        <f t="shared" si="2"/>
        <v>-164.84895219087363</v>
      </c>
      <c r="P20" s="14">
        <f t="shared" si="0"/>
        <v>0</v>
      </c>
      <c r="R20" s="846">
        <v>46142</v>
      </c>
      <c r="S20" s="344">
        <v>36</v>
      </c>
      <c r="T20" s="344">
        <v>35</v>
      </c>
      <c r="U20" s="344">
        <v>50.6</v>
      </c>
      <c r="V20" s="344">
        <v>2150.6</v>
      </c>
    </row>
    <row r="21" spans="1:22">
      <c r="A21" s="14" t="s">
        <v>712</v>
      </c>
      <c r="B21" s="14" t="s">
        <v>723</v>
      </c>
      <c r="C21" s="14" t="s">
        <v>724</v>
      </c>
      <c r="D21" s="14" t="s">
        <v>392</v>
      </c>
      <c r="E21" s="14">
        <v>39</v>
      </c>
      <c r="F21" s="14">
        <v>39</v>
      </c>
      <c r="G21" s="14">
        <f t="shared" si="1"/>
        <v>39.633333333333333</v>
      </c>
      <c r="H21" s="14"/>
      <c r="I21" s="14">
        <v>2378</v>
      </c>
      <c r="J21" s="939" t="s">
        <v>1207</v>
      </c>
      <c r="K21" s="14" t="s">
        <v>730</v>
      </c>
      <c r="L21" s="14" t="s">
        <v>401</v>
      </c>
      <c r="M21" s="14" t="s">
        <v>418</v>
      </c>
      <c r="N21" s="14">
        <v>160</v>
      </c>
      <c r="O21" s="258">
        <f t="shared" si="2"/>
        <v>-164.84895219087363</v>
      </c>
      <c r="P21" s="14">
        <f t="shared" si="0"/>
        <v>7609.5999999999995</v>
      </c>
      <c r="R21" s="846">
        <v>46142</v>
      </c>
      <c r="S21" s="344">
        <v>40</v>
      </c>
      <c r="T21" s="344">
        <v>39</v>
      </c>
      <c r="U21" s="344">
        <v>32</v>
      </c>
      <c r="V21" s="344">
        <v>2372</v>
      </c>
    </row>
    <row r="22" spans="1:22">
      <c r="A22" s="14" t="s">
        <v>712</v>
      </c>
      <c r="B22" s="14" t="s">
        <v>723</v>
      </c>
      <c r="C22" s="14" t="s">
        <v>725</v>
      </c>
      <c r="D22" s="14" t="s">
        <v>392</v>
      </c>
      <c r="E22" s="14">
        <v>37</v>
      </c>
      <c r="F22" s="14">
        <v>22</v>
      </c>
      <c r="G22" s="14">
        <f t="shared" si="1"/>
        <v>37.299999999999997</v>
      </c>
      <c r="H22" s="14"/>
      <c r="I22" s="14">
        <v>2238</v>
      </c>
      <c r="J22" s="939" t="s">
        <v>1207</v>
      </c>
      <c r="K22" s="14" t="s">
        <v>730</v>
      </c>
      <c r="L22" s="14" t="s">
        <v>401</v>
      </c>
      <c r="M22" s="14" t="s">
        <v>418</v>
      </c>
      <c r="N22" s="14">
        <v>160</v>
      </c>
      <c r="O22" s="258">
        <f t="shared" si="2"/>
        <v>-164.84895219087363</v>
      </c>
      <c r="P22" s="14">
        <f t="shared" si="0"/>
        <v>7161.5999999999995</v>
      </c>
      <c r="R22" s="846">
        <v>46142</v>
      </c>
      <c r="S22" s="344">
        <v>38</v>
      </c>
      <c r="T22" s="344">
        <v>37</v>
      </c>
      <c r="U22" s="344">
        <v>28.8</v>
      </c>
      <c r="V22" s="344">
        <v>2248.8000000000002</v>
      </c>
    </row>
    <row r="23" spans="1:22">
      <c r="A23" s="14" t="s">
        <v>712</v>
      </c>
      <c r="B23" s="14" t="s">
        <v>723</v>
      </c>
      <c r="C23" s="14" t="s">
        <v>726</v>
      </c>
      <c r="D23" s="14" t="s">
        <v>392</v>
      </c>
      <c r="E23" s="14">
        <v>51</v>
      </c>
      <c r="F23" s="14">
        <v>40</v>
      </c>
      <c r="G23" s="14">
        <f t="shared" si="1"/>
        <v>51.666666666666664</v>
      </c>
      <c r="H23" s="14" t="s">
        <v>1375</v>
      </c>
      <c r="I23" s="14">
        <f t="shared" ref="I23" si="3">E23*60+F23</f>
        <v>3100</v>
      </c>
      <c r="J23" s="939" t="s">
        <v>1207</v>
      </c>
      <c r="K23" s="14" t="s">
        <v>730</v>
      </c>
      <c r="L23" s="14" t="s">
        <v>401</v>
      </c>
      <c r="M23" s="14" t="s">
        <v>418</v>
      </c>
      <c r="N23" s="14">
        <v>160</v>
      </c>
      <c r="O23" s="258">
        <f t="shared" si="2"/>
        <v>-164.84895219087363</v>
      </c>
      <c r="P23" s="14">
        <f t="shared" si="0"/>
        <v>9919.9999999999982</v>
      </c>
      <c r="R23" s="846">
        <v>46150</v>
      </c>
      <c r="S23" s="344">
        <v>52</v>
      </c>
      <c r="T23" s="344">
        <v>51</v>
      </c>
      <c r="U23" s="344">
        <v>43.2</v>
      </c>
      <c r="V23" s="344">
        <v>3103.2</v>
      </c>
    </row>
    <row r="24" spans="1:22">
      <c r="A24" s="14" t="s">
        <v>712</v>
      </c>
      <c r="B24" s="14" t="s">
        <v>1121</v>
      </c>
      <c r="C24" s="14" t="s">
        <v>728</v>
      </c>
      <c r="D24" s="14" t="s">
        <v>392</v>
      </c>
      <c r="E24" s="14">
        <v>42</v>
      </c>
      <c r="F24" s="14">
        <v>12</v>
      </c>
      <c r="G24" s="14"/>
      <c r="H24" s="14">
        <v>350</v>
      </c>
      <c r="I24" s="14">
        <v>2537</v>
      </c>
      <c r="J24" s="939" t="s">
        <v>1207</v>
      </c>
      <c r="K24" s="14" t="s">
        <v>730</v>
      </c>
      <c r="L24" s="14" t="s">
        <v>401</v>
      </c>
      <c r="M24" s="14" t="s">
        <v>418</v>
      </c>
      <c r="N24" s="14">
        <v>160</v>
      </c>
      <c r="O24" s="258">
        <f t="shared" si="2"/>
        <v>-164.84895219087363</v>
      </c>
      <c r="P24" s="14">
        <f t="shared" si="0"/>
        <v>8118.4</v>
      </c>
      <c r="R24" s="846">
        <v>46150</v>
      </c>
      <c r="S24" s="344">
        <v>43</v>
      </c>
      <c r="T24" s="344">
        <v>42</v>
      </c>
      <c r="U24" s="344">
        <v>28.3</v>
      </c>
      <c r="V24" s="344">
        <v>2548.3000000000002</v>
      </c>
    </row>
    <row r="25" spans="1:22">
      <c r="A25" s="14" t="s">
        <v>712</v>
      </c>
      <c r="B25" s="14" t="s">
        <v>1121</v>
      </c>
      <c r="C25" s="14" t="s">
        <v>729</v>
      </c>
      <c r="D25" s="14" t="s">
        <v>392</v>
      </c>
      <c r="E25" s="14">
        <v>34</v>
      </c>
      <c r="F25" s="14">
        <v>26</v>
      </c>
      <c r="G25" s="14"/>
      <c r="H25" s="14" t="s">
        <v>418</v>
      </c>
      <c r="I25" s="14">
        <v>2067</v>
      </c>
      <c r="J25" s="939" t="s">
        <v>1207</v>
      </c>
      <c r="K25" s="14" t="s">
        <v>730</v>
      </c>
      <c r="L25" s="14" t="s">
        <v>401</v>
      </c>
      <c r="M25" s="14"/>
      <c r="N25" s="14">
        <v>160</v>
      </c>
      <c r="O25" s="258">
        <f t="shared" si="2"/>
        <v>-164.84895219087363</v>
      </c>
      <c r="P25" s="14">
        <f t="shared" si="0"/>
        <v>6614.4</v>
      </c>
      <c r="R25" s="846">
        <v>46150</v>
      </c>
      <c r="S25" s="344">
        <v>35</v>
      </c>
      <c r="T25" s="344">
        <v>34</v>
      </c>
      <c r="U25" s="344">
        <v>38.5</v>
      </c>
      <c r="V25" s="344">
        <v>2078.5</v>
      </c>
    </row>
    <row r="26" spans="1:22">
      <c r="A26" s="14"/>
      <c r="B26" s="14"/>
      <c r="C26" s="14"/>
      <c r="D26" s="14"/>
      <c r="E26" s="258">
        <f>I26/60</f>
        <v>1141.5</v>
      </c>
      <c r="F26" s="14"/>
      <c r="G26" s="14"/>
      <c r="H26" s="14"/>
      <c r="I26" s="14">
        <f>SUM(I2:I25)</f>
        <v>68490</v>
      </c>
      <c r="J26" s="14"/>
      <c r="K26" s="14"/>
      <c r="L26" s="14"/>
      <c r="M26" s="14"/>
      <c r="N26" s="14"/>
      <c r="O26" s="14"/>
      <c r="P26" s="2">
        <f>SUM(P2:P25)</f>
        <v>308780</v>
      </c>
      <c r="V26">
        <f>SUM(V2:V25)</f>
        <v>73037.400000000009</v>
      </c>
    </row>
    <row r="27" spans="1:22">
      <c r="H27" t="s">
        <v>418</v>
      </c>
      <c r="V27">
        <f>V26/60</f>
        <v>1217.2900000000002</v>
      </c>
    </row>
    <row r="28" spans="1:22">
      <c r="H28" t="s">
        <v>418</v>
      </c>
      <c r="I28">
        <f>I26/60</f>
        <v>1141.5</v>
      </c>
      <c r="P28" s="246">
        <f>P26/I26*50</f>
        <v>225.41976930938824</v>
      </c>
    </row>
    <row r="29" spans="1:22">
      <c r="H29" t="s">
        <v>418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autoFilter ref="A1:V26" xr:uid="{230DA95A-66BF-4E2F-A0B6-B97D63F6D368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4EDF-FBDA-4D7B-865E-BAF7C06D7270}">
  <sheetPr filterMode="1">
    <pageSetUpPr fitToPage="1"/>
  </sheetPr>
  <dimension ref="A1:X243"/>
  <sheetViews>
    <sheetView workbookViewId="0">
      <selection activeCell="K10" sqref="K10"/>
    </sheetView>
  </sheetViews>
  <sheetFormatPr defaultRowHeight="12.5"/>
  <cols>
    <col min="1" max="1" width="16.453125" style="199" customWidth="1"/>
    <col min="2" max="2" width="8.81640625" style="199"/>
    <col min="3" max="3" width="14.54296875" style="199" customWidth="1"/>
    <col min="4" max="4" width="8.81640625" style="199"/>
    <col min="5" max="5" width="18.453125" style="199" customWidth="1"/>
    <col min="6" max="9" width="8.81640625" style="199"/>
    <col min="10" max="12" width="14.54296875" style="199" customWidth="1"/>
    <col min="13" max="13" width="18.453125" style="199" customWidth="1"/>
    <col min="14" max="15" width="18.453125" style="200" customWidth="1"/>
    <col min="16" max="19" width="18.453125" style="199" customWidth="1"/>
    <col min="20" max="20" width="21" style="199" customWidth="1"/>
    <col min="21" max="21" width="8.81640625" style="199"/>
    <col min="22" max="22" width="17.453125" style="286" customWidth="1"/>
    <col min="23" max="23" width="13.81640625" style="199" customWidth="1"/>
    <col min="24" max="259" width="8.81640625" style="199"/>
    <col min="260" max="260" width="13.453125" style="199" customWidth="1"/>
    <col min="261" max="261" width="8.81640625" style="199"/>
    <col min="262" max="262" width="10.453125" style="199" customWidth="1"/>
    <col min="263" max="263" width="8.81640625" style="199"/>
    <col min="264" max="264" width="6.1796875" style="199" customWidth="1"/>
    <col min="265" max="265" width="14.54296875" style="199" customWidth="1"/>
    <col min="266" max="266" width="8.81640625" style="199"/>
    <col min="267" max="267" width="26.1796875" style="199" bestFit="1" customWidth="1"/>
    <col min="268" max="272" width="8.81640625" style="199"/>
    <col min="273" max="273" width="14.54296875" style="199" customWidth="1"/>
    <col min="274" max="274" width="8.81640625" style="199"/>
    <col min="275" max="275" width="13.453125" style="199" bestFit="1" customWidth="1"/>
    <col min="276" max="515" width="8.81640625" style="199"/>
    <col min="516" max="516" width="13.453125" style="199" customWidth="1"/>
    <col min="517" max="517" width="8.81640625" style="199"/>
    <col min="518" max="518" width="10.453125" style="199" customWidth="1"/>
    <col min="519" max="519" width="8.81640625" style="199"/>
    <col min="520" max="520" width="6.1796875" style="199" customWidth="1"/>
    <col min="521" max="521" width="14.54296875" style="199" customWidth="1"/>
    <col min="522" max="522" width="8.81640625" style="199"/>
    <col min="523" max="523" width="26.1796875" style="199" bestFit="1" customWidth="1"/>
    <col min="524" max="528" width="8.81640625" style="199"/>
    <col min="529" max="529" width="14.54296875" style="199" customWidth="1"/>
    <col min="530" max="530" width="8.81640625" style="199"/>
    <col min="531" max="531" width="13.453125" style="199" bestFit="1" customWidth="1"/>
    <col min="532" max="771" width="8.81640625" style="199"/>
    <col min="772" max="772" width="13.453125" style="199" customWidth="1"/>
    <col min="773" max="773" width="8.81640625" style="199"/>
    <col min="774" max="774" width="10.453125" style="199" customWidth="1"/>
    <col min="775" max="775" width="8.81640625" style="199"/>
    <col min="776" max="776" width="6.1796875" style="199" customWidth="1"/>
    <col min="777" max="777" width="14.54296875" style="199" customWidth="1"/>
    <col min="778" max="778" width="8.81640625" style="199"/>
    <col min="779" max="779" width="26.1796875" style="199" bestFit="1" customWidth="1"/>
    <col min="780" max="784" width="8.81640625" style="199"/>
    <col min="785" max="785" width="14.54296875" style="199" customWidth="1"/>
    <col min="786" max="786" width="8.81640625" style="199"/>
    <col min="787" max="787" width="13.453125" style="199" bestFit="1" customWidth="1"/>
    <col min="788" max="1027" width="8.81640625" style="199"/>
    <col min="1028" max="1028" width="13.453125" style="199" customWidth="1"/>
    <col min="1029" max="1029" width="8.81640625" style="199"/>
    <col min="1030" max="1030" width="10.453125" style="199" customWidth="1"/>
    <col min="1031" max="1031" width="8.81640625" style="199"/>
    <col min="1032" max="1032" width="6.1796875" style="199" customWidth="1"/>
    <col min="1033" max="1033" width="14.54296875" style="199" customWidth="1"/>
    <col min="1034" max="1034" width="8.81640625" style="199"/>
    <col min="1035" max="1035" width="26.1796875" style="199" bestFit="1" customWidth="1"/>
    <col min="1036" max="1040" width="8.81640625" style="199"/>
    <col min="1041" max="1041" width="14.54296875" style="199" customWidth="1"/>
    <col min="1042" max="1042" width="8.81640625" style="199"/>
    <col min="1043" max="1043" width="13.453125" style="199" bestFit="1" customWidth="1"/>
    <col min="1044" max="1283" width="8.81640625" style="199"/>
    <col min="1284" max="1284" width="13.453125" style="199" customWidth="1"/>
    <col min="1285" max="1285" width="8.81640625" style="199"/>
    <col min="1286" max="1286" width="10.453125" style="199" customWidth="1"/>
    <col min="1287" max="1287" width="8.81640625" style="199"/>
    <col min="1288" max="1288" width="6.1796875" style="199" customWidth="1"/>
    <col min="1289" max="1289" width="14.54296875" style="199" customWidth="1"/>
    <col min="1290" max="1290" width="8.81640625" style="199"/>
    <col min="1291" max="1291" width="26.1796875" style="199" bestFit="1" customWidth="1"/>
    <col min="1292" max="1296" width="8.81640625" style="199"/>
    <col min="1297" max="1297" width="14.54296875" style="199" customWidth="1"/>
    <col min="1298" max="1298" width="8.81640625" style="199"/>
    <col min="1299" max="1299" width="13.453125" style="199" bestFit="1" customWidth="1"/>
    <col min="1300" max="1539" width="8.81640625" style="199"/>
    <col min="1540" max="1540" width="13.453125" style="199" customWidth="1"/>
    <col min="1541" max="1541" width="8.81640625" style="199"/>
    <col min="1542" max="1542" width="10.453125" style="199" customWidth="1"/>
    <col min="1543" max="1543" width="8.81640625" style="199"/>
    <col min="1544" max="1544" width="6.1796875" style="199" customWidth="1"/>
    <col min="1545" max="1545" width="14.54296875" style="199" customWidth="1"/>
    <col min="1546" max="1546" width="8.81640625" style="199"/>
    <col min="1547" max="1547" width="26.1796875" style="199" bestFit="1" customWidth="1"/>
    <col min="1548" max="1552" width="8.81640625" style="199"/>
    <col min="1553" max="1553" width="14.54296875" style="199" customWidth="1"/>
    <col min="1554" max="1554" width="8.81640625" style="199"/>
    <col min="1555" max="1555" width="13.453125" style="199" bestFit="1" customWidth="1"/>
    <col min="1556" max="1795" width="8.81640625" style="199"/>
    <col min="1796" max="1796" width="13.453125" style="199" customWidth="1"/>
    <col min="1797" max="1797" width="8.81640625" style="199"/>
    <col min="1798" max="1798" width="10.453125" style="199" customWidth="1"/>
    <col min="1799" max="1799" width="8.81640625" style="199"/>
    <col min="1800" max="1800" width="6.1796875" style="199" customWidth="1"/>
    <col min="1801" max="1801" width="14.54296875" style="199" customWidth="1"/>
    <col min="1802" max="1802" width="8.81640625" style="199"/>
    <col min="1803" max="1803" width="26.1796875" style="199" bestFit="1" customWidth="1"/>
    <col min="1804" max="1808" width="8.81640625" style="199"/>
    <col min="1809" max="1809" width="14.54296875" style="199" customWidth="1"/>
    <col min="1810" max="1810" width="8.81640625" style="199"/>
    <col min="1811" max="1811" width="13.453125" style="199" bestFit="1" customWidth="1"/>
    <col min="1812" max="2051" width="8.81640625" style="199"/>
    <col min="2052" max="2052" width="13.453125" style="199" customWidth="1"/>
    <col min="2053" max="2053" width="8.81640625" style="199"/>
    <col min="2054" max="2054" width="10.453125" style="199" customWidth="1"/>
    <col min="2055" max="2055" width="8.81640625" style="199"/>
    <col min="2056" max="2056" width="6.1796875" style="199" customWidth="1"/>
    <col min="2057" max="2057" width="14.54296875" style="199" customWidth="1"/>
    <col min="2058" max="2058" width="8.81640625" style="199"/>
    <col min="2059" max="2059" width="26.1796875" style="199" bestFit="1" customWidth="1"/>
    <col min="2060" max="2064" width="8.81640625" style="199"/>
    <col min="2065" max="2065" width="14.54296875" style="199" customWidth="1"/>
    <col min="2066" max="2066" width="8.81640625" style="199"/>
    <col min="2067" max="2067" width="13.453125" style="199" bestFit="1" customWidth="1"/>
    <col min="2068" max="2307" width="8.81640625" style="199"/>
    <col min="2308" max="2308" width="13.453125" style="199" customWidth="1"/>
    <col min="2309" max="2309" width="8.81640625" style="199"/>
    <col min="2310" max="2310" width="10.453125" style="199" customWidth="1"/>
    <col min="2311" max="2311" width="8.81640625" style="199"/>
    <col min="2312" max="2312" width="6.1796875" style="199" customWidth="1"/>
    <col min="2313" max="2313" width="14.54296875" style="199" customWidth="1"/>
    <col min="2314" max="2314" width="8.81640625" style="199"/>
    <col min="2315" max="2315" width="26.1796875" style="199" bestFit="1" customWidth="1"/>
    <col min="2316" max="2320" width="8.81640625" style="199"/>
    <col min="2321" max="2321" width="14.54296875" style="199" customWidth="1"/>
    <col min="2322" max="2322" width="8.81640625" style="199"/>
    <col min="2323" max="2323" width="13.453125" style="199" bestFit="1" customWidth="1"/>
    <col min="2324" max="2563" width="8.81640625" style="199"/>
    <col min="2564" max="2564" width="13.453125" style="199" customWidth="1"/>
    <col min="2565" max="2565" width="8.81640625" style="199"/>
    <col min="2566" max="2566" width="10.453125" style="199" customWidth="1"/>
    <col min="2567" max="2567" width="8.81640625" style="199"/>
    <col min="2568" max="2568" width="6.1796875" style="199" customWidth="1"/>
    <col min="2569" max="2569" width="14.54296875" style="199" customWidth="1"/>
    <col min="2570" max="2570" width="8.81640625" style="199"/>
    <col min="2571" max="2571" width="26.1796875" style="199" bestFit="1" customWidth="1"/>
    <col min="2572" max="2576" width="8.81640625" style="199"/>
    <col min="2577" max="2577" width="14.54296875" style="199" customWidth="1"/>
    <col min="2578" max="2578" width="8.81640625" style="199"/>
    <col min="2579" max="2579" width="13.453125" style="199" bestFit="1" customWidth="1"/>
    <col min="2580" max="2819" width="8.81640625" style="199"/>
    <col min="2820" max="2820" width="13.453125" style="199" customWidth="1"/>
    <col min="2821" max="2821" width="8.81640625" style="199"/>
    <col min="2822" max="2822" width="10.453125" style="199" customWidth="1"/>
    <col min="2823" max="2823" width="8.81640625" style="199"/>
    <col min="2824" max="2824" width="6.1796875" style="199" customWidth="1"/>
    <col min="2825" max="2825" width="14.54296875" style="199" customWidth="1"/>
    <col min="2826" max="2826" width="8.81640625" style="199"/>
    <col min="2827" max="2827" width="26.1796875" style="199" bestFit="1" customWidth="1"/>
    <col min="2828" max="2832" width="8.81640625" style="199"/>
    <col min="2833" max="2833" width="14.54296875" style="199" customWidth="1"/>
    <col min="2834" max="2834" width="8.81640625" style="199"/>
    <col min="2835" max="2835" width="13.453125" style="199" bestFit="1" customWidth="1"/>
    <col min="2836" max="3075" width="8.81640625" style="199"/>
    <col min="3076" max="3076" width="13.453125" style="199" customWidth="1"/>
    <col min="3077" max="3077" width="8.81640625" style="199"/>
    <col min="3078" max="3078" width="10.453125" style="199" customWidth="1"/>
    <col min="3079" max="3079" width="8.81640625" style="199"/>
    <col min="3080" max="3080" width="6.1796875" style="199" customWidth="1"/>
    <col min="3081" max="3081" width="14.54296875" style="199" customWidth="1"/>
    <col min="3082" max="3082" width="8.81640625" style="199"/>
    <col min="3083" max="3083" width="26.1796875" style="199" bestFit="1" customWidth="1"/>
    <col min="3084" max="3088" width="8.81640625" style="199"/>
    <col min="3089" max="3089" width="14.54296875" style="199" customWidth="1"/>
    <col min="3090" max="3090" width="8.81640625" style="199"/>
    <col min="3091" max="3091" width="13.453125" style="199" bestFit="1" customWidth="1"/>
    <col min="3092" max="3331" width="8.81640625" style="199"/>
    <col min="3332" max="3332" width="13.453125" style="199" customWidth="1"/>
    <col min="3333" max="3333" width="8.81640625" style="199"/>
    <col min="3334" max="3334" width="10.453125" style="199" customWidth="1"/>
    <col min="3335" max="3335" width="8.81640625" style="199"/>
    <col min="3336" max="3336" width="6.1796875" style="199" customWidth="1"/>
    <col min="3337" max="3337" width="14.54296875" style="199" customWidth="1"/>
    <col min="3338" max="3338" width="8.81640625" style="199"/>
    <col min="3339" max="3339" width="26.1796875" style="199" bestFit="1" customWidth="1"/>
    <col min="3340" max="3344" width="8.81640625" style="199"/>
    <col min="3345" max="3345" width="14.54296875" style="199" customWidth="1"/>
    <col min="3346" max="3346" width="8.81640625" style="199"/>
    <col min="3347" max="3347" width="13.453125" style="199" bestFit="1" customWidth="1"/>
    <col min="3348" max="3587" width="8.81640625" style="199"/>
    <col min="3588" max="3588" width="13.453125" style="199" customWidth="1"/>
    <col min="3589" max="3589" width="8.81640625" style="199"/>
    <col min="3590" max="3590" width="10.453125" style="199" customWidth="1"/>
    <col min="3591" max="3591" width="8.81640625" style="199"/>
    <col min="3592" max="3592" width="6.1796875" style="199" customWidth="1"/>
    <col min="3593" max="3593" width="14.54296875" style="199" customWidth="1"/>
    <col min="3594" max="3594" width="8.81640625" style="199"/>
    <col min="3595" max="3595" width="26.1796875" style="199" bestFit="1" customWidth="1"/>
    <col min="3596" max="3600" width="8.81640625" style="199"/>
    <col min="3601" max="3601" width="14.54296875" style="199" customWidth="1"/>
    <col min="3602" max="3602" width="8.81640625" style="199"/>
    <col min="3603" max="3603" width="13.453125" style="199" bestFit="1" customWidth="1"/>
    <col min="3604" max="3843" width="8.81640625" style="199"/>
    <col min="3844" max="3844" width="13.453125" style="199" customWidth="1"/>
    <col min="3845" max="3845" width="8.81640625" style="199"/>
    <col min="3846" max="3846" width="10.453125" style="199" customWidth="1"/>
    <col min="3847" max="3847" width="8.81640625" style="199"/>
    <col min="3848" max="3848" width="6.1796875" style="199" customWidth="1"/>
    <col min="3849" max="3849" width="14.54296875" style="199" customWidth="1"/>
    <col min="3850" max="3850" width="8.81640625" style="199"/>
    <col min="3851" max="3851" width="26.1796875" style="199" bestFit="1" customWidth="1"/>
    <col min="3852" max="3856" width="8.81640625" style="199"/>
    <col min="3857" max="3857" width="14.54296875" style="199" customWidth="1"/>
    <col min="3858" max="3858" width="8.81640625" style="199"/>
    <col min="3859" max="3859" width="13.453125" style="199" bestFit="1" customWidth="1"/>
    <col min="3860" max="4099" width="8.81640625" style="199"/>
    <col min="4100" max="4100" width="13.453125" style="199" customWidth="1"/>
    <col min="4101" max="4101" width="8.81640625" style="199"/>
    <col min="4102" max="4102" width="10.453125" style="199" customWidth="1"/>
    <col min="4103" max="4103" width="8.81640625" style="199"/>
    <col min="4104" max="4104" width="6.1796875" style="199" customWidth="1"/>
    <col min="4105" max="4105" width="14.54296875" style="199" customWidth="1"/>
    <col min="4106" max="4106" width="8.81640625" style="199"/>
    <col min="4107" max="4107" width="26.1796875" style="199" bestFit="1" customWidth="1"/>
    <col min="4108" max="4112" width="8.81640625" style="199"/>
    <col min="4113" max="4113" width="14.54296875" style="199" customWidth="1"/>
    <col min="4114" max="4114" width="8.81640625" style="199"/>
    <col min="4115" max="4115" width="13.453125" style="199" bestFit="1" customWidth="1"/>
    <col min="4116" max="4355" width="8.81640625" style="199"/>
    <col min="4356" max="4356" width="13.453125" style="199" customWidth="1"/>
    <col min="4357" max="4357" width="8.81640625" style="199"/>
    <col min="4358" max="4358" width="10.453125" style="199" customWidth="1"/>
    <col min="4359" max="4359" width="8.81640625" style="199"/>
    <col min="4360" max="4360" width="6.1796875" style="199" customWidth="1"/>
    <col min="4361" max="4361" width="14.54296875" style="199" customWidth="1"/>
    <col min="4362" max="4362" width="8.81640625" style="199"/>
    <col min="4363" max="4363" width="26.1796875" style="199" bestFit="1" customWidth="1"/>
    <col min="4364" max="4368" width="8.81640625" style="199"/>
    <col min="4369" max="4369" width="14.54296875" style="199" customWidth="1"/>
    <col min="4370" max="4370" width="8.81640625" style="199"/>
    <col min="4371" max="4371" width="13.453125" style="199" bestFit="1" customWidth="1"/>
    <col min="4372" max="4611" width="8.81640625" style="199"/>
    <col min="4612" max="4612" width="13.453125" style="199" customWidth="1"/>
    <col min="4613" max="4613" width="8.81640625" style="199"/>
    <col min="4614" max="4614" width="10.453125" style="199" customWidth="1"/>
    <col min="4615" max="4615" width="8.81640625" style="199"/>
    <col min="4616" max="4616" width="6.1796875" style="199" customWidth="1"/>
    <col min="4617" max="4617" width="14.54296875" style="199" customWidth="1"/>
    <col min="4618" max="4618" width="8.81640625" style="199"/>
    <col min="4619" max="4619" width="26.1796875" style="199" bestFit="1" customWidth="1"/>
    <col min="4620" max="4624" width="8.81640625" style="199"/>
    <col min="4625" max="4625" width="14.54296875" style="199" customWidth="1"/>
    <col min="4626" max="4626" width="8.81640625" style="199"/>
    <col min="4627" max="4627" width="13.453125" style="199" bestFit="1" customWidth="1"/>
    <col min="4628" max="4867" width="8.81640625" style="199"/>
    <col min="4868" max="4868" width="13.453125" style="199" customWidth="1"/>
    <col min="4869" max="4869" width="8.81640625" style="199"/>
    <col min="4870" max="4870" width="10.453125" style="199" customWidth="1"/>
    <col min="4871" max="4871" width="8.81640625" style="199"/>
    <col min="4872" max="4872" width="6.1796875" style="199" customWidth="1"/>
    <col min="4873" max="4873" width="14.54296875" style="199" customWidth="1"/>
    <col min="4874" max="4874" width="8.81640625" style="199"/>
    <col min="4875" max="4875" width="26.1796875" style="199" bestFit="1" customWidth="1"/>
    <col min="4876" max="4880" width="8.81640625" style="199"/>
    <col min="4881" max="4881" width="14.54296875" style="199" customWidth="1"/>
    <col min="4882" max="4882" width="8.81640625" style="199"/>
    <col min="4883" max="4883" width="13.453125" style="199" bestFit="1" customWidth="1"/>
    <col min="4884" max="5123" width="8.81640625" style="199"/>
    <col min="5124" max="5124" width="13.453125" style="199" customWidth="1"/>
    <col min="5125" max="5125" width="8.81640625" style="199"/>
    <col min="5126" max="5126" width="10.453125" style="199" customWidth="1"/>
    <col min="5127" max="5127" width="8.81640625" style="199"/>
    <col min="5128" max="5128" width="6.1796875" style="199" customWidth="1"/>
    <col min="5129" max="5129" width="14.54296875" style="199" customWidth="1"/>
    <col min="5130" max="5130" width="8.81640625" style="199"/>
    <col min="5131" max="5131" width="26.1796875" style="199" bestFit="1" customWidth="1"/>
    <col min="5132" max="5136" width="8.81640625" style="199"/>
    <col min="5137" max="5137" width="14.54296875" style="199" customWidth="1"/>
    <col min="5138" max="5138" width="8.81640625" style="199"/>
    <col min="5139" max="5139" width="13.453125" style="199" bestFit="1" customWidth="1"/>
    <col min="5140" max="5379" width="8.81640625" style="199"/>
    <col min="5380" max="5380" width="13.453125" style="199" customWidth="1"/>
    <col min="5381" max="5381" width="8.81640625" style="199"/>
    <col min="5382" max="5382" width="10.453125" style="199" customWidth="1"/>
    <col min="5383" max="5383" width="8.81640625" style="199"/>
    <col min="5384" max="5384" width="6.1796875" style="199" customWidth="1"/>
    <col min="5385" max="5385" width="14.54296875" style="199" customWidth="1"/>
    <col min="5386" max="5386" width="8.81640625" style="199"/>
    <col min="5387" max="5387" width="26.1796875" style="199" bestFit="1" customWidth="1"/>
    <col min="5388" max="5392" width="8.81640625" style="199"/>
    <col min="5393" max="5393" width="14.54296875" style="199" customWidth="1"/>
    <col min="5394" max="5394" width="8.81640625" style="199"/>
    <col min="5395" max="5395" width="13.453125" style="199" bestFit="1" customWidth="1"/>
    <col min="5396" max="5635" width="8.81640625" style="199"/>
    <col min="5636" max="5636" width="13.453125" style="199" customWidth="1"/>
    <col min="5637" max="5637" width="8.81640625" style="199"/>
    <col min="5638" max="5638" width="10.453125" style="199" customWidth="1"/>
    <col min="5639" max="5639" width="8.81640625" style="199"/>
    <col min="5640" max="5640" width="6.1796875" style="199" customWidth="1"/>
    <col min="5641" max="5641" width="14.54296875" style="199" customWidth="1"/>
    <col min="5642" max="5642" width="8.81640625" style="199"/>
    <col min="5643" max="5643" width="26.1796875" style="199" bestFit="1" customWidth="1"/>
    <col min="5644" max="5648" width="8.81640625" style="199"/>
    <col min="5649" max="5649" width="14.54296875" style="199" customWidth="1"/>
    <col min="5650" max="5650" width="8.81640625" style="199"/>
    <col min="5651" max="5651" width="13.453125" style="199" bestFit="1" customWidth="1"/>
    <col min="5652" max="5891" width="8.81640625" style="199"/>
    <col min="5892" max="5892" width="13.453125" style="199" customWidth="1"/>
    <col min="5893" max="5893" width="8.81640625" style="199"/>
    <col min="5894" max="5894" width="10.453125" style="199" customWidth="1"/>
    <col min="5895" max="5895" width="8.81640625" style="199"/>
    <col min="5896" max="5896" width="6.1796875" style="199" customWidth="1"/>
    <col min="5897" max="5897" width="14.54296875" style="199" customWidth="1"/>
    <col min="5898" max="5898" width="8.81640625" style="199"/>
    <col min="5899" max="5899" width="26.1796875" style="199" bestFit="1" customWidth="1"/>
    <col min="5900" max="5904" width="8.81640625" style="199"/>
    <col min="5905" max="5905" width="14.54296875" style="199" customWidth="1"/>
    <col min="5906" max="5906" width="8.81640625" style="199"/>
    <col min="5907" max="5907" width="13.453125" style="199" bestFit="1" customWidth="1"/>
    <col min="5908" max="6147" width="8.81640625" style="199"/>
    <col min="6148" max="6148" width="13.453125" style="199" customWidth="1"/>
    <col min="6149" max="6149" width="8.81640625" style="199"/>
    <col min="6150" max="6150" width="10.453125" style="199" customWidth="1"/>
    <col min="6151" max="6151" width="8.81640625" style="199"/>
    <col min="6152" max="6152" width="6.1796875" style="199" customWidth="1"/>
    <col min="6153" max="6153" width="14.54296875" style="199" customWidth="1"/>
    <col min="6154" max="6154" width="8.81640625" style="199"/>
    <col min="6155" max="6155" width="26.1796875" style="199" bestFit="1" customWidth="1"/>
    <col min="6156" max="6160" width="8.81640625" style="199"/>
    <col min="6161" max="6161" width="14.54296875" style="199" customWidth="1"/>
    <col min="6162" max="6162" width="8.81640625" style="199"/>
    <col min="6163" max="6163" width="13.453125" style="199" bestFit="1" customWidth="1"/>
    <col min="6164" max="6403" width="8.81640625" style="199"/>
    <col min="6404" max="6404" width="13.453125" style="199" customWidth="1"/>
    <col min="6405" max="6405" width="8.81640625" style="199"/>
    <col min="6406" max="6406" width="10.453125" style="199" customWidth="1"/>
    <col min="6407" max="6407" width="8.81640625" style="199"/>
    <col min="6408" max="6408" width="6.1796875" style="199" customWidth="1"/>
    <col min="6409" max="6409" width="14.54296875" style="199" customWidth="1"/>
    <col min="6410" max="6410" width="8.81640625" style="199"/>
    <col min="6411" max="6411" width="26.1796875" style="199" bestFit="1" customWidth="1"/>
    <col min="6412" max="6416" width="8.81640625" style="199"/>
    <col min="6417" max="6417" width="14.54296875" style="199" customWidth="1"/>
    <col min="6418" max="6418" width="8.81640625" style="199"/>
    <col min="6419" max="6419" width="13.453125" style="199" bestFit="1" customWidth="1"/>
    <col min="6420" max="6659" width="8.81640625" style="199"/>
    <col min="6660" max="6660" width="13.453125" style="199" customWidth="1"/>
    <col min="6661" max="6661" width="8.81640625" style="199"/>
    <col min="6662" max="6662" width="10.453125" style="199" customWidth="1"/>
    <col min="6663" max="6663" width="8.81640625" style="199"/>
    <col min="6664" max="6664" width="6.1796875" style="199" customWidth="1"/>
    <col min="6665" max="6665" width="14.54296875" style="199" customWidth="1"/>
    <col min="6666" max="6666" width="8.81640625" style="199"/>
    <col min="6667" max="6667" width="26.1796875" style="199" bestFit="1" customWidth="1"/>
    <col min="6668" max="6672" width="8.81640625" style="199"/>
    <col min="6673" max="6673" width="14.54296875" style="199" customWidth="1"/>
    <col min="6674" max="6674" width="8.81640625" style="199"/>
    <col min="6675" max="6675" width="13.453125" style="199" bestFit="1" customWidth="1"/>
    <col min="6676" max="6915" width="8.81640625" style="199"/>
    <col min="6916" max="6916" width="13.453125" style="199" customWidth="1"/>
    <col min="6917" max="6917" width="8.81640625" style="199"/>
    <col min="6918" max="6918" width="10.453125" style="199" customWidth="1"/>
    <col min="6919" max="6919" width="8.81640625" style="199"/>
    <col min="6920" max="6920" width="6.1796875" style="199" customWidth="1"/>
    <col min="6921" max="6921" width="14.54296875" style="199" customWidth="1"/>
    <col min="6922" max="6922" width="8.81640625" style="199"/>
    <col min="6923" max="6923" width="26.1796875" style="199" bestFit="1" customWidth="1"/>
    <col min="6924" max="6928" width="8.81640625" style="199"/>
    <col min="6929" max="6929" width="14.54296875" style="199" customWidth="1"/>
    <col min="6930" max="6930" width="8.81640625" style="199"/>
    <col min="6931" max="6931" width="13.453125" style="199" bestFit="1" customWidth="1"/>
    <col min="6932" max="7171" width="8.81640625" style="199"/>
    <col min="7172" max="7172" width="13.453125" style="199" customWidth="1"/>
    <col min="7173" max="7173" width="8.81640625" style="199"/>
    <col min="7174" max="7174" width="10.453125" style="199" customWidth="1"/>
    <col min="7175" max="7175" width="8.81640625" style="199"/>
    <col min="7176" max="7176" width="6.1796875" style="199" customWidth="1"/>
    <col min="7177" max="7177" width="14.54296875" style="199" customWidth="1"/>
    <col min="7178" max="7178" width="8.81640625" style="199"/>
    <col min="7179" max="7179" width="26.1796875" style="199" bestFit="1" customWidth="1"/>
    <col min="7180" max="7184" width="8.81640625" style="199"/>
    <col min="7185" max="7185" width="14.54296875" style="199" customWidth="1"/>
    <col min="7186" max="7186" width="8.81640625" style="199"/>
    <col min="7187" max="7187" width="13.453125" style="199" bestFit="1" customWidth="1"/>
    <col min="7188" max="7427" width="8.81640625" style="199"/>
    <col min="7428" max="7428" width="13.453125" style="199" customWidth="1"/>
    <col min="7429" max="7429" width="8.81640625" style="199"/>
    <col min="7430" max="7430" width="10.453125" style="199" customWidth="1"/>
    <col min="7431" max="7431" width="8.81640625" style="199"/>
    <col min="7432" max="7432" width="6.1796875" style="199" customWidth="1"/>
    <col min="7433" max="7433" width="14.54296875" style="199" customWidth="1"/>
    <col min="7434" max="7434" width="8.81640625" style="199"/>
    <col min="7435" max="7435" width="26.1796875" style="199" bestFit="1" customWidth="1"/>
    <col min="7436" max="7440" width="8.81640625" style="199"/>
    <col min="7441" max="7441" width="14.54296875" style="199" customWidth="1"/>
    <col min="7442" max="7442" width="8.81640625" style="199"/>
    <col min="7443" max="7443" width="13.453125" style="199" bestFit="1" customWidth="1"/>
    <col min="7444" max="7683" width="8.81640625" style="199"/>
    <col min="7684" max="7684" width="13.453125" style="199" customWidth="1"/>
    <col min="7685" max="7685" width="8.81640625" style="199"/>
    <col min="7686" max="7686" width="10.453125" style="199" customWidth="1"/>
    <col min="7687" max="7687" width="8.81640625" style="199"/>
    <col min="7688" max="7688" width="6.1796875" style="199" customWidth="1"/>
    <col min="7689" max="7689" width="14.54296875" style="199" customWidth="1"/>
    <col min="7690" max="7690" width="8.81640625" style="199"/>
    <col min="7691" max="7691" width="26.1796875" style="199" bestFit="1" customWidth="1"/>
    <col min="7692" max="7696" width="8.81640625" style="199"/>
    <col min="7697" max="7697" width="14.54296875" style="199" customWidth="1"/>
    <col min="7698" max="7698" width="8.81640625" style="199"/>
    <col min="7699" max="7699" width="13.453125" style="199" bestFit="1" customWidth="1"/>
    <col min="7700" max="7939" width="8.81640625" style="199"/>
    <col min="7940" max="7940" width="13.453125" style="199" customWidth="1"/>
    <col min="7941" max="7941" width="8.81640625" style="199"/>
    <col min="7942" max="7942" width="10.453125" style="199" customWidth="1"/>
    <col min="7943" max="7943" width="8.81640625" style="199"/>
    <col min="7944" max="7944" width="6.1796875" style="199" customWidth="1"/>
    <col min="7945" max="7945" width="14.54296875" style="199" customWidth="1"/>
    <col min="7946" max="7946" width="8.81640625" style="199"/>
    <col min="7947" max="7947" width="26.1796875" style="199" bestFit="1" customWidth="1"/>
    <col min="7948" max="7952" width="8.81640625" style="199"/>
    <col min="7953" max="7953" width="14.54296875" style="199" customWidth="1"/>
    <col min="7954" max="7954" width="8.81640625" style="199"/>
    <col min="7955" max="7955" width="13.453125" style="199" bestFit="1" customWidth="1"/>
    <col min="7956" max="8195" width="8.81640625" style="199"/>
    <col min="8196" max="8196" width="13.453125" style="199" customWidth="1"/>
    <col min="8197" max="8197" width="8.81640625" style="199"/>
    <col min="8198" max="8198" width="10.453125" style="199" customWidth="1"/>
    <col min="8199" max="8199" width="8.81640625" style="199"/>
    <col min="8200" max="8200" width="6.1796875" style="199" customWidth="1"/>
    <col min="8201" max="8201" width="14.54296875" style="199" customWidth="1"/>
    <col min="8202" max="8202" width="8.81640625" style="199"/>
    <col min="8203" max="8203" width="26.1796875" style="199" bestFit="1" customWidth="1"/>
    <col min="8204" max="8208" width="8.81640625" style="199"/>
    <col min="8209" max="8209" width="14.54296875" style="199" customWidth="1"/>
    <col min="8210" max="8210" width="8.81640625" style="199"/>
    <col min="8211" max="8211" width="13.453125" style="199" bestFit="1" customWidth="1"/>
    <col min="8212" max="8451" width="8.81640625" style="199"/>
    <col min="8452" max="8452" width="13.453125" style="199" customWidth="1"/>
    <col min="8453" max="8453" width="8.81640625" style="199"/>
    <col min="8454" max="8454" width="10.453125" style="199" customWidth="1"/>
    <col min="8455" max="8455" width="8.81640625" style="199"/>
    <col min="8456" max="8456" width="6.1796875" style="199" customWidth="1"/>
    <col min="8457" max="8457" width="14.54296875" style="199" customWidth="1"/>
    <col min="8458" max="8458" width="8.81640625" style="199"/>
    <col min="8459" max="8459" width="26.1796875" style="199" bestFit="1" customWidth="1"/>
    <col min="8460" max="8464" width="8.81640625" style="199"/>
    <col min="8465" max="8465" width="14.54296875" style="199" customWidth="1"/>
    <col min="8466" max="8466" width="8.81640625" style="199"/>
    <col min="8467" max="8467" width="13.453125" style="199" bestFit="1" customWidth="1"/>
    <col min="8468" max="8707" width="8.81640625" style="199"/>
    <col min="8708" max="8708" width="13.453125" style="199" customWidth="1"/>
    <col min="8709" max="8709" width="8.81640625" style="199"/>
    <col min="8710" max="8710" width="10.453125" style="199" customWidth="1"/>
    <col min="8711" max="8711" width="8.81640625" style="199"/>
    <col min="8712" max="8712" width="6.1796875" style="199" customWidth="1"/>
    <col min="8713" max="8713" width="14.54296875" style="199" customWidth="1"/>
    <col min="8714" max="8714" width="8.81640625" style="199"/>
    <col min="8715" max="8715" width="26.1796875" style="199" bestFit="1" customWidth="1"/>
    <col min="8716" max="8720" width="8.81640625" style="199"/>
    <col min="8721" max="8721" width="14.54296875" style="199" customWidth="1"/>
    <col min="8722" max="8722" width="8.81640625" style="199"/>
    <col min="8723" max="8723" width="13.453125" style="199" bestFit="1" customWidth="1"/>
    <col min="8724" max="8963" width="8.81640625" style="199"/>
    <col min="8964" max="8964" width="13.453125" style="199" customWidth="1"/>
    <col min="8965" max="8965" width="8.81640625" style="199"/>
    <col min="8966" max="8966" width="10.453125" style="199" customWidth="1"/>
    <col min="8967" max="8967" width="8.81640625" style="199"/>
    <col min="8968" max="8968" width="6.1796875" style="199" customWidth="1"/>
    <col min="8969" max="8969" width="14.54296875" style="199" customWidth="1"/>
    <col min="8970" max="8970" width="8.81640625" style="199"/>
    <col min="8971" max="8971" width="26.1796875" style="199" bestFit="1" customWidth="1"/>
    <col min="8972" max="8976" width="8.81640625" style="199"/>
    <col min="8977" max="8977" width="14.54296875" style="199" customWidth="1"/>
    <col min="8978" max="8978" width="8.81640625" style="199"/>
    <col min="8979" max="8979" width="13.453125" style="199" bestFit="1" customWidth="1"/>
    <col min="8980" max="9219" width="8.81640625" style="199"/>
    <col min="9220" max="9220" width="13.453125" style="199" customWidth="1"/>
    <col min="9221" max="9221" width="8.81640625" style="199"/>
    <col min="9222" max="9222" width="10.453125" style="199" customWidth="1"/>
    <col min="9223" max="9223" width="8.81640625" style="199"/>
    <col min="9224" max="9224" width="6.1796875" style="199" customWidth="1"/>
    <col min="9225" max="9225" width="14.54296875" style="199" customWidth="1"/>
    <col min="9226" max="9226" width="8.81640625" style="199"/>
    <col min="9227" max="9227" width="26.1796875" style="199" bestFit="1" customWidth="1"/>
    <col min="9228" max="9232" width="8.81640625" style="199"/>
    <col min="9233" max="9233" width="14.54296875" style="199" customWidth="1"/>
    <col min="9234" max="9234" width="8.81640625" style="199"/>
    <col min="9235" max="9235" width="13.453125" style="199" bestFit="1" customWidth="1"/>
    <col min="9236" max="9475" width="8.81640625" style="199"/>
    <col min="9476" max="9476" width="13.453125" style="199" customWidth="1"/>
    <col min="9477" max="9477" width="8.81640625" style="199"/>
    <col min="9478" max="9478" width="10.453125" style="199" customWidth="1"/>
    <col min="9479" max="9479" width="8.81640625" style="199"/>
    <col min="9480" max="9480" width="6.1796875" style="199" customWidth="1"/>
    <col min="9481" max="9481" width="14.54296875" style="199" customWidth="1"/>
    <col min="9482" max="9482" width="8.81640625" style="199"/>
    <col min="9483" max="9483" width="26.1796875" style="199" bestFit="1" customWidth="1"/>
    <col min="9484" max="9488" width="8.81640625" style="199"/>
    <col min="9489" max="9489" width="14.54296875" style="199" customWidth="1"/>
    <col min="9490" max="9490" width="8.81640625" style="199"/>
    <col min="9491" max="9491" width="13.453125" style="199" bestFit="1" customWidth="1"/>
    <col min="9492" max="9731" width="8.81640625" style="199"/>
    <col min="9732" max="9732" width="13.453125" style="199" customWidth="1"/>
    <col min="9733" max="9733" width="8.81640625" style="199"/>
    <col min="9734" max="9734" width="10.453125" style="199" customWidth="1"/>
    <col min="9735" max="9735" width="8.81640625" style="199"/>
    <col min="9736" max="9736" width="6.1796875" style="199" customWidth="1"/>
    <col min="9737" max="9737" width="14.54296875" style="199" customWidth="1"/>
    <col min="9738" max="9738" width="8.81640625" style="199"/>
    <col min="9739" max="9739" width="26.1796875" style="199" bestFit="1" customWidth="1"/>
    <col min="9740" max="9744" width="8.81640625" style="199"/>
    <col min="9745" max="9745" width="14.54296875" style="199" customWidth="1"/>
    <col min="9746" max="9746" width="8.81640625" style="199"/>
    <col min="9747" max="9747" width="13.453125" style="199" bestFit="1" customWidth="1"/>
    <col min="9748" max="9987" width="8.81640625" style="199"/>
    <col min="9988" max="9988" width="13.453125" style="199" customWidth="1"/>
    <col min="9989" max="9989" width="8.81640625" style="199"/>
    <col min="9990" max="9990" width="10.453125" style="199" customWidth="1"/>
    <col min="9991" max="9991" width="8.81640625" style="199"/>
    <col min="9992" max="9992" width="6.1796875" style="199" customWidth="1"/>
    <col min="9993" max="9993" width="14.54296875" style="199" customWidth="1"/>
    <col min="9994" max="9994" width="8.81640625" style="199"/>
    <col min="9995" max="9995" width="26.1796875" style="199" bestFit="1" customWidth="1"/>
    <col min="9996" max="10000" width="8.81640625" style="199"/>
    <col min="10001" max="10001" width="14.54296875" style="199" customWidth="1"/>
    <col min="10002" max="10002" width="8.81640625" style="199"/>
    <col min="10003" max="10003" width="13.453125" style="199" bestFit="1" customWidth="1"/>
    <col min="10004" max="10243" width="8.81640625" style="199"/>
    <col min="10244" max="10244" width="13.453125" style="199" customWidth="1"/>
    <col min="10245" max="10245" width="8.81640625" style="199"/>
    <col min="10246" max="10246" width="10.453125" style="199" customWidth="1"/>
    <col min="10247" max="10247" width="8.81640625" style="199"/>
    <col min="10248" max="10248" width="6.1796875" style="199" customWidth="1"/>
    <col min="10249" max="10249" width="14.54296875" style="199" customWidth="1"/>
    <col min="10250" max="10250" width="8.81640625" style="199"/>
    <col min="10251" max="10251" width="26.1796875" style="199" bestFit="1" customWidth="1"/>
    <col min="10252" max="10256" width="8.81640625" style="199"/>
    <col min="10257" max="10257" width="14.54296875" style="199" customWidth="1"/>
    <col min="10258" max="10258" width="8.81640625" style="199"/>
    <col min="10259" max="10259" width="13.453125" style="199" bestFit="1" customWidth="1"/>
    <col min="10260" max="10499" width="8.81640625" style="199"/>
    <col min="10500" max="10500" width="13.453125" style="199" customWidth="1"/>
    <col min="10501" max="10501" width="8.81640625" style="199"/>
    <col min="10502" max="10502" width="10.453125" style="199" customWidth="1"/>
    <col min="10503" max="10503" width="8.81640625" style="199"/>
    <col min="10504" max="10504" width="6.1796875" style="199" customWidth="1"/>
    <col min="10505" max="10505" width="14.54296875" style="199" customWidth="1"/>
    <col min="10506" max="10506" width="8.81640625" style="199"/>
    <col min="10507" max="10507" width="26.1796875" style="199" bestFit="1" customWidth="1"/>
    <col min="10508" max="10512" width="8.81640625" style="199"/>
    <col min="10513" max="10513" width="14.54296875" style="199" customWidth="1"/>
    <col min="10514" max="10514" width="8.81640625" style="199"/>
    <col min="10515" max="10515" width="13.453125" style="199" bestFit="1" customWidth="1"/>
    <col min="10516" max="10755" width="8.81640625" style="199"/>
    <col min="10756" max="10756" width="13.453125" style="199" customWidth="1"/>
    <col min="10757" max="10757" width="8.81640625" style="199"/>
    <col min="10758" max="10758" width="10.453125" style="199" customWidth="1"/>
    <col min="10759" max="10759" width="8.81640625" style="199"/>
    <col min="10760" max="10760" width="6.1796875" style="199" customWidth="1"/>
    <col min="10761" max="10761" width="14.54296875" style="199" customWidth="1"/>
    <col min="10762" max="10762" width="8.81640625" style="199"/>
    <col min="10763" max="10763" width="26.1796875" style="199" bestFit="1" customWidth="1"/>
    <col min="10764" max="10768" width="8.81640625" style="199"/>
    <col min="10769" max="10769" width="14.54296875" style="199" customWidth="1"/>
    <col min="10770" max="10770" width="8.81640625" style="199"/>
    <col min="10771" max="10771" width="13.453125" style="199" bestFit="1" customWidth="1"/>
    <col min="10772" max="11011" width="8.81640625" style="199"/>
    <col min="11012" max="11012" width="13.453125" style="199" customWidth="1"/>
    <col min="11013" max="11013" width="8.81640625" style="199"/>
    <col min="11014" max="11014" width="10.453125" style="199" customWidth="1"/>
    <col min="11015" max="11015" width="8.81640625" style="199"/>
    <col min="11016" max="11016" width="6.1796875" style="199" customWidth="1"/>
    <col min="11017" max="11017" width="14.54296875" style="199" customWidth="1"/>
    <col min="11018" max="11018" width="8.81640625" style="199"/>
    <col min="11019" max="11019" width="26.1796875" style="199" bestFit="1" customWidth="1"/>
    <col min="11020" max="11024" width="8.81640625" style="199"/>
    <col min="11025" max="11025" width="14.54296875" style="199" customWidth="1"/>
    <col min="11026" max="11026" width="8.81640625" style="199"/>
    <col min="11027" max="11027" width="13.453125" style="199" bestFit="1" customWidth="1"/>
    <col min="11028" max="11267" width="8.81640625" style="199"/>
    <col min="11268" max="11268" width="13.453125" style="199" customWidth="1"/>
    <col min="11269" max="11269" width="8.81640625" style="199"/>
    <col min="11270" max="11270" width="10.453125" style="199" customWidth="1"/>
    <col min="11271" max="11271" width="8.81640625" style="199"/>
    <col min="11272" max="11272" width="6.1796875" style="199" customWidth="1"/>
    <col min="11273" max="11273" width="14.54296875" style="199" customWidth="1"/>
    <col min="11274" max="11274" width="8.81640625" style="199"/>
    <col min="11275" max="11275" width="26.1796875" style="199" bestFit="1" customWidth="1"/>
    <col min="11276" max="11280" width="8.81640625" style="199"/>
    <col min="11281" max="11281" width="14.54296875" style="199" customWidth="1"/>
    <col min="11282" max="11282" width="8.81640625" style="199"/>
    <col min="11283" max="11283" width="13.453125" style="199" bestFit="1" customWidth="1"/>
    <col min="11284" max="11523" width="8.81640625" style="199"/>
    <col min="11524" max="11524" width="13.453125" style="199" customWidth="1"/>
    <col min="11525" max="11525" width="8.81640625" style="199"/>
    <col min="11526" max="11526" width="10.453125" style="199" customWidth="1"/>
    <col min="11527" max="11527" width="8.81640625" style="199"/>
    <col min="11528" max="11528" width="6.1796875" style="199" customWidth="1"/>
    <col min="11529" max="11529" width="14.54296875" style="199" customWidth="1"/>
    <col min="11530" max="11530" width="8.81640625" style="199"/>
    <col min="11531" max="11531" width="26.1796875" style="199" bestFit="1" customWidth="1"/>
    <col min="11532" max="11536" width="8.81640625" style="199"/>
    <col min="11537" max="11537" width="14.54296875" style="199" customWidth="1"/>
    <col min="11538" max="11538" width="8.81640625" style="199"/>
    <col min="11539" max="11539" width="13.453125" style="199" bestFit="1" customWidth="1"/>
    <col min="11540" max="11779" width="8.81640625" style="199"/>
    <col min="11780" max="11780" width="13.453125" style="199" customWidth="1"/>
    <col min="11781" max="11781" width="8.81640625" style="199"/>
    <col min="11782" max="11782" width="10.453125" style="199" customWidth="1"/>
    <col min="11783" max="11783" width="8.81640625" style="199"/>
    <col min="11784" max="11784" width="6.1796875" style="199" customWidth="1"/>
    <col min="11785" max="11785" width="14.54296875" style="199" customWidth="1"/>
    <col min="11786" max="11786" width="8.81640625" style="199"/>
    <col min="11787" max="11787" width="26.1796875" style="199" bestFit="1" customWidth="1"/>
    <col min="11788" max="11792" width="8.81640625" style="199"/>
    <col min="11793" max="11793" width="14.54296875" style="199" customWidth="1"/>
    <col min="11794" max="11794" width="8.81640625" style="199"/>
    <col min="11795" max="11795" width="13.453125" style="199" bestFit="1" customWidth="1"/>
    <col min="11796" max="12035" width="8.81640625" style="199"/>
    <col min="12036" max="12036" width="13.453125" style="199" customWidth="1"/>
    <col min="12037" max="12037" width="8.81640625" style="199"/>
    <col min="12038" max="12038" width="10.453125" style="199" customWidth="1"/>
    <col min="12039" max="12039" width="8.81640625" style="199"/>
    <col min="12040" max="12040" width="6.1796875" style="199" customWidth="1"/>
    <col min="12041" max="12041" width="14.54296875" style="199" customWidth="1"/>
    <col min="12042" max="12042" width="8.81640625" style="199"/>
    <col min="12043" max="12043" width="26.1796875" style="199" bestFit="1" customWidth="1"/>
    <col min="12044" max="12048" width="8.81640625" style="199"/>
    <col min="12049" max="12049" width="14.54296875" style="199" customWidth="1"/>
    <col min="12050" max="12050" width="8.81640625" style="199"/>
    <col min="12051" max="12051" width="13.453125" style="199" bestFit="1" customWidth="1"/>
    <col min="12052" max="12291" width="8.81640625" style="199"/>
    <col min="12292" max="12292" width="13.453125" style="199" customWidth="1"/>
    <col min="12293" max="12293" width="8.81640625" style="199"/>
    <col min="12294" max="12294" width="10.453125" style="199" customWidth="1"/>
    <col min="12295" max="12295" width="8.81640625" style="199"/>
    <col min="12296" max="12296" width="6.1796875" style="199" customWidth="1"/>
    <col min="12297" max="12297" width="14.54296875" style="199" customWidth="1"/>
    <col min="12298" max="12298" width="8.81640625" style="199"/>
    <col min="12299" max="12299" width="26.1796875" style="199" bestFit="1" customWidth="1"/>
    <col min="12300" max="12304" width="8.81640625" style="199"/>
    <col min="12305" max="12305" width="14.54296875" style="199" customWidth="1"/>
    <col min="12306" max="12306" width="8.81640625" style="199"/>
    <col min="12307" max="12307" width="13.453125" style="199" bestFit="1" customWidth="1"/>
    <col min="12308" max="12547" width="8.81640625" style="199"/>
    <col min="12548" max="12548" width="13.453125" style="199" customWidth="1"/>
    <col min="12549" max="12549" width="8.81640625" style="199"/>
    <col min="12550" max="12550" width="10.453125" style="199" customWidth="1"/>
    <col min="12551" max="12551" width="8.81640625" style="199"/>
    <col min="12552" max="12552" width="6.1796875" style="199" customWidth="1"/>
    <col min="12553" max="12553" width="14.54296875" style="199" customWidth="1"/>
    <col min="12554" max="12554" width="8.81640625" style="199"/>
    <col min="12555" max="12555" width="26.1796875" style="199" bestFit="1" customWidth="1"/>
    <col min="12556" max="12560" width="8.81640625" style="199"/>
    <col min="12561" max="12561" width="14.54296875" style="199" customWidth="1"/>
    <col min="12562" max="12562" width="8.81640625" style="199"/>
    <col min="12563" max="12563" width="13.453125" style="199" bestFit="1" customWidth="1"/>
    <col min="12564" max="12803" width="8.81640625" style="199"/>
    <col min="12804" max="12804" width="13.453125" style="199" customWidth="1"/>
    <col min="12805" max="12805" width="8.81640625" style="199"/>
    <col min="12806" max="12806" width="10.453125" style="199" customWidth="1"/>
    <col min="12807" max="12807" width="8.81640625" style="199"/>
    <col min="12808" max="12808" width="6.1796875" style="199" customWidth="1"/>
    <col min="12809" max="12809" width="14.54296875" style="199" customWidth="1"/>
    <col min="12810" max="12810" width="8.81640625" style="199"/>
    <col min="12811" max="12811" width="26.1796875" style="199" bestFit="1" customWidth="1"/>
    <col min="12812" max="12816" width="8.81640625" style="199"/>
    <col min="12817" max="12817" width="14.54296875" style="199" customWidth="1"/>
    <col min="12818" max="12818" width="8.81640625" style="199"/>
    <col min="12819" max="12819" width="13.453125" style="199" bestFit="1" customWidth="1"/>
    <col min="12820" max="13059" width="8.81640625" style="199"/>
    <col min="13060" max="13060" width="13.453125" style="199" customWidth="1"/>
    <col min="13061" max="13061" width="8.81640625" style="199"/>
    <col min="13062" max="13062" width="10.453125" style="199" customWidth="1"/>
    <col min="13063" max="13063" width="8.81640625" style="199"/>
    <col min="13064" max="13064" width="6.1796875" style="199" customWidth="1"/>
    <col min="13065" max="13065" width="14.54296875" style="199" customWidth="1"/>
    <col min="13066" max="13066" width="8.81640625" style="199"/>
    <col min="13067" max="13067" width="26.1796875" style="199" bestFit="1" customWidth="1"/>
    <col min="13068" max="13072" width="8.81640625" style="199"/>
    <col min="13073" max="13073" width="14.54296875" style="199" customWidth="1"/>
    <col min="13074" max="13074" width="8.81640625" style="199"/>
    <col min="13075" max="13075" width="13.453125" style="199" bestFit="1" customWidth="1"/>
    <col min="13076" max="13315" width="8.81640625" style="199"/>
    <col min="13316" max="13316" width="13.453125" style="199" customWidth="1"/>
    <col min="13317" max="13317" width="8.81640625" style="199"/>
    <col min="13318" max="13318" width="10.453125" style="199" customWidth="1"/>
    <col min="13319" max="13319" width="8.81640625" style="199"/>
    <col min="13320" max="13320" width="6.1796875" style="199" customWidth="1"/>
    <col min="13321" max="13321" width="14.54296875" style="199" customWidth="1"/>
    <col min="13322" max="13322" width="8.81640625" style="199"/>
    <col min="13323" max="13323" width="26.1796875" style="199" bestFit="1" customWidth="1"/>
    <col min="13324" max="13328" width="8.81640625" style="199"/>
    <col min="13329" max="13329" width="14.54296875" style="199" customWidth="1"/>
    <col min="13330" max="13330" width="8.81640625" style="199"/>
    <col min="13331" max="13331" width="13.453125" style="199" bestFit="1" customWidth="1"/>
    <col min="13332" max="13571" width="8.81640625" style="199"/>
    <col min="13572" max="13572" width="13.453125" style="199" customWidth="1"/>
    <col min="13573" max="13573" width="8.81640625" style="199"/>
    <col min="13574" max="13574" width="10.453125" style="199" customWidth="1"/>
    <col min="13575" max="13575" width="8.81640625" style="199"/>
    <col min="13576" max="13576" width="6.1796875" style="199" customWidth="1"/>
    <col min="13577" max="13577" width="14.54296875" style="199" customWidth="1"/>
    <col min="13578" max="13578" width="8.81640625" style="199"/>
    <col min="13579" max="13579" width="26.1796875" style="199" bestFit="1" customWidth="1"/>
    <col min="13580" max="13584" width="8.81640625" style="199"/>
    <col min="13585" max="13585" width="14.54296875" style="199" customWidth="1"/>
    <col min="13586" max="13586" width="8.81640625" style="199"/>
    <col min="13587" max="13587" width="13.453125" style="199" bestFit="1" customWidth="1"/>
    <col min="13588" max="13827" width="8.81640625" style="199"/>
    <col min="13828" max="13828" width="13.453125" style="199" customWidth="1"/>
    <col min="13829" max="13829" width="8.81640625" style="199"/>
    <col min="13830" max="13830" width="10.453125" style="199" customWidth="1"/>
    <col min="13831" max="13831" width="8.81640625" style="199"/>
    <col min="13832" max="13832" width="6.1796875" style="199" customWidth="1"/>
    <col min="13833" max="13833" width="14.54296875" style="199" customWidth="1"/>
    <col min="13834" max="13834" width="8.81640625" style="199"/>
    <col min="13835" max="13835" width="26.1796875" style="199" bestFit="1" customWidth="1"/>
    <col min="13836" max="13840" width="8.81640625" style="199"/>
    <col min="13841" max="13841" width="14.54296875" style="199" customWidth="1"/>
    <col min="13842" max="13842" width="8.81640625" style="199"/>
    <col min="13843" max="13843" width="13.453125" style="199" bestFit="1" customWidth="1"/>
    <col min="13844" max="14083" width="8.81640625" style="199"/>
    <col min="14084" max="14084" width="13.453125" style="199" customWidth="1"/>
    <col min="14085" max="14085" width="8.81640625" style="199"/>
    <col min="14086" max="14086" width="10.453125" style="199" customWidth="1"/>
    <col min="14087" max="14087" width="8.81640625" style="199"/>
    <col min="14088" max="14088" width="6.1796875" style="199" customWidth="1"/>
    <col min="14089" max="14089" width="14.54296875" style="199" customWidth="1"/>
    <col min="14090" max="14090" width="8.81640625" style="199"/>
    <col min="14091" max="14091" width="26.1796875" style="199" bestFit="1" customWidth="1"/>
    <col min="14092" max="14096" width="8.81640625" style="199"/>
    <col min="14097" max="14097" width="14.54296875" style="199" customWidth="1"/>
    <col min="14098" max="14098" width="8.81640625" style="199"/>
    <col min="14099" max="14099" width="13.453125" style="199" bestFit="1" customWidth="1"/>
    <col min="14100" max="14339" width="8.81640625" style="199"/>
    <col min="14340" max="14340" width="13.453125" style="199" customWidth="1"/>
    <col min="14341" max="14341" width="8.81640625" style="199"/>
    <col min="14342" max="14342" width="10.453125" style="199" customWidth="1"/>
    <col min="14343" max="14343" width="8.81640625" style="199"/>
    <col min="14344" max="14344" width="6.1796875" style="199" customWidth="1"/>
    <col min="14345" max="14345" width="14.54296875" style="199" customWidth="1"/>
    <col min="14346" max="14346" width="8.81640625" style="199"/>
    <col min="14347" max="14347" width="26.1796875" style="199" bestFit="1" customWidth="1"/>
    <col min="14348" max="14352" width="8.81640625" style="199"/>
    <col min="14353" max="14353" width="14.54296875" style="199" customWidth="1"/>
    <col min="14354" max="14354" width="8.81640625" style="199"/>
    <col min="14355" max="14355" width="13.453125" style="199" bestFit="1" customWidth="1"/>
    <col min="14356" max="14595" width="8.81640625" style="199"/>
    <col min="14596" max="14596" width="13.453125" style="199" customWidth="1"/>
    <col min="14597" max="14597" width="8.81640625" style="199"/>
    <col min="14598" max="14598" width="10.453125" style="199" customWidth="1"/>
    <col min="14599" max="14599" width="8.81640625" style="199"/>
    <col min="14600" max="14600" width="6.1796875" style="199" customWidth="1"/>
    <col min="14601" max="14601" width="14.54296875" style="199" customWidth="1"/>
    <col min="14602" max="14602" width="8.81640625" style="199"/>
    <col min="14603" max="14603" width="26.1796875" style="199" bestFit="1" customWidth="1"/>
    <col min="14604" max="14608" width="8.81640625" style="199"/>
    <col min="14609" max="14609" width="14.54296875" style="199" customWidth="1"/>
    <col min="14610" max="14610" width="8.81640625" style="199"/>
    <col min="14611" max="14611" width="13.453125" style="199" bestFit="1" customWidth="1"/>
    <col min="14612" max="14851" width="8.81640625" style="199"/>
    <col min="14852" max="14852" width="13.453125" style="199" customWidth="1"/>
    <col min="14853" max="14853" width="8.81640625" style="199"/>
    <col min="14854" max="14854" width="10.453125" style="199" customWidth="1"/>
    <col min="14855" max="14855" width="8.81640625" style="199"/>
    <col min="14856" max="14856" width="6.1796875" style="199" customWidth="1"/>
    <col min="14857" max="14857" width="14.54296875" style="199" customWidth="1"/>
    <col min="14858" max="14858" width="8.81640625" style="199"/>
    <col min="14859" max="14859" width="26.1796875" style="199" bestFit="1" customWidth="1"/>
    <col min="14860" max="14864" width="8.81640625" style="199"/>
    <col min="14865" max="14865" width="14.54296875" style="199" customWidth="1"/>
    <col min="14866" max="14866" width="8.81640625" style="199"/>
    <col min="14867" max="14867" width="13.453125" style="199" bestFit="1" customWidth="1"/>
    <col min="14868" max="15107" width="8.81640625" style="199"/>
    <col min="15108" max="15108" width="13.453125" style="199" customWidth="1"/>
    <col min="15109" max="15109" width="8.81640625" style="199"/>
    <col min="15110" max="15110" width="10.453125" style="199" customWidth="1"/>
    <col min="15111" max="15111" width="8.81640625" style="199"/>
    <col min="15112" max="15112" width="6.1796875" style="199" customWidth="1"/>
    <col min="15113" max="15113" width="14.54296875" style="199" customWidth="1"/>
    <col min="15114" max="15114" width="8.81640625" style="199"/>
    <col min="15115" max="15115" width="26.1796875" style="199" bestFit="1" customWidth="1"/>
    <col min="15116" max="15120" width="8.81640625" style="199"/>
    <col min="15121" max="15121" width="14.54296875" style="199" customWidth="1"/>
    <col min="15122" max="15122" width="8.81640625" style="199"/>
    <col min="15123" max="15123" width="13.453125" style="199" bestFit="1" customWidth="1"/>
    <col min="15124" max="15363" width="8.81640625" style="199"/>
    <col min="15364" max="15364" width="13.453125" style="199" customWidth="1"/>
    <col min="15365" max="15365" width="8.81640625" style="199"/>
    <col min="15366" max="15366" width="10.453125" style="199" customWidth="1"/>
    <col min="15367" max="15367" width="8.81640625" style="199"/>
    <col min="15368" max="15368" width="6.1796875" style="199" customWidth="1"/>
    <col min="15369" max="15369" width="14.54296875" style="199" customWidth="1"/>
    <col min="15370" max="15370" width="8.81640625" style="199"/>
    <col min="15371" max="15371" width="26.1796875" style="199" bestFit="1" customWidth="1"/>
    <col min="15372" max="15376" width="8.81640625" style="199"/>
    <col min="15377" max="15377" width="14.54296875" style="199" customWidth="1"/>
    <col min="15378" max="15378" width="8.81640625" style="199"/>
    <col min="15379" max="15379" width="13.453125" style="199" bestFit="1" customWidth="1"/>
    <col min="15380" max="15619" width="8.81640625" style="199"/>
    <col min="15620" max="15620" width="13.453125" style="199" customWidth="1"/>
    <col min="15621" max="15621" width="8.81640625" style="199"/>
    <col min="15622" max="15622" width="10.453125" style="199" customWidth="1"/>
    <col min="15623" max="15623" width="8.81640625" style="199"/>
    <col min="15624" max="15624" width="6.1796875" style="199" customWidth="1"/>
    <col min="15625" max="15625" width="14.54296875" style="199" customWidth="1"/>
    <col min="15626" max="15626" width="8.81640625" style="199"/>
    <col min="15627" max="15627" width="26.1796875" style="199" bestFit="1" customWidth="1"/>
    <col min="15628" max="15632" width="8.81640625" style="199"/>
    <col min="15633" max="15633" width="14.54296875" style="199" customWidth="1"/>
    <col min="15634" max="15634" width="8.81640625" style="199"/>
    <col min="15635" max="15635" width="13.453125" style="199" bestFit="1" customWidth="1"/>
    <col min="15636" max="15875" width="8.81640625" style="199"/>
    <col min="15876" max="15876" width="13.453125" style="199" customWidth="1"/>
    <col min="15877" max="15877" width="8.81640625" style="199"/>
    <col min="15878" max="15878" width="10.453125" style="199" customWidth="1"/>
    <col min="15879" max="15879" width="8.81640625" style="199"/>
    <col min="15880" max="15880" width="6.1796875" style="199" customWidth="1"/>
    <col min="15881" max="15881" width="14.54296875" style="199" customWidth="1"/>
    <col min="15882" max="15882" width="8.81640625" style="199"/>
    <col min="15883" max="15883" width="26.1796875" style="199" bestFit="1" customWidth="1"/>
    <col min="15884" max="15888" width="8.81640625" style="199"/>
    <col min="15889" max="15889" width="14.54296875" style="199" customWidth="1"/>
    <col min="15890" max="15890" width="8.81640625" style="199"/>
    <col min="15891" max="15891" width="13.453125" style="199" bestFit="1" customWidth="1"/>
    <col min="15892" max="16131" width="8.81640625" style="199"/>
    <col min="16132" max="16132" width="13.453125" style="199" customWidth="1"/>
    <col min="16133" max="16133" width="8.81640625" style="199"/>
    <col min="16134" max="16134" width="10.453125" style="199" customWidth="1"/>
    <col min="16135" max="16135" width="8.81640625" style="199"/>
    <col min="16136" max="16136" width="6.1796875" style="199" customWidth="1"/>
    <col min="16137" max="16137" width="14.54296875" style="199" customWidth="1"/>
    <col min="16138" max="16138" width="8.81640625" style="199"/>
    <col min="16139" max="16139" width="26.1796875" style="199" bestFit="1" customWidth="1"/>
    <col min="16140" max="16144" width="8.81640625" style="199"/>
    <col min="16145" max="16145" width="14.54296875" style="199" customWidth="1"/>
    <col min="16146" max="16146" width="8.81640625" style="199"/>
    <col min="16147" max="16147" width="13.453125" style="199" bestFit="1" customWidth="1"/>
    <col min="16148" max="16384" width="8.81640625" style="199"/>
  </cols>
  <sheetData>
    <row r="1" spans="1:24" ht="26">
      <c r="A1" s="259" t="s">
        <v>738</v>
      </c>
      <c r="B1" s="259" t="s">
        <v>739</v>
      </c>
      <c r="C1" s="259" t="s">
        <v>80</v>
      </c>
      <c r="D1" s="259" t="s">
        <v>81</v>
      </c>
      <c r="E1" s="259" t="s">
        <v>740</v>
      </c>
      <c r="F1" s="259" t="s">
        <v>741</v>
      </c>
      <c r="G1" s="259" t="s">
        <v>742</v>
      </c>
      <c r="H1" s="259" t="s">
        <v>413</v>
      </c>
      <c r="I1" s="259" t="s">
        <v>743</v>
      </c>
      <c r="J1" s="259" t="s">
        <v>26</v>
      </c>
      <c r="K1" s="260" t="s">
        <v>1205</v>
      </c>
      <c r="L1" s="260" t="s">
        <v>414</v>
      </c>
      <c r="M1" s="260" t="s">
        <v>163</v>
      </c>
      <c r="N1" s="346" t="s">
        <v>405</v>
      </c>
      <c r="O1" s="346" t="s">
        <v>406</v>
      </c>
      <c r="P1" s="221" t="s">
        <v>705</v>
      </c>
      <c r="Q1" s="221" t="s">
        <v>703</v>
      </c>
      <c r="R1" s="221" t="s">
        <v>704</v>
      </c>
      <c r="S1" s="221" t="s">
        <v>157</v>
      </c>
      <c r="T1" s="260" t="s">
        <v>348</v>
      </c>
      <c r="U1" s="261" t="s">
        <v>250</v>
      </c>
      <c r="V1" s="262" t="s">
        <v>396</v>
      </c>
      <c r="W1" s="263" t="s">
        <v>407</v>
      </c>
      <c r="X1" s="263">
        <v>301.35000000000002</v>
      </c>
    </row>
    <row r="2" spans="1:24" ht="14.5">
      <c r="A2" s="190" t="s">
        <v>744</v>
      </c>
      <c r="B2" s="190" t="s">
        <v>745</v>
      </c>
      <c r="C2" s="264" t="s">
        <v>327</v>
      </c>
      <c r="D2" s="265" t="s">
        <v>43</v>
      </c>
      <c r="E2" s="266" t="s">
        <v>240</v>
      </c>
      <c r="F2" s="267">
        <v>23</v>
      </c>
      <c r="G2" s="268">
        <v>46</v>
      </c>
      <c r="H2" s="269">
        <f t="shared" ref="H2:H3" si="0">F2*60+G2</f>
        <v>1426</v>
      </c>
      <c r="I2" s="269"/>
      <c r="J2" s="270" t="s">
        <v>45</v>
      </c>
      <c r="K2" s="271"/>
      <c r="L2" s="271" t="s">
        <v>354</v>
      </c>
      <c r="M2" s="271" t="s">
        <v>697</v>
      </c>
      <c r="N2" s="347">
        <v>69998</v>
      </c>
      <c r="O2" s="347">
        <v>1426.7</v>
      </c>
      <c r="P2" s="486"/>
      <c r="Q2" s="271"/>
      <c r="R2" s="271"/>
      <c r="S2" s="271"/>
      <c r="T2" s="272"/>
      <c r="U2" s="201">
        <v>330</v>
      </c>
      <c r="V2" s="273">
        <f>U2/1.1023-$X$1</f>
        <v>-1.9759638936769193</v>
      </c>
      <c r="W2" s="274">
        <f>H2/60*U2*1.2</f>
        <v>9411.6</v>
      </c>
    </row>
    <row r="3" spans="1:24" ht="26">
      <c r="A3" s="190" t="s">
        <v>744</v>
      </c>
      <c r="B3" s="190" t="s">
        <v>745</v>
      </c>
      <c r="C3" s="264" t="s">
        <v>309</v>
      </c>
      <c r="D3" s="275" t="s">
        <v>42</v>
      </c>
      <c r="E3" s="276" t="s">
        <v>273</v>
      </c>
      <c r="F3" s="267">
        <v>50</v>
      </c>
      <c r="G3" s="268">
        <v>53</v>
      </c>
      <c r="H3" s="269">
        <f t="shared" si="0"/>
        <v>3053</v>
      </c>
      <c r="I3" s="277"/>
      <c r="J3" s="270" t="s">
        <v>245</v>
      </c>
      <c r="K3" s="271"/>
      <c r="L3" s="271" t="s">
        <v>354</v>
      </c>
      <c r="M3" s="199" t="s">
        <v>434</v>
      </c>
      <c r="N3" s="348">
        <v>70022</v>
      </c>
      <c r="O3" s="348">
        <v>3053.2</v>
      </c>
      <c r="P3" s="486"/>
      <c r="T3" s="272"/>
      <c r="U3" s="201">
        <v>350</v>
      </c>
      <c r="V3" s="273">
        <f t="shared" ref="V3:V66" si="1">U3/1.1023-$X$1</f>
        <v>16.167917082463873</v>
      </c>
      <c r="W3" s="274">
        <f t="shared" ref="W3:W66" si="2">H3/60*U3*1.2</f>
        <v>21371</v>
      </c>
    </row>
    <row r="4" spans="1:24" ht="14.25" customHeight="1">
      <c r="A4" s="190" t="s">
        <v>744</v>
      </c>
      <c r="B4" s="190" t="s">
        <v>745</v>
      </c>
      <c r="C4" s="190" t="s">
        <v>746</v>
      </c>
      <c r="D4" s="190" t="s">
        <v>42</v>
      </c>
      <c r="E4" s="190" t="s">
        <v>747</v>
      </c>
      <c r="F4" s="278">
        <v>10</v>
      </c>
      <c r="G4" s="278">
        <v>62</v>
      </c>
      <c r="H4" s="278">
        <v>659</v>
      </c>
      <c r="I4" s="194">
        <v>11</v>
      </c>
      <c r="J4" s="190" t="s">
        <v>54</v>
      </c>
      <c r="K4" s="954"/>
      <c r="L4" s="271" t="s">
        <v>354</v>
      </c>
      <c r="M4" s="271" t="s">
        <v>434</v>
      </c>
      <c r="N4" s="347">
        <v>70481</v>
      </c>
      <c r="O4" s="347">
        <v>659.6</v>
      </c>
      <c r="P4" s="486"/>
      <c r="Q4" s="271"/>
      <c r="R4" s="271"/>
      <c r="S4" s="271"/>
      <c r="T4" s="201"/>
      <c r="U4" s="201">
        <v>330</v>
      </c>
      <c r="V4" s="273">
        <f t="shared" si="1"/>
        <v>-1.9759638936769193</v>
      </c>
      <c r="W4" s="274">
        <f t="shared" si="2"/>
        <v>4349.3999999999996</v>
      </c>
    </row>
    <row r="5" spans="1:24" s="280" customFormat="1" ht="14.25" customHeight="1">
      <c r="A5" s="190" t="s">
        <v>744</v>
      </c>
      <c r="B5" s="190" t="s">
        <v>745</v>
      </c>
      <c r="C5" s="190" t="s">
        <v>746</v>
      </c>
      <c r="D5" s="190" t="s">
        <v>43</v>
      </c>
      <c r="E5" s="190" t="s">
        <v>747</v>
      </c>
      <c r="F5" s="278">
        <v>24</v>
      </c>
      <c r="G5" s="278">
        <v>14</v>
      </c>
      <c r="H5" s="278">
        <v>1453</v>
      </c>
      <c r="I5" s="194">
        <v>11</v>
      </c>
      <c r="J5" s="190" t="s">
        <v>54</v>
      </c>
      <c r="K5" s="954"/>
      <c r="L5" s="271" t="s">
        <v>354</v>
      </c>
      <c r="M5" s="271" t="s">
        <v>697</v>
      </c>
      <c r="N5" s="347">
        <v>70485</v>
      </c>
      <c r="O5" s="347">
        <v>1453</v>
      </c>
      <c r="P5" s="486"/>
      <c r="Q5" s="271"/>
      <c r="R5" s="271"/>
      <c r="S5" s="271"/>
      <c r="T5" s="279"/>
      <c r="U5" s="279">
        <v>320</v>
      </c>
      <c r="V5" s="273">
        <f t="shared" si="1"/>
        <v>-11.047904381747287</v>
      </c>
      <c r="W5" s="274">
        <f t="shared" si="2"/>
        <v>9299.1999999999989</v>
      </c>
    </row>
    <row r="6" spans="1:24" ht="15" customHeight="1">
      <c r="A6" s="190" t="s">
        <v>744</v>
      </c>
      <c r="B6" s="190" t="s">
        <v>745</v>
      </c>
      <c r="C6" s="190" t="s">
        <v>746</v>
      </c>
      <c r="D6" s="190" t="s">
        <v>45</v>
      </c>
      <c r="E6" s="190" t="s">
        <v>747</v>
      </c>
      <c r="F6" s="278">
        <v>10</v>
      </c>
      <c r="G6" s="278">
        <v>18</v>
      </c>
      <c r="H6" s="278">
        <v>616</v>
      </c>
      <c r="I6" s="194">
        <v>10</v>
      </c>
      <c r="J6" s="190" t="s">
        <v>54</v>
      </c>
      <c r="K6" s="954"/>
      <c r="L6" s="271" t="s">
        <v>354</v>
      </c>
      <c r="M6" s="190" t="s">
        <v>435</v>
      </c>
      <c r="N6" s="349">
        <v>70489</v>
      </c>
      <c r="O6" s="349">
        <v>616.79999999999995</v>
      </c>
      <c r="P6" s="486"/>
      <c r="Q6" s="190"/>
      <c r="R6" s="190"/>
      <c r="S6" s="190"/>
      <c r="T6" s="201"/>
      <c r="U6" s="201">
        <v>275</v>
      </c>
      <c r="V6" s="273">
        <f t="shared" si="1"/>
        <v>-51.871636578064084</v>
      </c>
      <c r="W6" s="274">
        <f t="shared" si="2"/>
        <v>3388</v>
      </c>
    </row>
    <row r="7" spans="1:24" ht="13.75" customHeight="1">
      <c r="A7" s="190" t="s">
        <v>744</v>
      </c>
      <c r="B7" s="190" t="s">
        <v>745</v>
      </c>
      <c r="C7" s="190" t="s">
        <v>746</v>
      </c>
      <c r="D7" s="190" t="s">
        <v>44</v>
      </c>
      <c r="E7" s="190" t="s">
        <v>747</v>
      </c>
      <c r="F7" s="278">
        <v>3</v>
      </c>
      <c r="G7" s="278">
        <v>12</v>
      </c>
      <c r="H7" s="278">
        <v>191</v>
      </c>
      <c r="I7" s="194">
        <v>10</v>
      </c>
      <c r="J7" s="190" t="s">
        <v>54</v>
      </c>
      <c r="K7" s="954"/>
      <c r="L7" s="271" t="s">
        <v>354</v>
      </c>
      <c r="M7" s="271" t="s">
        <v>697</v>
      </c>
      <c r="N7" s="347">
        <v>70493</v>
      </c>
      <c r="O7" s="347">
        <v>191.3</v>
      </c>
      <c r="P7" s="486"/>
      <c r="Q7" s="271"/>
      <c r="R7" s="271"/>
      <c r="S7" s="271"/>
      <c r="T7" s="201"/>
      <c r="U7" s="279">
        <v>320</v>
      </c>
      <c r="V7" s="273">
        <f t="shared" si="1"/>
        <v>-11.047904381747287</v>
      </c>
      <c r="W7" s="274">
        <f t="shared" si="2"/>
        <v>1222.3999999999999</v>
      </c>
    </row>
    <row r="8" spans="1:24" ht="17.5" customHeight="1">
      <c r="A8" s="190" t="s">
        <v>744</v>
      </c>
      <c r="B8" s="190" t="s">
        <v>745</v>
      </c>
      <c r="C8" s="190" t="s">
        <v>748</v>
      </c>
      <c r="D8" s="190" t="s">
        <v>42</v>
      </c>
      <c r="E8" s="190" t="s">
        <v>747</v>
      </c>
      <c r="F8" s="278">
        <v>4</v>
      </c>
      <c r="G8" s="278">
        <v>65</v>
      </c>
      <c r="H8" s="278">
        <v>304</v>
      </c>
      <c r="I8" s="194">
        <v>10</v>
      </c>
      <c r="J8" s="190" t="s">
        <v>54</v>
      </c>
      <c r="K8" s="954"/>
      <c r="L8" s="271" t="s">
        <v>354</v>
      </c>
      <c r="M8" s="271" t="s">
        <v>434</v>
      </c>
      <c r="N8" s="347">
        <v>70482</v>
      </c>
      <c r="O8" s="347">
        <v>304</v>
      </c>
      <c r="P8" s="486"/>
      <c r="Q8" s="271"/>
      <c r="R8" s="271"/>
      <c r="S8" s="271"/>
      <c r="T8" s="201"/>
      <c r="U8" s="201">
        <v>350</v>
      </c>
      <c r="V8" s="273">
        <f t="shared" si="1"/>
        <v>16.167917082463873</v>
      </c>
      <c r="W8" s="274">
        <f t="shared" si="2"/>
        <v>2128</v>
      </c>
    </row>
    <row r="9" spans="1:24" ht="15" customHeight="1">
      <c r="A9" s="190" t="s">
        <v>744</v>
      </c>
      <c r="B9" s="190" t="s">
        <v>745</v>
      </c>
      <c r="C9" s="190" t="s">
        <v>748</v>
      </c>
      <c r="D9" s="190" t="s">
        <v>43</v>
      </c>
      <c r="E9" s="190" t="s">
        <v>747</v>
      </c>
      <c r="F9" s="278">
        <v>10</v>
      </c>
      <c r="G9" s="278"/>
      <c r="H9" s="278">
        <v>599</v>
      </c>
      <c r="I9" s="194">
        <v>10</v>
      </c>
      <c r="J9" s="190" t="s">
        <v>54</v>
      </c>
      <c r="K9" s="954"/>
      <c r="L9" s="271" t="s">
        <v>354</v>
      </c>
      <c r="M9" s="271" t="s">
        <v>697</v>
      </c>
      <c r="N9" s="347">
        <v>70486</v>
      </c>
      <c r="O9" s="347">
        <v>599.79999999999995</v>
      </c>
      <c r="P9" s="486"/>
      <c r="Q9" s="271"/>
      <c r="R9" s="271"/>
      <c r="S9" s="271"/>
      <c r="T9" s="201"/>
      <c r="U9" s="279">
        <v>320</v>
      </c>
      <c r="V9" s="273">
        <f t="shared" si="1"/>
        <v>-11.047904381747287</v>
      </c>
      <c r="W9" s="274">
        <f t="shared" si="2"/>
        <v>3833.5999999999995</v>
      </c>
    </row>
    <row r="10" spans="1:24" s="280" customFormat="1" ht="12.65" customHeight="1">
      <c r="A10" s="190" t="s">
        <v>744</v>
      </c>
      <c r="B10" s="190" t="s">
        <v>745</v>
      </c>
      <c r="C10" s="190" t="s">
        <v>748</v>
      </c>
      <c r="D10" s="190" t="s">
        <v>45</v>
      </c>
      <c r="E10" s="190" t="s">
        <v>747</v>
      </c>
      <c r="F10" s="278">
        <v>3</v>
      </c>
      <c r="G10" s="278">
        <v>10</v>
      </c>
      <c r="H10" s="278">
        <v>189</v>
      </c>
      <c r="I10" s="194">
        <v>10</v>
      </c>
      <c r="J10" s="190" t="s">
        <v>56</v>
      </c>
      <c r="K10" s="954"/>
      <c r="L10" s="271" t="s">
        <v>354</v>
      </c>
      <c r="M10" s="190" t="s">
        <v>427</v>
      </c>
      <c r="N10" s="349">
        <v>70490</v>
      </c>
      <c r="O10" s="349">
        <v>189.7</v>
      </c>
      <c r="P10" s="486"/>
      <c r="Q10" s="190"/>
      <c r="R10" s="190"/>
      <c r="S10" s="190"/>
      <c r="T10" s="279"/>
      <c r="U10" s="279">
        <v>270</v>
      </c>
      <c r="V10" s="273">
        <f t="shared" si="1"/>
        <v>-56.407606822099297</v>
      </c>
      <c r="W10" s="274">
        <f t="shared" si="2"/>
        <v>1020.5999999999999</v>
      </c>
    </row>
    <row r="11" spans="1:24" ht="14.25" customHeight="1">
      <c r="A11" s="190" t="s">
        <v>744</v>
      </c>
      <c r="B11" s="190" t="s">
        <v>745</v>
      </c>
      <c r="C11" s="190" t="s">
        <v>748</v>
      </c>
      <c r="D11" s="190" t="s">
        <v>44</v>
      </c>
      <c r="E11" s="190" t="s">
        <v>747</v>
      </c>
      <c r="F11" s="278">
        <v>1</v>
      </c>
      <c r="G11" s="278">
        <v>26</v>
      </c>
      <c r="H11" s="278">
        <v>85</v>
      </c>
      <c r="I11" s="194">
        <v>10</v>
      </c>
      <c r="J11" s="190" t="s">
        <v>56</v>
      </c>
      <c r="K11" s="954"/>
      <c r="L11" s="271" t="s">
        <v>354</v>
      </c>
      <c r="M11" s="190" t="s">
        <v>749</v>
      </c>
      <c r="N11" s="349">
        <v>70494</v>
      </c>
      <c r="O11" s="349">
        <v>85.9</v>
      </c>
      <c r="P11" s="486"/>
      <c r="Q11" s="190"/>
      <c r="R11" s="190"/>
      <c r="S11" s="190"/>
      <c r="T11" s="201"/>
      <c r="U11" s="201">
        <v>300</v>
      </c>
      <c r="V11" s="273">
        <f t="shared" si="1"/>
        <v>-29.191785357888079</v>
      </c>
      <c r="W11" s="274">
        <f t="shared" si="2"/>
        <v>510</v>
      </c>
    </row>
    <row r="12" spans="1:24" ht="14.25" customHeight="1">
      <c r="A12" s="190" t="s">
        <v>744</v>
      </c>
      <c r="B12" s="190" t="s">
        <v>745</v>
      </c>
      <c r="C12" s="190" t="s">
        <v>750</v>
      </c>
      <c r="D12" s="190" t="s">
        <v>42</v>
      </c>
      <c r="E12" s="190" t="s">
        <v>747</v>
      </c>
      <c r="F12" s="278">
        <v>3</v>
      </c>
      <c r="G12" s="278">
        <v>63</v>
      </c>
      <c r="H12" s="278">
        <v>243</v>
      </c>
      <c r="I12" s="194">
        <v>10</v>
      </c>
      <c r="J12" s="190" t="s">
        <v>356</v>
      </c>
      <c r="K12" s="954"/>
      <c r="L12" s="271" t="s">
        <v>354</v>
      </c>
      <c r="M12" s="190" t="s">
        <v>426</v>
      </c>
      <c r="N12" s="349">
        <v>70483</v>
      </c>
      <c r="O12" s="349">
        <v>243.1</v>
      </c>
      <c r="P12" s="486"/>
      <c r="Q12" s="190"/>
      <c r="R12" s="190"/>
      <c r="S12" s="190"/>
      <c r="T12" s="201"/>
      <c r="U12" s="201">
        <v>350</v>
      </c>
      <c r="V12" s="273">
        <f t="shared" si="1"/>
        <v>16.167917082463873</v>
      </c>
      <c r="W12" s="274">
        <f t="shared" si="2"/>
        <v>1701</v>
      </c>
    </row>
    <row r="13" spans="1:24" ht="14.5">
      <c r="A13" s="190" t="s">
        <v>744</v>
      </c>
      <c r="B13" s="190" t="s">
        <v>745</v>
      </c>
      <c r="C13" s="190" t="s">
        <v>750</v>
      </c>
      <c r="D13" s="190" t="s">
        <v>43</v>
      </c>
      <c r="E13" s="190" t="s">
        <v>747</v>
      </c>
      <c r="F13" s="278">
        <v>4</v>
      </c>
      <c r="G13" s="278">
        <v>61</v>
      </c>
      <c r="H13" s="278">
        <v>300</v>
      </c>
      <c r="I13" s="194">
        <v>10</v>
      </c>
      <c r="J13" s="190" t="s">
        <v>356</v>
      </c>
      <c r="K13" s="954"/>
      <c r="L13" s="271" t="s">
        <v>354</v>
      </c>
      <c r="M13" s="190" t="s">
        <v>749</v>
      </c>
      <c r="N13" s="349">
        <v>70487</v>
      </c>
      <c r="O13" s="349">
        <v>300.8</v>
      </c>
      <c r="P13" s="486"/>
      <c r="Q13" s="190"/>
      <c r="R13" s="190"/>
      <c r="S13" s="190"/>
      <c r="T13" s="201"/>
      <c r="U13" s="201">
        <v>310</v>
      </c>
      <c r="V13" s="273">
        <f t="shared" si="1"/>
        <v>-20.119844869817712</v>
      </c>
      <c r="W13" s="274">
        <f t="shared" si="2"/>
        <v>1860</v>
      </c>
    </row>
    <row r="14" spans="1:24" ht="14.25" customHeight="1">
      <c r="A14" s="190" t="s">
        <v>744</v>
      </c>
      <c r="B14" s="190" t="s">
        <v>745</v>
      </c>
      <c r="C14" s="190" t="s">
        <v>750</v>
      </c>
      <c r="D14" s="190" t="s">
        <v>45</v>
      </c>
      <c r="E14" s="190" t="s">
        <v>747</v>
      </c>
      <c r="F14" s="278">
        <v>3</v>
      </c>
      <c r="G14" s="278">
        <v>23</v>
      </c>
      <c r="H14" s="278">
        <v>202</v>
      </c>
      <c r="I14" s="194">
        <v>10</v>
      </c>
      <c r="J14" s="190" t="s">
        <v>356</v>
      </c>
      <c r="K14" s="954"/>
      <c r="L14" s="271" t="s">
        <v>354</v>
      </c>
      <c r="M14" s="190" t="s">
        <v>427</v>
      </c>
      <c r="N14" s="349">
        <v>70491</v>
      </c>
      <c r="O14" s="349">
        <v>202.7</v>
      </c>
      <c r="P14" s="486"/>
      <c r="Q14" s="190"/>
      <c r="R14" s="190"/>
      <c r="S14" s="190"/>
      <c r="T14" s="201"/>
      <c r="U14" s="201">
        <v>265</v>
      </c>
      <c r="V14" s="273">
        <f t="shared" si="1"/>
        <v>-60.94357706613448</v>
      </c>
      <c r="W14" s="274">
        <f t="shared" si="2"/>
        <v>1070.5999999999999</v>
      </c>
    </row>
    <row r="15" spans="1:24" s="280" customFormat="1" ht="14.25" customHeight="1">
      <c r="A15" s="190" t="s">
        <v>744</v>
      </c>
      <c r="B15" s="190" t="s">
        <v>745</v>
      </c>
      <c r="C15" s="190" t="s">
        <v>750</v>
      </c>
      <c r="D15" s="190" t="s">
        <v>44</v>
      </c>
      <c r="E15" s="190" t="s">
        <v>747</v>
      </c>
      <c r="F15" s="278">
        <v>1</v>
      </c>
      <c r="G15" s="278">
        <v>35</v>
      </c>
      <c r="H15" s="278">
        <v>94</v>
      </c>
      <c r="I15" s="194">
        <v>10</v>
      </c>
      <c r="J15" s="190" t="s">
        <v>356</v>
      </c>
      <c r="K15" s="954"/>
      <c r="L15" s="271" t="s">
        <v>354</v>
      </c>
      <c r="M15" s="190" t="s">
        <v>749</v>
      </c>
      <c r="N15" s="349">
        <v>70495</v>
      </c>
      <c r="O15" s="349">
        <v>94.7</v>
      </c>
      <c r="P15" s="486"/>
      <c r="Q15" s="190"/>
      <c r="R15" s="190"/>
      <c r="S15" s="190"/>
      <c r="T15" s="279"/>
      <c r="U15" s="279">
        <v>320</v>
      </c>
      <c r="V15" s="273">
        <f t="shared" si="1"/>
        <v>-11.047904381747287</v>
      </c>
      <c r="W15" s="274">
        <f t="shared" si="2"/>
        <v>601.59999999999991</v>
      </c>
    </row>
    <row r="16" spans="1:24" ht="14.25" customHeight="1">
      <c r="A16" s="190" t="s">
        <v>744</v>
      </c>
      <c r="B16" s="190" t="s">
        <v>745</v>
      </c>
      <c r="C16" s="190" t="s">
        <v>363</v>
      </c>
      <c r="D16" s="190" t="s">
        <v>44</v>
      </c>
      <c r="E16" s="190" t="s">
        <v>747</v>
      </c>
      <c r="F16" s="278">
        <v>1</v>
      </c>
      <c r="G16" s="278">
        <v>62</v>
      </c>
      <c r="H16" s="278">
        <v>121</v>
      </c>
      <c r="I16" s="194">
        <v>11</v>
      </c>
      <c r="J16" s="190" t="s">
        <v>356</v>
      </c>
      <c r="K16" s="954"/>
      <c r="L16" s="271" t="s">
        <v>354</v>
      </c>
      <c r="M16" s="190" t="s">
        <v>749</v>
      </c>
      <c r="N16" s="349">
        <v>70496</v>
      </c>
      <c r="O16" s="349">
        <v>121.9</v>
      </c>
      <c r="P16" s="486"/>
      <c r="Q16" s="190"/>
      <c r="R16" s="190"/>
      <c r="S16" s="190"/>
      <c r="T16" s="201"/>
      <c r="U16" s="201">
        <v>320</v>
      </c>
      <c r="V16" s="273">
        <f t="shared" si="1"/>
        <v>-11.047904381747287</v>
      </c>
      <c r="W16" s="274">
        <f t="shared" si="2"/>
        <v>774.39999999999986</v>
      </c>
    </row>
    <row r="17" spans="1:23" ht="14.5">
      <c r="A17" s="487" t="s">
        <v>744</v>
      </c>
      <c r="B17" s="487" t="s">
        <v>745</v>
      </c>
      <c r="C17" s="487" t="s">
        <v>340</v>
      </c>
      <c r="D17" s="487" t="s">
        <v>60</v>
      </c>
      <c r="E17" s="487" t="s">
        <v>751</v>
      </c>
      <c r="F17" s="488">
        <v>1</v>
      </c>
      <c r="G17" s="488">
        <v>15</v>
      </c>
      <c r="H17" s="488">
        <v>75</v>
      </c>
      <c r="I17" s="489"/>
      <c r="J17" s="490" t="s">
        <v>356</v>
      </c>
      <c r="K17" s="955"/>
      <c r="L17" s="491" t="s">
        <v>354</v>
      </c>
      <c r="M17" s="490" t="s">
        <v>749</v>
      </c>
      <c r="N17" s="492"/>
      <c r="O17" s="492"/>
      <c r="P17" s="1727" t="s">
        <v>1089</v>
      </c>
      <c r="Q17" s="489"/>
      <c r="R17" s="281"/>
      <c r="S17" s="281"/>
      <c r="T17" s="201"/>
      <c r="U17" s="201">
        <v>280</v>
      </c>
      <c r="V17" s="273">
        <f t="shared" si="1"/>
        <v>-47.335666334028872</v>
      </c>
      <c r="W17" s="274">
        <f t="shared" si="2"/>
        <v>420</v>
      </c>
    </row>
    <row r="18" spans="1:23" ht="14.5">
      <c r="A18" s="487" t="s">
        <v>744</v>
      </c>
      <c r="B18" s="487" t="s">
        <v>745</v>
      </c>
      <c r="C18" s="487" t="s">
        <v>201</v>
      </c>
      <c r="D18" s="487" t="s">
        <v>60</v>
      </c>
      <c r="E18" s="487" t="s">
        <v>752</v>
      </c>
      <c r="F18" s="488">
        <v>1</v>
      </c>
      <c r="G18" s="488">
        <v>35</v>
      </c>
      <c r="H18" s="488">
        <v>95</v>
      </c>
      <c r="I18" s="489"/>
      <c r="J18" s="490" t="s">
        <v>356</v>
      </c>
      <c r="K18" s="955"/>
      <c r="L18" s="491" t="s">
        <v>354</v>
      </c>
      <c r="M18" s="490" t="s">
        <v>749</v>
      </c>
      <c r="N18" s="492"/>
      <c r="O18" s="492"/>
      <c r="P18" s="1728"/>
      <c r="Q18" s="489"/>
      <c r="R18" s="281"/>
      <c r="S18" s="281"/>
      <c r="T18" s="201"/>
      <c r="U18" s="201">
        <v>280</v>
      </c>
      <c r="V18" s="273">
        <f t="shared" si="1"/>
        <v>-47.335666334028872</v>
      </c>
      <c r="W18" s="274">
        <f t="shared" si="2"/>
        <v>532</v>
      </c>
    </row>
    <row r="19" spans="1:23" ht="14.5">
      <c r="A19" s="487" t="s">
        <v>744</v>
      </c>
      <c r="B19" s="487" t="s">
        <v>745</v>
      </c>
      <c r="C19" s="487" t="s">
        <v>202</v>
      </c>
      <c r="D19" s="487" t="s">
        <v>60</v>
      </c>
      <c r="E19" s="487" t="s">
        <v>753</v>
      </c>
      <c r="F19" s="488">
        <v>0</v>
      </c>
      <c r="G19" s="488">
        <v>45</v>
      </c>
      <c r="H19" s="488">
        <v>45</v>
      </c>
      <c r="I19" s="489"/>
      <c r="J19" s="490" t="s">
        <v>356</v>
      </c>
      <c r="K19" s="955"/>
      <c r="L19" s="491" t="s">
        <v>354</v>
      </c>
      <c r="M19" s="490" t="s">
        <v>749</v>
      </c>
      <c r="N19" s="492"/>
      <c r="O19" s="492"/>
      <c r="P19" s="1728"/>
      <c r="Q19" s="489"/>
      <c r="R19" s="281"/>
      <c r="S19" s="281"/>
      <c r="T19" s="201"/>
      <c r="U19" s="201">
        <v>280</v>
      </c>
      <c r="V19" s="273">
        <f t="shared" si="1"/>
        <v>-47.335666334028872</v>
      </c>
      <c r="W19" s="274">
        <f t="shared" si="2"/>
        <v>252</v>
      </c>
    </row>
    <row r="20" spans="1:23" ht="14.5">
      <c r="A20" s="487" t="s">
        <v>744</v>
      </c>
      <c r="B20" s="487" t="s">
        <v>745</v>
      </c>
      <c r="C20" s="487" t="s">
        <v>754</v>
      </c>
      <c r="D20" s="487" t="s">
        <v>60</v>
      </c>
      <c r="E20" s="487" t="s">
        <v>755</v>
      </c>
      <c r="F20" s="488">
        <v>1</v>
      </c>
      <c r="G20" s="488">
        <v>15</v>
      </c>
      <c r="H20" s="488">
        <v>75</v>
      </c>
      <c r="I20" s="489"/>
      <c r="J20" s="490" t="s">
        <v>356</v>
      </c>
      <c r="K20" s="955"/>
      <c r="L20" s="491" t="s">
        <v>354</v>
      </c>
      <c r="M20" s="490" t="s">
        <v>749</v>
      </c>
      <c r="N20" s="492"/>
      <c r="O20" s="492"/>
      <c r="P20" s="1728"/>
      <c r="Q20" s="489"/>
      <c r="R20" s="281"/>
      <c r="S20" s="281"/>
      <c r="T20" s="201"/>
      <c r="U20" s="201">
        <v>280</v>
      </c>
      <c r="V20" s="273">
        <f t="shared" si="1"/>
        <v>-47.335666334028872</v>
      </c>
      <c r="W20" s="274">
        <f t="shared" si="2"/>
        <v>420</v>
      </c>
    </row>
    <row r="21" spans="1:23" ht="14.5">
      <c r="A21" s="487" t="s">
        <v>744</v>
      </c>
      <c r="B21" s="487" t="s">
        <v>745</v>
      </c>
      <c r="C21" s="487" t="s">
        <v>178</v>
      </c>
      <c r="D21" s="487" t="s">
        <v>60</v>
      </c>
      <c r="E21" s="487" t="s">
        <v>756</v>
      </c>
      <c r="F21" s="488">
        <v>1</v>
      </c>
      <c r="G21" s="488"/>
      <c r="H21" s="488">
        <v>60</v>
      </c>
      <c r="I21" s="489"/>
      <c r="J21" s="490" t="s">
        <v>356</v>
      </c>
      <c r="K21" s="955"/>
      <c r="L21" s="491" t="s">
        <v>354</v>
      </c>
      <c r="M21" s="490" t="s">
        <v>749</v>
      </c>
      <c r="N21" s="492"/>
      <c r="O21" s="492"/>
      <c r="P21" s="1728"/>
      <c r="Q21" s="489"/>
      <c r="R21" s="281"/>
      <c r="S21" s="281"/>
      <c r="T21" s="201"/>
      <c r="U21" s="201">
        <v>280</v>
      </c>
      <c r="V21" s="273">
        <f t="shared" si="1"/>
        <v>-47.335666334028872</v>
      </c>
      <c r="W21" s="274">
        <f t="shared" si="2"/>
        <v>336</v>
      </c>
    </row>
    <row r="22" spans="1:23" ht="14.5">
      <c r="A22" s="487" t="s">
        <v>744</v>
      </c>
      <c r="B22" s="487" t="s">
        <v>745</v>
      </c>
      <c r="C22" s="487" t="s">
        <v>179</v>
      </c>
      <c r="D22" s="487" t="s">
        <v>60</v>
      </c>
      <c r="E22" s="487" t="s">
        <v>352</v>
      </c>
      <c r="F22" s="488">
        <v>0</v>
      </c>
      <c r="G22" s="488">
        <v>65</v>
      </c>
      <c r="H22" s="488">
        <v>65</v>
      </c>
      <c r="I22" s="489"/>
      <c r="J22" s="490" t="s">
        <v>356</v>
      </c>
      <c r="K22" s="955"/>
      <c r="L22" s="491" t="s">
        <v>354</v>
      </c>
      <c r="M22" s="490" t="s">
        <v>749</v>
      </c>
      <c r="N22" s="492"/>
      <c r="O22" s="492"/>
      <c r="P22" s="1728"/>
      <c r="Q22" s="489"/>
      <c r="R22" s="281"/>
      <c r="S22" s="281"/>
      <c r="T22" s="201"/>
      <c r="U22" s="201">
        <v>280</v>
      </c>
      <c r="V22" s="273">
        <f t="shared" si="1"/>
        <v>-47.335666334028872</v>
      </c>
      <c r="W22" s="274">
        <f t="shared" si="2"/>
        <v>363.99999999999994</v>
      </c>
    </row>
    <row r="23" spans="1:23" ht="14.5">
      <c r="A23" s="487" t="s">
        <v>744</v>
      </c>
      <c r="B23" s="487" t="s">
        <v>745</v>
      </c>
      <c r="C23" s="487" t="s">
        <v>216</v>
      </c>
      <c r="D23" s="487" t="s">
        <v>60</v>
      </c>
      <c r="E23" s="487" t="s">
        <v>685</v>
      </c>
      <c r="F23" s="488">
        <v>1</v>
      </c>
      <c r="G23" s="488">
        <v>37</v>
      </c>
      <c r="H23" s="488">
        <v>97</v>
      </c>
      <c r="I23" s="489"/>
      <c r="J23" s="490" t="s">
        <v>356</v>
      </c>
      <c r="K23" s="955"/>
      <c r="L23" s="491" t="s">
        <v>354</v>
      </c>
      <c r="M23" s="490" t="s">
        <v>749</v>
      </c>
      <c r="N23" s="492"/>
      <c r="O23" s="492"/>
      <c r="P23" s="1728"/>
      <c r="Q23" s="489"/>
      <c r="R23" s="281"/>
      <c r="S23" s="281"/>
      <c r="T23" s="201"/>
      <c r="U23" s="201">
        <v>280</v>
      </c>
      <c r="V23" s="273">
        <f t="shared" si="1"/>
        <v>-47.335666334028872</v>
      </c>
      <c r="W23" s="274">
        <f t="shared" si="2"/>
        <v>543.20000000000005</v>
      </c>
    </row>
    <row r="24" spans="1:23" ht="14.5">
      <c r="A24" s="487" t="s">
        <v>744</v>
      </c>
      <c r="B24" s="487" t="s">
        <v>745</v>
      </c>
      <c r="C24" s="487" t="s">
        <v>209</v>
      </c>
      <c r="D24" s="487" t="s">
        <v>60</v>
      </c>
      <c r="E24" s="487" t="s">
        <v>757</v>
      </c>
      <c r="F24" s="488">
        <v>1</v>
      </c>
      <c r="G24" s="488">
        <v>12</v>
      </c>
      <c r="H24" s="488">
        <v>72</v>
      </c>
      <c r="I24" s="489"/>
      <c r="J24" s="490" t="s">
        <v>356</v>
      </c>
      <c r="K24" s="955"/>
      <c r="L24" s="491" t="s">
        <v>354</v>
      </c>
      <c r="M24" s="490" t="s">
        <v>749</v>
      </c>
      <c r="N24" s="492"/>
      <c r="O24" s="492"/>
      <c r="P24" s="1728"/>
      <c r="Q24" s="489"/>
      <c r="R24" s="281"/>
      <c r="S24" s="281"/>
      <c r="T24" s="201"/>
      <c r="U24" s="201">
        <v>280</v>
      </c>
      <c r="V24" s="273">
        <f t="shared" si="1"/>
        <v>-47.335666334028872</v>
      </c>
      <c r="W24" s="274">
        <f t="shared" si="2"/>
        <v>403.2</v>
      </c>
    </row>
    <row r="25" spans="1:23" ht="14.5">
      <c r="A25" s="487" t="s">
        <v>744</v>
      </c>
      <c r="B25" s="487" t="s">
        <v>745</v>
      </c>
      <c r="C25" s="487" t="s">
        <v>336</v>
      </c>
      <c r="D25" s="487" t="s">
        <v>60</v>
      </c>
      <c r="E25" s="487" t="s">
        <v>756</v>
      </c>
      <c r="F25" s="488">
        <v>2</v>
      </c>
      <c r="G25" s="488">
        <v>15</v>
      </c>
      <c r="H25" s="488">
        <v>134</v>
      </c>
      <c r="I25" s="489"/>
      <c r="J25" s="490" t="s">
        <v>356</v>
      </c>
      <c r="K25" s="955"/>
      <c r="L25" s="491" t="s">
        <v>354</v>
      </c>
      <c r="M25" s="490" t="s">
        <v>749</v>
      </c>
      <c r="N25" s="492"/>
      <c r="O25" s="492"/>
      <c r="P25" s="1728"/>
      <c r="Q25" s="489"/>
      <c r="R25" s="281"/>
      <c r="S25" s="281"/>
      <c r="T25" s="201"/>
      <c r="U25" s="201">
        <v>280</v>
      </c>
      <c r="V25" s="273">
        <f t="shared" si="1"/>
        <v>-47.335666334028872</v>
      </c>
      <c r="W25" s="274">
        <f t="shared" si="2"/>
        <v>750.4</v>
      </c>
    </row>
    <row r="26" spans="1:23" ht="14.5">
      <c r="A26" s="487" t="s">
        <v>744</v>
      </c>
      <c r="B26" s="487" t="s">
        <v>745</v>
      </c>
      <c r="C26" s="487" t="s">
        <v>192</v>
      </c>
      <c r="D26" s="487" t="s">
        <v>60</v>
      </c>
      <c r="E26" s="487" t="s">
        <v>357</v>
      </c>
      <c r="F26" s="488">
        <v>1</v>
      </c>
      <c r="G26" s="488">
        <v>64</v>
      </c>
      <c r="H26" s="488">
        <v>124</v>
      </c>
      <c r="I26" s="489"/>
      <c r="J26" s="490" t="s">
        <v>356</v>
      </c>
      <c r="K26" s="955"/>
      <c r="L26" s="491" t="s">
        <v>354</v>
      </c>
      <c r="M26" s="490" t="s">
        <v>749</v>
      </c>
      <c r="N26" s="492"/>
      <c r="O26" s="492"/>
      <c r="P26" s="1728"/>
      <c r="Q26" s="489"/>
      <c r="R26" s="281"/>
      <c r="S26" s="281"/>
      <c r="T26" s="201"/>
      <c r="U26" s="201">
        <v>280</v>
      </c>
      <c r="V26" s="273">
        <f t="shared" si="1"/>
        <v>-47.335666334028872</v>
      </c>
      <c r="W26" s="274">
        <f t="shared" si="2"/>
        <v>694.40000000000009</v>
      </c>
    </row>
    <row r="27" spans="1:23" ht="14.5">
      <c r="A27" s="487" t="s">
        <v>744</v>
      </c>
      <c r="B27" s="487" t="s">
        <v>745</v>
      </c>
      <c r="C27" s="487" t="s">
        <v>232</v>
      </c>
      <c r="D27" s="487" t="s">
        <v>60</v>
      </c>
      <c r="E27" s="487" t="s">
        <v>758</v>
      </c>
      <c r="F27" s="488">
        <v>0</v>
      </c>
      <c r="G27" s="488">
        <v>63</v>
      </c>
      <c r="H27" s="488">
        <v>63</v>
      </c>
      <c r="I27" s="489"/>
      <c r="J27" s="490" t="s">
        <v>356</v>
      </c>
      <c r="K27" s="955"/>
      <c r="L27" s="491" t="s">
        <v>354</v>
      </c>
      <c r="M27" s="490" t="s">
        <v>749</v>
      </c>
      <c r="N27" s="492"/>
      <c r="O27" s="492"/>
      <c r="P27" s="1728"/>
      <c r="Q27" s="489"/>
      <c r="R27" s="281"/>
      <c r="S27" s="281"/>
      <c r="T27" s="201"/>
      <c r="U27" s="201">
        <v>280</v>
      </c>
      <c r="V27" s="273">
        <f t="shared" si="1"/>
        <v>-47.335666334028872</v>
      </c>
      <c r="W27" s="274">
        <f t="shared" si="2"/>
        <v>352.8</v>
      </c>
    </row>
    <row r="28" spans="1:23" ht="14.5">
      <c r="A28" s="487" t="s">
        <v>744</v>
      </c>
      <c r="B28" s="487" t="s">
        <v>745</v>
      </c>
      <c r="C28" s="487" t="s">
        <v>191</v>
      </c>
      <c r="D28" s="487" t="s">
        <v>60</v>
      </c>
      <c r="E28" s="487" t="s">
        <v>353</v>
      </c>
      <c r="F28" s="488">
        <v>0</v>
      </c>
      <c r="G28" s="488">
        <v>51</v>
      </c>
      <c r="H28" s="488">
        <v>51</v>
      </c>
      <c r="I28" s="489"/>
      <c r="J28" s="490" t="s">
        <v>356</v>
      </c>
      <c r="K28" s="955"/>
      <c r="L28" s="491" t="s">
        <v>354</v>
      </c>
      <c r="M28" s="490" t="s">
        <v>749</v>
      </c>
      <c r="N28" s="492"/>
      <c r="O28" s="492"/>
      <c r="P28" s="1728"/>
      <c r="Q28" s="489"/>
      <c r="R28" s="281"/>
      <c r="S28" s="281"/>
      <c r="T28" s="201"/>
      <c r="U28" s="201">
        <v>280</v>
      </c>
      <c r="V28" s="273">
        <f t="shared" si="1"/>
        <v>-47.335666334028872</v>
      </c>
      <c r="W28" s="274">
        <f t="shared" si="2"/>
        <v>285.59999999999997</v>
      </c>
    </row>
    <row r="29" spans="1:23" ht="14.5">
      <c r="A29" s="487" t="s">
        <v>744</v>
      </c>
      <c r="B29" s="487" t="s">
        <v>745</v>
      </c>
      <c r="C29" s="487" t="s">
        <v>220</v>
      </c>
      <c r="D29" s="487" t="s">
        <v>60</v>
      </c>
      <c r="E29" s="487" t="s">
        <v>747</v>
      </c>
      <c r="F29" s="488">
        <v>1</v>
      </c>
      <c r="G29" s="488">
        <v>50</v>
      </c>
      <c r="H29" s="488">
        <v>109</v>
      </c>
      <c r="I29" s="489"/>
      <c r="J29" s="490" t="s">
        <v>356</v>
      </c>
      <c r="K29" s="955"/>
      <c r="L29" s="491" t="s">
        <v>354</v>
      </c>
      <c r="M29" s="490" t="s">
        <v>749</v>
      </c>
      <c r="N29" s="492"/>
      <c r="O29" s="492"/>
      <c r="P29" s="1728"/>
      <c r="Q29" s="489"/>
      <c r="R29" s="281"/>
      <c r="S29" s="281"/>
      <c r="T29" s="201"/>
      <c r="U29" s="201">
        <v>280</v>
      </c>
      <c r="V29" s="273">
        <f t="shared" si="1"/>
        <v>-47.335666334028872</v>
      </c>
      <c r="W29" s="274">
        <f t="shared" si="2"/>
        <v>610.4</v>
      </c>
    </row>
    <row r="30" spans="1:23" ht="14.5">
      <c r="A30" s="487" t="s">
        <v>744</v>
      </c>
      <c r="B30" s="487" t="s">
        <v>745</v>
      </c>
      <c r="C30" s="487" t="s">
        <v>205</v>
      </c>
      <c r="D30" s="487" t="s">
        <v>60</v>
      </c>
      <c r="E30" s="487" t="s">
        <v>755</v>
      </c>
      <c r="F30" s="488">
        <v>0</v>
      </c>
      <c r="G30" s="488">
        <v>56</v>
      </c>
      <c r="H30" s="488">
        <v>56</v>
      </c>
      <c r="I30" s="489"/>
      <c r="J30" s="490" t="s">
        <v>356</v>
      </c>
      <c r="K30" s="955"/>
      <c r="L30" s="491" t="s">
        <v>354</v>
      </c>
      <c r="M30" s="490" t="s">
        <v>749</v>
      </c>
      <c r="N30" s="492"/>
      <c r="O30" s="492"/>
      <c r="P30" s="1728"/>
      <c r="Q30" s="489"/>
      <c r="R30" s="281"/>
      <c r="S30" s="281"/>
      <c r="T30" s="201"/>
      <c r="U30" s="201">
        <v>280</v>
      </c>
      <c r="V30" s="273">
        <f t="shared" si="1"/>
        <v>-47.335666334028872</v>
      </c>
      <c r="W30" s="274">
        <f t="shared" si="2"/>
        <v>313.59999999999997</v>
      </c>
    </row>
    <row r="31" spans="1:23" ht="14.5">
      <c r="A31" s="487" t="s">
        <v>744</v>
      </c>
      <c r="B31" s="487" t="s">
        <v>745</v>
      </c>
      <c r="C31" s="487" t="s">
        <v>182</v>
      </c>
      <c r="D31" s="487" t="s">
        <v>60</v>
      </c>
      <c r="E31" s="487" t="s">
        <v>759</v>
      </c>
      <c r="F31" s="488">
        <v>0</v>
      </c>
      <c r="G31" s="488">
        <v>39</v>
      </c>
      <c r="H31" s="488">
        <v>39</v>
      </c>
      <c r="I31" s="489"/>
      <c r="J31" s="490" t="s">
        <v>356</v>
      </c>
      <c r="K31" s="955"/>
      <c r="L31" s="491" t="s">
        <v>354</v>
      </c>
      <c r="M31" s="490" t="s">
        <v>749</v>
      </c>
      <c r="N31" s="492"/>
      <c r="O31" s="492"/>
      <c r="P31" s="1728"/>
      <c r="Q31" s="489"/>
      <c r="R31" s="281"/>
      <c r="S31" s="281"/>
      <c r="T31" s="201"/>
      <c r="U31" s="201">
        <v>280</v>
      </c>
      <c r="V31" s="273">
        <f t="shared" si="1"/>
        <v>-47.335666334028872</v>
      </c>
      <c r="W31" s="274">
        <f t="shared" si="2"/>
        <v>218.4</v>
      </c>
    </row>
    <row r="32" spans="1:23" ht="14.5">
      <c r="A32" s="487" t="s">
        <v>744</v>
      </c>
      <c r="B32" s="487" t="s">
        <v>745</v>
      </c>
      <c r="C32" s="487" t="s">
        <v>760</v>
      </c>
      <c r="D32" s="487" t="s">
        <v>60</v>
      </c>
      <c r="E32" s="487" t="s">
        <v>747</v>
      </c>
      <c r="F32" s="488">
        <v>0</v>
      </c>
      <c r="G32" s="488">
        <v>33</v>
      </c>
      <c r="H32" s="488">
        <v>33</v>
      </c>
      <c r="I32" s="489"/>
      <c r="J32" s="490" t="s">
        <v>356</v>
      </c>
      <c r="K32" s="955"/>
      <c r="L32" s="491" t="s">
        <v>354</v>
      </c>
      <c r="M32" s="490" t="s">
        <v>749</v>
      </c>
      <c r="N32" s="492"/>
      <c r="O32" s="492"/>
      <c r="P32" s="1728"/>
      <c r="Q32" s="489"/>
      <c r="R32" s="281"/>
      <c r="S32" s="281"/>
      <c r="T32" s="201"/>
      <c r="U32" s="201">
        <v>280</v>
      </c>
      <c r="V32" s="273">
        <f t="shared" si="1"/>
        <v>-47.335666334028872</v>
      </c>
      <c r="W32" s="274">
        <f t="shared" si="2"/>
        <v>184.79999999999998</v>
      </c>
    </row>
    <row r="33" spans="1:23" ht="14.5">
      <c r="A33" s="487" t="s">
        <v>744</v>
      </c>
      <c r="B33" s="487" t="s">
        <v>745</v>
      </c>
      <c r="C33" s="487" t="s">
        <v>223</v>
      </c>
      <c r="D33" s="487" t="s">
        <v>60</v>
      </c>
      <c r="E33" s="487" t="s">
        <v>359</v>
      </c>
      <c r="F33" s="488">
        <v>2</v>
      </c>
      <c r="G33" s="488">
        <v>8</v>
      </c>
      <c r="H33" s="488">
        <v>127</v>
      </c>
      <c r="I33" s="489"/>
      <c r="J33" s="490" t="s">
        <v>356</v>
      </c>
      <c r="K33" s="955"/>
      <c r="L33" s="491" t="s">
        <v>354</v>
      </c>
      <c r="M33" s="490" t="s">
        <v>749</v>
      </c>
      <c r="N33" s="492"/>
      <c r="O33" s="492"/>
      <c r="P33" s="1728"/>
      <c r="Q33" s="489"/>
      <c r="R33" s="281"/>
      <c r="S33" s="281"/>
      <c r="T33" s="201"/>
      <c r="U33" s="201">
        <v>280</v>
      </c>
      <c r="V33" s="273">
        <f t="shared" si="1"/>
        <v>-47.335666334028872</v>
      </c>
      <c r="W33" s="274">
        <f t="shared" si="2"/>
        <v>711.19999999999993</v>
      </c>
    </row>
    <row r="34" spans="1:23" ht="14.5">
      <c r="A34" s="487" t="s">
        <v>744</v>
      </c>
      <c r="B34" s="487" t="s">
        <v>745</v>
      </c>
      <c r="C34" s="487" t="s">
        <v>184</v>
      </c>
      <c r="D34" s="487" t="s">
        <v>60</v>
      </c>
      <c r="E34" s="487" t="s">
        <v>683</v>
      </c>
      <c r="F34" s="488">
        <v>0</v>
      </c>
      <c r="G34" s="488">
        <v>50</v>
      </c>
      <c r="H34" s="488">
        <v>50</v>
      </c>
      <c r="I34" s="489"/>
      <c r="J34" s="490" t="s">
        <v>356</v>
      </c>
      <c r="K34" s="955"/>
      <c r="L34" s="491" t="s">
        <v>354</v>
      </c>
      <c r="M34" s="490" t="s">
        <v>749</v>
      </c>
      <c r="N34" s="492"/>
      <c r="O34" s="492"/>
      <c r="P34" s="1728"/>
      <c r="Q34" s="489"/>
      <c r="R34" s="281"/>
      <c r="S34" s="281"/>
      <c r="T34" s="201"/>
      <c r="U34" s="201">
        <v>280</v>
      </c>
      <c r="V34" s="273">
        <f t="shared" si="1"/>
        <v>-47.335666334028872</v>
      </c>
      <c r="W34" s="274">
        <f t="shared" si="2"/>
        <v>280</v>
      </c>
    </row>
    <row r="35" spans="1:23" ht="14.5">
      <c r="A35" s="487" t="s">
        <v>744</v>
      </c>
      <c r="B35" s="487" t="s">
        <v>745</v>
      </c>
      <c r="C35" s="487" t="s">
        <v>222</v>
      </c>
      <c r="D35" s="487" t="s">
        <v>60</v>
      </c>
      <c r="E35" s="487" t="s">
        <v>747</v>
      </c>
      <c r="F35" s="488">
        <v>1</v>
      </c>
      <c r="G35" s="488">
        <v>48</v>
      </c>
      <c r="H35" s="488">
        <v>107</v>
      </c>
      <c r="I35" s="489"/>
      <c r="J35" s="490" t="s">
        <v>356</v>
      </c>
      <c r="K35" s="955"/>
      <c r="L35" s="491" t="s">
        <v>354</v>
      </c>
      <c r="M35" s="490" t="s">
        <v>749</v>
      </c>
      <c r="N35" s="492"/>
      <c r="O35" s="492"/>
      <c r="P35" s="1728"/>
      <c r="Q35" s="489"/>
      <c r="R35" s="281"/>
      <c r="S35" s="281"/>
      <c r="T35" s="201"/>
      <c r="U35" s="201">
        <v>280</v>
      </c>
      <c r="V35" s="273">
        <f t="shared" si="1"/>
        <v>-47.335666334028872</v>
      </c>
      <c r="W35" s="274">
        <f t="shared" si="2"/>
        <v>599.20000000000005</v>
      </c>
    </row>
    <row r="36" spans="1:23" ht="14.5">
      <c r="A36" s="487" t="s">
        <v>744</v>
      </c>
      <c r="B36" s="487" t="s">
        <v>745</v>
      </c>
      <c r="C36" s="487" t="s">
        <v>227</v>
      </c>
      <c r="D36" s="487" t="s">
        <v>60</v>
      </c>
      <c r="E36" s="487" t="s">
        <v>747</v>
      </c>
      <c r="F36" s="488">
        <v>1</v>
      </c>
      <c r="G36" s="488">
        <v>29</v>
      </c>
      <c r="H36" s="488">
        <v>88</v>
      </c>
      <c r="I36" s="489"/>
      <c r="J36" s="490" t="s">
        <v>356</v>
      </c>
      <c r="K36" s="955"/>
      <c r="L36" s="491" t="s">
        <v>354</v>
      </c>
      <c r="M36" s="490" t="s">
        <v>749</v>
      </c>
      <c r="N36" s="492"/>
      <c r="O36" s="492"/>
      <c r="P36" s="1728"/>
      <c r="Q36" s="489"/>
      <c r="R36" s="281"/>
      <c r="S36" s="281"/>
      <c r="T36" s="201"/>
      <c r="U36" s="201">
        <v>280</v>
      </c>
      <c r="V36" s="273">
        <f t="shared" si="1"/>
        <v>-47.335666334028872</v>
      </c>
      <c r="W36" s="274">
        <f t="shared" si="2"/>
        <v>492.79999999999995</v>
      </c>
    </row>
    <row r="37" spans="1:23" ht="14.5">
      <c r="A37" s="487" t="s">
        <v>744</v>
      </c>
      <c r="B37" s="487" t="s">
        <v>745</v>
      </c>
      <c r="C37" s="487" t="s">
        <v>333</v>
      </c>
      <c r="D37" s="487" t="s">
        <v>60</v>
      </c>
      <c r="E37" s="487" t="s">
        <v>757</v>
      </c>
      <c r="F37" s="488">
        <v>0</v>
      </c>
      <c r="G37" s="488">
        <v>33</v>
      </c>
      <c r="H37" s="488">
        <v>33</v>
      </c>
      <c r="I37" s="489"/>
      <c r="J37" s="490" t="s">
        <v>356</v>
      </c>
      <c r="K37" s="955"/>
      <c r="L37" s="491" t="s">
        <v>354</v>
      </c>
      <c r="M37" s="490" t="s">
        <v>749</v>
      </c>
      <c r="N37" s="492"/>
      <c r="O37" s="492"/>
      <c r="P37" s="1728"/>
      <c r="Q37" s="489"/>
      <c r="R37" s="281"/>
      <c r="S37" s="281"/>
      <c r="T37" s="201"/>
      <c r="U37" s="201">
        <v>280</v>
      </c>
      <c r="V37" s="273">
        <f t="shared" si="1"/>
        <v>-47.335666334028872</v>
      </c>
      <c r="W37" s="274">
        <f t="shared" si="2"/>
        <v>184.79999999999998</v>
      </c>
    </row>
    <row r="38" spans="1:23" ht="15" customHeight="1">
      <c r="A38" s="487" t="s">
        <v>744</v>
      </c>
      <c r="B38" s="487" t="s">
        <v>745</v>
      </c>
      <c r="C38" s="487" t="s">
        <v>219</v>
      </c>
      <c r="D38" s="487" t="s">
        <v>60</v>
      </c>
      <c r="E38" s="487" t="s">
        <v>694</v>
      </c>
      <c r="F38" s="488">
        <v>0</v>
      </c>
      <c r="G38" s="488">
        <v>63</v>
      </c>
      <c r="H38" s="488">
        <v>63</v>
      </c>
      <c r="I38" s="489"/>
      <c r="J38" s="490" t="s">
        <v>356</v>
      </c>
      <c r="K38" s="955"/>
      <c r="L38" s="491" t="s">
        <v>354</v>
      </c>
      <c r="M38" s="490" t="s">
        <v>749</v>
      </c>
      <c r="N38" s="492"/>
      <c r="O38" s="492"/>
      <c r="P38" s="1728"/>
      <c r="Q38" s="489"/>
      <c r="R38" s="281"/>
      <c r="S38" s="281"/>
      <c r="T38" s="201"/>
      <c r="U38" s="201">
        <v>280</v>
      </c>
      <c r="V38" s="273">
        <f t="shared" si="1"/>
        <v>-47.335666334028872</v>
      </c>
      <c r="W38" s="274">
        <f t="shared" si="2"/>
        <v>352.8</v>
      </c>
    </row>
    <row r="39" spans="1:23" ht="14.5">
      <c r="A39" s="487" t="s">
        <v>744</v>
      </c>
      <c r="B39" s="487" t="s">
        <v>745</v>
      </c>
      <c r="C39" s="487" t="s">
        <v>228</v>
      </c>
      <c r="D39" s="487" t="s">
        <v>60</v>
      </c>
      <c r="E39" s="487" t="s">
        <v>747</v>
      </c>
      <c r="F39" s="488">
        <v>1</v>
      </c>
      <c r="G39" s="488">
        <v>24</v>
      </c>
      <c r="H39" s="488">
        <v>83</v>
      </c>
      <c r="I39" s="489"/>
      <c r="J39" s="490" t="s">
        <v>356</v>
      </c>
      <c r="K39" s="955"/>
      <c r="L39" s="491" t="s">
        <v>354</v>
      </c>
      <c r="M39" s="490" t="s">
        <v>749</v>
      </c>
      <c r="N39" s="492"/>
      <c r="O39" s="492"/>
      <c r="P39" s="1728"/>
      <c r="Q39" s="489"/>
      <c r="R39" s="281"/>
      <c r="S39" s="281"/>
      <c r="T39" s="201"/>
      <c r="U39" s="201">
        <v>280</v>
      </c>
      <c r="V39" s="273">
        <f t="shared" si="1"/>
        <v>-47.335666334028872</v>
      </c>
      <c r="W39" s="274">
        <f t="shared" si="2"/>
        <v>464.79999999999995</v>
      </c>
    </row>
    <row r="40" spans="1:23" ht="14.5">
      <c r="A40" s="487" t="s">
        <v>744</v>
      </c>
      <c r="B40" s="487" t="s">
        <v>745</v>
      </c>
      <c r="C40" s="487" t="s">
        <v>188</v>
      </c>
      <c r="D40" s="487" t="s">
        <v>60</v>
      </c>
      <c r="E40" s="487" t="s">
        <v>747</v>
      </c>
      <c r="F40" s="488">
        <v>0</v>
      </c>
      <c r="G40" s="488">
        <v>39</v>
      </c>
      <c r="H40" s="488">
        <v>39</v>
      </c>
      <c r="I40" s="489"/>
      <c r="J40" s="490" t="s">
        <v>356</v>
      </c>
      <c r="K40" s="955"/>
      <c r="L40" s="491" t="s">
        <v>354</v>
      </c>
      <c r="M40" s="490" t="s">
        <v>749</v>
      </c>
      <c r="N40" s="492"/>
      <c r="O40" s="492"/>
      <c r="P40" s="1728"/>
      <c r="Q40" s="489"/>
      <c r="R40" s="281"/>
      <c r="S40" s="281"/>
      <c r="T40" s="201"/>
      <c r="U40" s="201">
        <v>280</v>
      </c>
      <c r="V40" s="273">
        <f t="shared" si="1"/>
        <v>-47.335666334028872</v>
      </c>
      <c r="W40" s="274">
        <f t="shared" si="2"/>
        <v>218.4</v>
      </c>
    </row>
    <row r="41" spans="1:23" ht="14.5">
      <c r="A41" s="487" t="s">
        <v>744</v>
      </c>
      <c r="B41" s="487" t="s">
        <v>745</v>
      </c>
      <c r="C41" s="487" t="s">
        <v>185</v>
      </c>
      <c r="D41" s="487" t="s">
        <v>60</v>
      </c>
      <c r="E41" s="487" t="s">
        <v>747</v>
      </c>
      <c r="F41" s="488">
        <v>0</v>
      </c>
      <c r="G41" s="488">
        <v>40</v>
      </c>
      <c r="H41" s="488">
        <v>40</v>
      </c>
      <c r="I41" s="489"/>
      <c r="J41" s="490" t="s">
        <v>356</v>
      </c>
      <c r="K41" s="955"/>
      <c r="L41" s="491" t="s">
        <v>354</v>
      </c>
      <c r="M41" s="490" t="s">
        <v>749</v>
      </c>
      <c r="N41" s="492"/>
      <c r="O41" s="492"/>
      <c r="P41" s="1728"/>
      <c r="Q41" s="489"/>
      <c r="R41" s="281"/>
      <c r="S41" s="281"/>
      <c r="T41" s="201"/>
      <c r="U41" s="201">
        <v>280</v>
      </c>
      <c r="V41" s="273">
        <f t="shared" si="1"/>
        <v>-47.335666334028872</v>
      </c>
      <c r="W41" s="274">
        <f t="shared" si="2"/>
        <v>223.99999999999997</v>
      </c>
    </row>
    <row r="42" spans="1:23" ht="14.5">
      <c r="A42" s="487" t="s">
        <v>744</v>
      </c>
      <c r="B42" s="487" t="s">
        <v>745</v>
      </c>
      <c r="C42" s="487" t="s">
        <v>186</v>
      </c>
      <c r="D42" s="487" t="s">
        <v>60</v>
      </c>
      <c r="E42" s="487" t="s">
        <v>747</v>
      </c>
      <c r="F42" s="488">
        <v>1</v>
      </c>
      <c r="G42" s="488">
        <v>52</v>
      </c>
      <c r="H42" s="488">
        <v>111</v>
      </c>
      <c r="I42" s="489"/>
      <c r="J42" s="490" t="s">
        <v>356</v>
      </c>
      <c r="K42" s="955"/>
      <c r="L42" s="491" t="s">
        <v>354</v>
      </c>
      <c r="M42" s="490" t="s">
        <v>749</v>
      </c>
      <c r="N42" s="492"/>
      <c r="O42" s="492"/>
      <c r="P42" s="1728"/>
      <c r="Q42" s="489"/>
      <c r="R42" s="281"/>
      <c r="S42" s="281"/>
      <c r="T42" s="201"/>
      <c r="U42" s="201">
        <v>280</v>
      </c>
      <c r="V42" s="273">
        <f t="shared" si="1"/>
        <v>-47.335666334028872</v>
      </c>
      <c r="W42" s="274">
        <f t="shared" si="2"/>
        <v>621.6</v>
      </c>
    </row>
    <row r="43" spans="1:23" ht="14.5">
      <c r="A43" s="487" t="s">
        <v>744</v>
      </c>
      <c r="B43" s="487" t="s">
        <v>745</v>
      </c>
      <c r="C43" s="487" t="s">
        <v>229</v>
      </c>
      <c r="D43" s="487" t="s">
        <v>60</v>
      </c>
      <c r="E43" s="487" t="s">
        <v>761</v>
      </c>
      <c r="F43" s="488">
        <v>1</v>
      </c>
      <c r="G43" s="488">
        <v>16</v>
      </c>
      <c r="H43" s="488">
        <v>76</v>
      </c>
      <c r="I43" s="489"/>
      <c r="J43" s="490" t="s">
        <v>356</v>
      </c>
      <c r="K43" s="955"/>
      <c r="L43" s="491" t="s">
        <v>354</v>
      </c>
      <c r="M43" s="490" t="s">
        <v>749</v>
      </c>
      <c r="N43" s="492"/>
      <c r="O43" s="492"/>
      <c r="P43" s="1728"/>
      <c r="Q43" s="489"/>
      <c r="R43" s="281"/>
      <c r="S43" s="281"/>
      <c r="T43" s="201"/>
      <c r="U43" s="201">
        <v>280</v>
      </c>
      <c r="V43" s="273">
        <f t="shared" si="1"/>
        <v>-47.335666334028872</v>
      </c>
      <c r="W43" s="274">
        <f t="shared" si="2"/>
        <v>425.59999999999997</v>
      </c>
    </row>
    <row r="44" spans="1:23" ht="14.5">
      <c r="A44" s="487" t="s">
        <v>744</v>
      </c>
      <c r="B44" s="487" t="s">
        <v>745</v>
      </c>
      <c r="C44" s="487" t="s">
        <v>230</v>
      </c>
      <c r="D44" s="487" t="s">
        <v>60</v>
      </c>
      <c r="E44" s="487" t="s">
        <v>696</v>
      </c>
      <c r="F44" s="488">
        <v>0</v>
      </c>
      <c r="G44" s="488">
        <v>59</v>
      </c>
      <c r="H44" s="488">
        <v>59</v>
      </c>
      <c r="I44" s="489"/>
      <c r="J44" s="490" t="s">
        <v>356</v>
      </c>
      <c r="K44" s="955"/>
      <c r="L44" s="491" t="s">
        <v>354</v>
      </c>
      <c r="M44" s="490" t="s">
        <v>749</v>
      </c>
      <c r="N44" s="492"/>
      <c r="O44" s="492"/>
      <c r="P44" s="1728"/>
      <c r="Q44" s="489"/>
      <c r="R44" s="281"/>
      <c r="S44" s="281"/>
      <c r="T44" s="201"/>
      <c r="U44" s="201">
        <v>280</v>
      </c>
      <c r="V44" s="273">
        <f t="shared" si="1"/>
        <v>-47.335666334028872</v>
      </c>
      <c r="W44" s="274">
        <f t="shared" si="2"/>
        <v>330.4</v>
      </c>
    </row>
    <row r="45" spans="1:23" ht="14.5">
      <c r="A45" s="487" t="s">
        <v>744</v>
      </c>
      <c r="B45" s="487" t="s">
        <v>745</v>
      </c>
      <c r="C45" s="487" t="s">
        <v>317</v>
      </c>
      <c r="D45" s="487" t="s">
        <v>60</v>
      </c>
      <c r="E45" s="487" t="s">
        <v>684</v>
      </c>
      <c r="F45" s="488">
        <v>0</v>
      </c>
      <c r="G45" s="488">
        <v>35</v>
      </c>
      <c r="H45" s="488">
        <v>35</v>
      </c>
      <c r="I45" s="489"/>
      <c r="J45" s="490" t="s">
        <v>356</v>
      </c>
      <c r="K45" s="955"/>
      <c r="L45" s="491" t="s">
        <v>354</v>
      </c>
      <c r="M45" s="490" t="s">
        <v>749</v>
      </c>
      <c r="N45" s="492"/>
      <c r="O45" s="492"/>
      <c r="P45" s="1728"/>
      <c r="Q45" s="489"/>
      <c r="R45" s="281"/>
      <c r="S45" s="281"/>
      <c r="T45" s="201"/>
      <c r="U45" s="201">
        <v>280</v>
      </c>
      <c r="V45" s="273">
        <f t="shared" si="1"/>
        <v>-47.335666334028872</v>
      </c>
      <c r="W45" s="274">
        <f t="shared" si="2"/>
        <v>196</v>
      </c>
    </row>
    <row r="46" spans="1:23" ht="14.5">
      <c r="A46" s="487" t="s">
        <v>744</v>
      </c>
      <c r="B46" s="487" t="s">
        <v>745</v>
      </c>
      <c r="C46" s="487" t="s">
        <v>311</v>
      </c>
      <c r="D46" s="487" t="s">
        <v>60</v>
      </c>
      <c r="E46" s="487" t="s">
        <v>358</v>
      </c>
      <c r="F46" s="488">
        <v>0</v>
      </c>
      <c r="G46" s="488">
        <v>48</v>
      </c>
      <c r="H46" s="488">
        <v>48</v>
      </c>
      <c r="I46" s="489"/>
      <c r="J46" s="490" t="s">
        <v>356</v>
      </c>
      <c r="K46" s="955"/>
      <c r="L46" s="491" t="s">
        <v>354</v>
      </c>
      <c r="M46" s="490" t="s">
        <v>749</v>
      </c>
      <c r="N46" s="492"/>
      <c r="O46" s="492"/>
      <c r="P46" s="1728"/>
      <c r="Q46" s="489"/>
      <c r="R46" s="281"/>
      <c r="S46" s="281"/>
      <c r="T46" s="201"/>
      <c r="U46" s="201">
        <v>280</v>
      </c>
      <c r="V46" s="273">
        <f t="shared" si="1"/>
        <v>-47.335666334028872</v>
      </c>
      <c r="W46" s="274">
        <f t="shared" si="2"/>
        <v>268.8</v>
      </c>
    </row>
    <row r="47" spans="1:23" ht="14.5">
      <c r="A47" s="487" t="s">
        <v>744</v>
      </c>
      <c r="B47" s="487" t="s">
        <v>745</v>
      </c>
      <c r="C47" s="487" t="s">
        <v>360</v>
      </c>
      <c r="D47" s="487" t="s">
        <v>60</v>
      </c>
      <c r="E47" s="487" t="s">
        <v>683</v>
      </c>
      <c r="F47" s="488">
        <v>0</v>
      </c>
      <c r="G47" s="488">
        <v>34</v>
      </c>
      <c r="H47" s="488">
        <v>34</v>
      </c>
      <c r="I47" s="489"/>
      <c r="J47" s="490" t="s">
        <v>356</v>
      </c>
      <c r="K47" s="955"/>
      <c r="L47" s="491" t="s">
        <v>354</v>
      </c>
      <c r="M47" s="490" t="s">
        <v>749</v>
      </c>
      <c r="N47" s="492"/>
      <c r="O47" s="492"/>
      <c r="P47" s="1728"/>
      <c r="Q47" s="489"/>
      <c r="R47" s="281"/>
      <c r="S47" s="281"/>
      <c r="T47" s="201"/>
      <c r="U47" s="201">
        <v>280</v>
      </c>
      <c r="V47" s="273">
        <f t="shared" si="1"/>
        <v>-47.335666334028872</v>
      </c>
      <c r="W47" s="274">
        <f t="shared" si="2"/>
        <v>190.39999999999998</v>
      </c>
    </row>
    <row r="48" spans="1:23" ht="14.5">
      <c r="A48" s="487" t="s">
        <v>744</v>
      </c>
      <c r="B48" s="487" t="s">
        <v>745</v>
      </c>
      <c r="C48" s="487" t="s">
        <v>208</v>
      </c>
      <c r="D48" s="487" t="s">
        <v>60</v>
      </c>
      <c r="E48" s="487" t="s">
        <v>759</v>
      </c>
      <c r="F48" s="488">
        <v>0</v>
      </c>
      <c r="G48" s="488">
        <v>44</v>
      </c>
      <c r="H48" s="488">
        <v>44</v>
      </c>
      <c r="I48" s="489"/>
      <c r="J48" s="490" t="s">
        <v>356</v>
      </c>
      <c r="K48" s="955"/>
      <c r="L48" s="491" t="s">
        <v>354</v>
      </c>
      <c r="M48" s="490" t="s">
        <v>749</v>
      </c>
      <c r="N48" s="492"/>
      <c r="O48" s="492"/>
      <c r="P48" s="1728"/>
      <c r="Q48" s="489"/>
      <c r="R48" s="281"/>
      <c r="S48" s="281"/>
      <c r="T48" s="201"/>
      <c r="U48" s="201">
        <v>280</v>
      </c>
      <c r="V48" s="273">
        <f t="shared" si="1"/>
        <v>-47.335666334028872</v>
      </c>
      <c r="W48" s="274">
        <f t="shared" si="2"/>
        <v>246.39999999999998</v>
      </c>
    </row>
    <row r="49" spans="1:23" ht="14.5">
      <c r="A49" s="487" t="s">
        <v>744</v>
      </c>
      <c r="B49" s="487" t="s">
        <v>745</v>
      </c>
      <c r="C49" s="487" t="s">
        <v>686</v>
      </c>
      <c r="D49" s="487" t="s">
        <v>60</v>
      </c>
      <c r="E49" s="487" t="s">
        <v>747</v>
      </c>
      <c r="F49" s="488">
        <v>1</v>
      </c>
      <c r="G49" s="488">
        <v>49</v>
      </c>
      <c r="H49" s="488">
        <v>109</v>
      </c>
      <c r="I49" s="489"/>
      <c r="J49" s="490" t="s">
        <v>356</v>
      </c>
      <c r="K49" s="955"/>
      <c r="L49" s="491" t="s">
        <v>354</v>
      </c>
      <c r="M49" s="490" t="s">
        <v>749</v>
      </c>
      <c r="N49" s="492"/>
      <c r="O49" s="492"/>
      <c r="P49" s="1728"/>
      <c r="Q49" s="489"/>
      <c r="R49" s="281"/>
      <c r="S49" s="281"/>
      <c r="T49" s="201"/>
      <c r="U49" s="201">
        <v>280</v>
      </c>
      <c r="V49" s="273">
        <f t="shared" si="1"/>
        <v>-47.335666334028872</v>
      </c>
      <c r="W49" s="274">
        <f t="shared" si="2"/>
        <v>610.4</v>
      </c>
    </row>
    <row r="50" spans="1:23" ht="14.5">
      <c r="A50" s="487" t="s">
        <v>744</v>
      </c>
      <c r="B50" s="487" t="s">
        <v>745</v>
      </c>
      <c r="C50" s="487" t="s">
        <v>306</v>
      </c>
      <c r="D50" s="487" t="s">
        <v>60</v>
      </c>
      <c r="E50" s="487" t="s">
        <v>747</v>
      </c>
      <c r="F50" s="488">
        <v>2</v>
      </c>
      <c r="G50" s="488">
        <v>23</v>
      </c>
      <c r="H50" s="488">
        <v>142</v>
      </c>
      <c r="I50" s="489"/>
      <c r="J50" s="490" t="s">
        <v>356</v>
      </c>
      <c r="K50" s="955"/>
      <c r="L50" s="491" t="s">
        <v>354</v>
      </c>
      <c r="M50" s="490" t="s">
        <v>749</v>
      </c>
      <c r="N50" s="492"/>
      <c r="O50" s="492"/>
      <c r="P50" s="1728"/>
      <c r="Q50" s="489"/>
      <c r="R50" s="281"/>
      <c r="S50" s="281"/>
      <c r="T50" s="201"/>
      <c r="U50" s="201">
        <v>280</v>
      </c>
      <c r="V50" s="273">
        <f t="shared" si="1"/>
        <v>-47.335666334028872</v>
      </c>
      <c r="W50" s="274">
        <f t="shared" si="2"/>
        <v>795.19999999999993</v>
      </c>
    </row>
    <row r="51" spans="1:23" ht="14.5">
      <c r="A51" s="487" t="s">
        <v>744</v>
      </c>
      <c r="B51" s="487" t="s">
        <v>745</v>
      </c>
      <c r="C51" s="487" t="s">
        <v>304</v>
      </c>
      <c r="D51" s="487" t="s">
        <v>60</v>
      </c>
      <c r="E51" s="487" t="s">
        <v>762</v>
      </c>
      <c r="F51" s="488">
        <v>1</v>
      </c>
      <c r="G51" s="488">
        <v>34</v>
      </c>
      <c r="H51" s="488">
        <v>94</v>
      </c>
      <c r="I51" s="489"/>
      <c r="J51" s="490" t="s">
        <v>356</v>
      </c>
      <c r="K51" s="955"/>
      <c r="L51" s="491" t="s">
        <v>354</v>
      </c>
      <c r="M51" s="490" t="s">
        <v>749</v>
      </c>
      <c r="N51" s="492"/>
      <c r="O51" s="492"/>
      <c r="P51" s="1728"/>
      <c r="Q51" s="489"/>
      <c r="R51" s="281"/>
      <c r="S51" s="281"/>
      <c r="T51" s="201"/>
      <c r="U51" s="201">
        <v>280</v>
      </c>
      <c r="V51" s="273">
        <f t="shared" si="1"/>
        <v>-47.335666334028872</v>
      </c>
      <c r="W51" s="274">
        <f t="shared" si="2"/>
        <v>526.4</v>
      </c>
    </row>
    <row r="52" spans="1:23" ht="14.5">
      <c r="A52" s="487" t="s">
        <v>744</v>
      </c>
      <c r="B52" s="487" t="s">
        <v>745</v>
      </c>
      <c r="C52" s="487" t="s">
        <v>364</v>
      </c>
      <c r="D52" s="487" t="s">
        <v>60</v>
      </c>
      <c r="E52" s="487" t="s">
        <v>361</v>
      </c>
      <c r="F52" s="488">
        <v>1</v>
      </c>
      <c r="G52" s="488">
        <v>20</v>
      </c>
      <c r="H52" s="488">
        <v>80</v>
      </c>
      <c r="I52" s="489"/>
      <c r="J52" s="490" t="s">
        <v>356</v>
      </c>
      <c r="K52" s="955"/>
      <c r="L52" s="491" t="s">
        <v>354</v>
      </c>
      <c r="M52" s="490" t="s">
        <v>749</v>
      </c>
      <c r="N52" s="492"/>
      <c r="O52" s="492"/>
      <c r="P52" s="1728"/>
      <c r="Q52" s="489"/>
      <c r="R52" s="281"/>
      <c r="S52" s="281"/>
      <c r="T52" s="201"/>
      <c r="U52" s="201">
        <v>280</v>
      </c>
      <c r="V52" s="273">
        <f t="shared" si="1"/>
        <v>-47.335666334028872</v>
      </c>
      <c r="W52" s="274">
        <f t="shared" si="2"/>
        <v>447.99999999999994</v>
      </c>
    </row>
    <row r="53" spans="1:23" ht="14.5">
      <c r="A53" s="487" t="s">
        <v>744</v>
      </c>
      <c r="B53" s="487" t="s">
        <v>745</v>
      </c>
      <c r="C53" s="487" t="s">
        <v>301</v>
      </c>
      <c r="D53" s="487" t="s">
        <v>60</v>
      </c>
      <c r="E53" s="487" t="s">
        <v>763</v>
      </c>
      <c r="F53" s="488">
        <v>0</v>
      </c>
      <c r="G53" s="488">
        <v>33</v>
      </c>
      <c r="H53" s="488">
        <v>33</v>
      </c>
      <c r="I53" s="489"/>
      <c r="J53" s="490" t="s">
        <v>356</v>
      </c>
      <c r="K53" s="955"/>
      <c r="L53" s="491" t="s">
        <v>354</v>
      </c>
      <c r="M53" s="490" t="s">
        <v>749</v>
      </c>
      <c r="N53" s="492"/>
      <c r="O53" s="492"/>
      <c r="P53" s="1728"/>
      <c r="Q53" s="489"/>
      <c r="R53" s="281"/>
      <c r="S53" s="281"/>
      <c r="T53" s="201"/>
      <c r="U53" s="201">
        <v>280</v>
      </c>
      <c r="V53" s="273">
        <f t="shared" si="1"/>
        <v>-47.335666334028872</v>
      </c>
      <c r="W53" s="274">
        <f t="shared" si="2"/>
        <v>184.79999999999998</v>
      </c>
    </row>
    <row r="54" spans="1:23" ht="14.5">
      <c r="A54" s="487" t="s">
        <v>744</v>
      </c>
      <c r="B54" s="487" t="s">
        <v>745</v>
      </c>
      <c r="C54" s="487" t="s">
        <v>365</v>
      </c>
      <c r="D54" s="487" t="s">
        <v>60</v>
      </c>
      <c r="E54" s="487" t="s">
        <v>764</v>
      </c>
      <c r="F54" s="488">
        <v>2</v>
      </c>
      <c r="G54" s="488">
        <v>31</v>
      </c>
      <c r="H54" s="488">
        <v>153</v>
      </c>
      <c r="I54" s="489"/>
      <c r="J54" s="490" t="s">
        <v>356</v>
      </c>
      <c r="K54" s="955"/>
      <c r="L54" s="491" t="s">
        <v>354</v>
      </c>
      <c r="M54" s="490" t="s">
        <v>749</v>
      </c>
      <c r="N54" s="492"/>
      <c r="O54" s="492"/>
      <c r="P54" s="1728"/>
      <c r="Q54" s="489"/>
      <c r="R54" s="281"/>
      <c r="S54" s="281"/>
      <c r="T54" s="201"/>
      <c r="U54" s="201">
        <v>280</v>
      </c>
      <c r="V54" s="273">
        <f t="shared" si="1"/>
        <v>-47.335666334028872</v>
      </c>
      <c r="W54" s="274">
        <f t="shared" si="2"/>
        <v>856.8</v>
      </c>
    </row>
    <row r="55" spans="1:23" ht="14.5">
      <c r="A55" s="487" t="s">
        <v>744</v>
      </c>
      <c r="B55" s="487" t="s">
        <v>745</v>
      </c>
      <c r="C55" s="487" t="s">
        <v>366</v>
      </c>
      <c r="D55" s="487" t="s">
        <v>60</v>
      </c>
      <c r="E55" s="487" t="s">
        <v>757</v>
      </c>
      <c r="F55" s="488">
        <v>0</v>
      </c>
      <c r="G55" s="488">
        <v>44</v>
      </c>
      <c r="H55" s="488">
        <v>44</v>
      </c>
      <c r="I55" s="489"/>
      <c r="J55" s="490" t="s">
        <v>356</v>
      </c>
      <c r="K55" s="955"/>
      <c r="L55" s="491" t="s">
        <v>354</v>
      </c>
      <c r="M55" s="490" t="s">
        <v>749</v>
      </c>
      <c r="N55" s="492"/>
      <c r="O55" s="492"/>
      <c r="P55" s="1728"/>
      <c r="Q55" s="489"/>
      <c r="R55" s="281"/>
      <c r="S55" s="281"/>
      <c r="T55" s="201"/>
      <c r="U55" s="201">
        <v>280</v>
      </c>
      <c r="V55" s="273">
        <f t="shared" si="1"/>
        <v>-47.335666334028872</v>
      </c>
      <c r="W55" s="274">
        <f t="shared" si="2"/>
        <v>246.39999999999998</v>
      </c>
    </row>
    <row r="56" spans="1:23" ht="14.5">
      <c r="A56" s="487" t="s">
        <v>744</v>
      </c>
      <c r="B56" s="487" t="s">
        <v>745</v>
      </c>
      <c r="C56" s="487" t="s">
        <v>298</v>
      </c>
      <c r="D56" s="487" t="s">
        <v>60</v>
      </c>
      <c r="E56" s="487" t="s">
        <v>759</v>
      </c>
      <c r="F56" s="488">
        <v>0</v>
      </c>
      <c r="G56" s="488">
        <v>32</v>
      </c>
      <c r="H56" s="488">
        <v>32</v>
      </c>
      <c r="I56" s="489"/>
      <c r="J56" s="490" t="s">
        <v>356</v>
      </c>
      <c r="K56" s="955"/>
      <c r="L56" s="491" t="s">
        <v>354</v>
      </c>
      <c r="M56" s="490" t="s">
        <v>749</v>
      </c>
      <c r="N56" s="492"/>
      <c r="O56" s="492"/>
      <c r="P56" s="1728"/>
      <c r="Q56" s="489"/>
      <c r="R56" s="281"/>
      <c r="S56" s="281"/>
      <c r="T56" s="201"/>
      <c r="U56" s="201">
        <v>280</v>
      </c>
      <c r="V56" s="273">
        <f t="shared" si="1"/>
        <v>-47.335666334028872</v>
      </c>
      <c r="W56" s="274">
        <f t="shared" si="2"/>
        <v>179.20000000000002</v>
      </c>
    </row>
    <row r="57" spans="1:23" ht="14.5">
      <c r="A57" s="487" t="s">
        <v>744</v>
      </c>
      <c r="B57" s="487" t="s">
        <v>745</v>
      </c>
      <c r="C57" s="487" t="s">
        <v>297</v>
      </c>
      <c r="D57" s="487" t="s">
        <v>60</v>
      </c>
      <c r="E57" s="487" t="s">
        <v>764</v>
      </c>
      <c r="F57" s="488">
        <v>1</v>
      </c>
      <c r="G57" s="488">
        <v>16</v>
      </c>
      <c r="H57" s="488">
        <v>76</v>
      </c>
      <c r="I57" s="489"/>
      <c r="J57" s="490" t="s">
        <v>356</v>
      </c>
      <c r="K57" s="955"/>
      <c r="L57" s="491" t="s">
        <v>354</v>
      </c>
      <c r="M57" s="490" t="s">
        <v>749</v>
      </c>
      <c r="N57" s="492"/>
      <c r="O57" s="492"/>
      <c r="P57" s="1728"/>
      <c r="Q57" s="489"/>
      <c r="R57" s="281"/>
      <c r="S57" s="281"/>
      <c r="T57" s="201"/>
      <c r="U57" s="201">
        <v>280</v>
      </c>
      <c r="V57" s="273">
        <f t="shared" si="1"/>
        <v>-47.335666334028872</v>
      </c>
      <c r="W57" s="274">
        <f t="shared" si="2"/>
        <v>425.59999999999997</v>
      </c>
    </row>
    <row r="58" spans="1:23" ht="14.5">
      <c r="A58" s="487" t="s">
        <v>744</v>
      </c>
      <c r="B58" s="487" t="s">
        <v>745</v>
      </c>
      <c r="C58" s="487" t="s">
        <v>687</v>
      </c>
      <c r="D58" s="487" t="s">
        <v>60</v>
      </c>
      <c r="E58" s="487" t="s">
        <v>682</v>
      </c>
      <c r="F58" s="488">
        <v>1</v>
      </c>
      <c r="G58" s="488">
        <v>38</v>
      </c>
      <c r="H58" s="488">
        <v>98</v>
      </c>
      <c r="I58" s="489"/>
      <c r="J58" s="490" t="s">
        <v>356</v>
      </c>
      <c r="K58" s="955"/>
      <c r="L58" s="491" t="s">
        <v>354</v>
      </c>
      <c r="M58" s="490" t="s">
        <v>749</v>
      </c>
      <c r="N58" s="492"/>
      <c r="O58" s="492"/>
      <c r="P58" s="1728"/>
      <c r="Q58" s="489"/>
      <c r="R58" s="281"/>
      <c r="S58" s="281"/>
      <c r="T58" s="201"/>
      <c r="U58" s="201">
        <v>280</v>
      </c>
      <c r="V58" s="273">
        <f t="shared" si="1"/>
        <v>-47.335666334028872</v>
      </c>
      <c r="W58" s="274">
        <f t="shared" si="2"/>
        <v>548.79999999999995</v>
      </c>
    </row>
    <row r="59" spans="1:23" ht="14.5">
      <c r="A59" s="487" t="s">
        <v>744</v>
      </c>
      <c r="B59" s="487" t="s">
        <v>745</v>
      </c>
      <c r="C59" s="487" t="s">
        <v>291</v>
      </c>
      <c r="D59" s="487" t="s">
        <v>60</v>
      </c>
      <c r="E59" s="487" t="s">
        <v>747</v>
      </c>
      <c r="F59" s="488">
        <v>1</v>
      </c>
      <c r="G59" s="488">
        <v>17</v>
      </c>
      <c r="H59" s="488">
        <v>77</v>
      </c>
      <c r="I59" s="489"/>
      <c r="J59" s="490" t="s">
        <v>356</v>
      </c>
      <c r="K59" s="955"/>
      <c r="L59" s="491" t="s">
        <v>354</v>
      </c>
      <c r="M59" s="490" t="s">
        <v>749</v>
      </c>
      <c r="N59" s="492"/>
      <c r="O59" s="492"/>
      <c r="P59" s="1728"/>
      <c r="Q59" s="489"/>
      <c r="R59" s="281"/>
      <c r="S59" s="281"/>
      <c r="T59" s="201"/>
      <c r="U59" s="201">
        <v>280</v>
      </c>
      <c r="V59" s="273">
        <f t="shared" si="1"/>
        <v>-47.335666334028872</v>
      </c>
      <c r="W59" s="274">
        <f t="shared" si="2"/>
        <v>431.20000000000005</v>
      </c>
    </row>
    <row r="60" spans="1:23" ht="14.5">
      <c r="A60" s="487" t="s">
        <v>744</v>
      </c>
      <c r="B60" s="487" t="s">
        <v>745</v>
      </c>
      <c r="C60" s="487" t="s">
        <v>290</v>
      </c>
      <c r="D60" s="487" t="s">
        <v>60</v>
      </c>
      <c r="E60" s="487" t="s">
        <v>683</v>
      </c>
      <c r="F60" s="488">
        <v>0</v>
      </c>
      <c r="G60" s="488">
        <v>30</v>
      </c>
      <c r="H60" s="488">
        <v>30</v>
      </c>
      <c r="I60" s="489"/>
      <c r="J60" s="490" t="s">
        <v>356</v>
      </c>
      <c r="K60" s="955"/>
      <c r="L60" s="491" t="s">
        <v>354</v>
      </c>
      <c r="M60" s="490" t="s">
        <v>749</v>
      </c>
      <c r="N60" s="492"/>
      <c r="O60" s="492"/>
      <c r="P60" s="1728"/>
      <c r="Q60" s="489"/>
      <c r="R60" s="281"/>
      <c r="S60" s="281"/>
      <c r="T60" s="201"/>
      <c r="U60" s="201">
        <v>280</v>
      </c>
      <c r="V60" s="273">
        <f t="shared" si="1"/>
        <v>-47.335666334028872</v>
      </c>
      <c r="W60" s="274">
        <f t="shared" si="2"/>
        <v>168</v>
      </c>
    </row>
    <row r="61" spans="1:23" ht="14.5">
      <c r="A61" s="487" t="s">
        <v>744</v>
      </c>
      <c r="B61" s="487" t="s">
        <v>745</v>
      </c>
      <c r="C61" s="487" t="s">
        <v>289</v>
      </c>
      <c r="D61" s="487" t="s">
        <v>60</v>
      </c>
      <c r="E61" s="487" t="s">
        <v>758</v>
      </c>
      <c r="F61" s="488">
        <v>1</v>
      </c>
      <c r="G61" s="488">
        <v>12</v>
      </c>
      <c r="H61" s="488">
        <v>72</v>
      </c>
      <c r="I61" s="489"/>
      <c r="J61" s="490" t="s">
        <v>356</v>
      </c>
      <c r="K61" s="955"/>
      <c r="L61" s="491" t="s">
        <v>354</v>
      </c>
      <c r="M61" s="490" t="s">
        <v>749</v>
      </c>
      <c r="N61" s="492"/>
      <c r="O61" s="492"/>
      <c r="P61" s="1728"/>
      <c r="Q61" s="489"/>
      <c r="R61" s="281"/>
      <c r="S61" s="281"/>
      <c r="T61" s="201"/>
      <c r="U61" s="201">
        <v>280</v>
      </c>
      <c r="V61" s="273">
        <f t="shared" si="1"/>
        <v>-47.335666334028872</v>
      </c>
      <c r="W61" s="274">
        <f t="shared" si="2"/>
        <v>403.2</v>
      </c>
    </row>
    <row r="62" spans="1:23" ht="14.5">
      <c r="A62" s="487" t="s">
        <v>744</v>
      </c>
      <c r="B62" s="487" t="s">
        <v>745</v>
      </c>
      <c r="C62" s="487" t="s">
        <v>210</v>
      </c>
      <c r="D62" s="487" t="s">
        <v>60</v>
      </c>
      <c r="E62" s="487" t="s">
        <v>353</v>
      </c>
      <c r="F62" s="488">
        <v>0</v>
      </c>
      <c r="G62" s="488">
        <v>52</v>
      </c>
      <c r="H62" s="488">
        <v>52</v>
      </c>
      <c r="I62" s="489"/>
      <c r="J62" s="490" t="s">
        <v>356</v>
      </c>
      <c r="K62" s="955"/>
      <c r="L62" s="491" t="s">
        <v>354</v>
      </c>
      <c r="M62" s="490" t="s">
        <v>749</v>
      </c>
      <c r="N62" s="492"/>
      <c r="O62" s="492"/>
      <c r="P62" s="1728"/>
      <c r="Q62" s="489"/>
      <c r="R62" s="281"/>
      <c r="S62" s="281"/>
      <c r="T62" s="201"/>
      <c r="U62" s="201">
        <v>280</v>
      </c>
      <c r="V62" s="273">
        <f t="shared" si="1"/>
        <v>-47.335666334028872</v>
      </c>
      <c r="W62" s="274">
        <f t="shared" si="2"/>
        <v>291.2</v>
      </c>
    </row>
    <row r="63" spans="1:23" ht="14.5">
      <c r="A63" s="487" t="s">
        <v>744</v>
      </c>
      <c r="B63" s="487" t="s">
        <v>745</v>
      </c>
      <c r="C63" s="487" t="s">
        <v>274</v>
      </c>
      <c r="D63" s="487" t="s">
        <v>60</v>
      </c>
      <c r="E63" s="487" t="s">
        <v>765</v>
      </c>
      <c r="F63" s="488">
        <v>1</v>
      </c>
      <c r="G63" s="488">
        <v>13</v>
      </c>
      <c r="H63" s="488">
        <v>73</v>
      </c>
      <c r="I63" s="489"/>
      <c r="J63" s="490" t="s">
        <v>356</v>
      </c>
      <c r="K63" s="955"/>
      <c r="L63" s="491" t="s">
        <v>354</v>
      </c>
      <c r="M63" s="490" t="s">
        <v>749</v>
      </c>
      <c r="N63" s="492"/>
      <c r="O63" s="492"/>
      <c r="P63" s="1728"/>
      <c r="Q63" s="489"/>
      <c r="R63" s="281"/>
      <c r="S63" s="281"/>
      <c r="T63" s="201"/>
      <c r="U63" s="201">
        <v>280</v>
      </c>
      <c r="V63" s="273">
        <f t="shared" si="1"/>
        <v>-47.335666334028872</v>
      </c>
      <c r="W63" s="274">
        <f t="shared" si="2"/>
        <v>408.79999999999995</v>
      </c>
    </row>
    <row r="64" spans="1:23" ht="14.5">
      <c r="A64" s="487" t="s">
        <v>744</v>
      </c>
      <c r="B64" s="487" t="s">
        <v>745</v>
      </c>
      <c r="C64" s="487" t="s">
        <v>689</v>
      </c>
      <c r="D64" s="487" t="s">
        <v>60</v>
      </c>
      <c r="E64" s="487" t="s">
        <v>352</v>
      </c>
      <c r="F64" s="488">
        <v>5</v>
      </c>
      <c r="G64" s="488">
        <v>40</v>
      </c>
      <c r="H64" s="488">
        <v>335</v>
      </c>
      <c r="I64" s="489"/>
      <c r="J64" s="490" t="s">
        <v>356</v>
      </c>
      <c r="K64" s="955"/>
      <c r="L64" s="491" t="s">
        <v>354</v>
      </c>
      <c r="M64" s="490" t="s">
        <v>749</v>
      </c>
      <c r="N64" s="492"/>
      <c r="O64" s="492"/>
      <c r="P64" s="1728"/>
      <c r="Q64" s="489"/>
      <c r="R64" s="281"/>
      <c r="S64" s="281"/>
      <c r="T64" s="201"/>
      <c r="U64" s="201">
        <v>280</v>
      </c>
      <c r="V64" s="273">
        <f t="shared" si="1"/>
        <v>-47.335666334028872</v>
      </c>
      <c r="W64" s="274">
        <f t="shared" si="2"/>
        <v>1875.9999999999998</v>
      </c>
    </row>
    <row r="65" spans="1:23" ht="14.5">
      <c r="A65" s="487" t="s">
        <v>744</v>
      </c>
      <c r="B65" s="487" t="s">
        <v>745</v>
      </c>
      <c r="C65" s="487" t="s">
        <v>691</v>
      </c>
      <c r="D65" s="487" t="s">
        <v>60</v>
      </c>
      <c r="E65" s="487" t="s">
        <v>682</v>
      </c>
      <c r="F65" s="488">
        <v>3</v>
      </c>
      <c r="G65" s="488">
        <v>26</v>
      </c>
      <c r="H65" s="488">
        <v>204</v>
      </c>
      <c r="I65" s="489"/>
      <c r="J65" s="490" t="s">
        <v>356</v>
      </c>
      <c r="K65" s="955"/>
      <c r="L65" s="491" t="s">
        <v>354</v>
      </c>
      <c r="M65" s="490" t="s">
        <v>749</v>
      </c>
      <c r="N65" s="492"/>
      <c r="O65" s="492"/>
      <c r="P65" s="1728"/>
      <c r="Q65" s="489"/>
      <c r="R65" s="281"/>
      <c r="S65" s="281"/>
      <c r="T65" s="201"/>
      <c r="U65" s="201">
        <v>280</v>
      </c>
      <c r="V65" s="273">
        <f t="shared" si="1"/>
        <v>-47.335666334028872</v>
      </c>
      <c r="W65" s="274">
        <f t="shared" si="2"/>
        <v>1142.3999999999999</v>
      </c>
    </row>
    <row r="66" spans="1:23" ht="14.5">
      <c r="A66" s="487" t="s">
        <v>744</v>
      </c>
      <c r="B66" s="487" t="s">
        <v>745</v>
      </c>
      <c r="C66" s="487" t="s">
        <v>368</v>
      </c>
      <c r="D66" s="487" t="s">
        <v>60</v>
      </c>
      <c r="E66" s="487" t="s">
        <v>766</v>
      </c>
      <c r="F66" s="488">
        <v>1</v>
      </c>
      <c r="G66" s="488">
        <v>12</v>
      </c>
      <c r="H66" s="488">
        <v>72</v>
      </c>
      <c r="I66" s="489"/>
      <c r="J66" s="490" t="s">
        <v>356</v>
      </c>
      <c r="K66" s="955"/>
      <c r="L66" s="491" t="s">
        <v>354</v>
      </c>
      <c r="M66" s="490" t="s">
        <v>749</v>
      </c>
      <c r="N66" s="492"/>
      <c r="O66" s="492"/>
      <c r="P66" s="1728"/>
      <c r="Q66" s="489"/>
      <c r="R66" s="281"/>
      <c r="S66" s="281"/>
      <c r="T66" s="201"/>
      <c r="U66" s="201">
        <v>280</v>
      </c>
      <c r="V66" s="273">
        <f t="shared" si="1"/>
        <v>-47.335666334028872</v>
      </c>
      <c r="W66" s="274">
        <f t="shared" si="2"/>
        <v>403.2</v>
      </c>
    </row>
    <row r="67" spans="1:23" ht="14.5">
      <c r="A67" s="487" t="s">
        <v>744</v>
      </c>
      <c r="B67" s="487" t="s">
        <v>745</v>
      </c>
      <c r="C67" s="487" t="s">
        <v>369</v>
      </c>
      <c r="D67" s="487" t="s">
        <v>60</v>
      </c>
      <c r="E67" s="487" t="s">
        <v>763</v>
      </c>
      <c r="F67" s="488">
        <v>0</v>
      </c>
      <c r="G67" s="488">
        <v>39</v>
      </c>
      <c r="H67" s="488">
        <v>39</v>
      </c>
      <c r="I67" s="489"/>
      <c r="J67" s="490" t="s">
        <v>356</v>
      </c>
      <c r="K67" s="955"/>
      <c r="L67" s="491" t="s">
        <v>354</v>
      </c>
      <c r="M67" s="490" t="s">
        <v>749</v>
      </c>
      <c r="N67" s="492"/>
      <c r="O67" s="492"/>
      <c r="P67" s="1728"/>
      <c r="Q67" s="489"/>
      <c r="R67" s="281"/>
      <c r="S67" s="281"/>
      <c r="T67" s="201"/>
      <c r="U67" s="201">
        <v>280</v>
      </c>
      <c r="V67" s="273">
        <f t="shared" ref="V67:V77" si="3">U67/1.1023-$X$1</f>
        <v>-47.335666334028872</v>
      </c>
      <c r="W67" s="274">
        <f t="shared" ref="W67:W77" si="4">H67/60*U67*1.2</f>
        <v>218.4</v>
      </c>
    </row>
    <row r="68" spans="1:23" ht="14.5">
      <c r="A68" s="487" t="s">
        <v>744</v>
      </c>
      <c r="B68" s="487" t="s">
        <v>745</v>
      </c>
      <c r="C68" s="487" t="s">
        <v>692</v>
      </c>
      <c r="D68" s="487" t="s">
        <v>60</v>
      </c>
      <c r="E68" s="487" t="s">
        <v>682</v>
      </c>
      <c r="F68" s="488">
        <v>4</v>
      </c>
      <c r="G68" s="488">
        <v>48</v>
      </c>
      <c r="H68" s="488">
        <v>286</v>
      </c>
      <c r="I68" s="489"/>
      <c r="J68" s="490" t="s">
        <v>356</v>
      </c>
      <c r="K68" s="955"/>
      <c r="L68" s="491" t="s">
        <v>354</v>
      </c>
      <c r="M68" s="490" t="s">
        <v>749</v>
      </c>
      <c r="N68" s="492"/>
      <c r="O68" s="492"/>
      <c r="P68" s="1728"/>
      <c r="Q68" s="489"/>
      <c r="R68" s="281"/>
      <c r="S68" s="281"/>
      <c r="T68" s="201"/>
      <c r="U68" s="201">
        <v>280</v>
      </c>
      <c r="V68" s="273">
        <f t="shared" si="3"/>
        <v>-47.335666334028872</v>
      </c>
      <c r="W68" s="274">
        <f t="shared" si="4"/>
        <v>1601.6000000000001</v>
      </c>
    </row>
    <row r="69" spans="1:23" ht="14.5">
      <c r="A69" s="487" t="s">
        <v>744</v>
      </c>
      <c r="B69" s="487" t="s">
        <v>745</v>
      </c>
      <c r="C69" s="487" t="s">
        <v>261</v>
      </c>
      <c r="D69" s="487" t="s">
        <v>60</v>
      </c>
      <c r="E69" s="487" t="s">
        <v>696</v>
      </c>
      <c r="F69" s="488">
        <v>1</v>
      </c>
      <c r="G69" s="488">
        <v>29</v>
      </c>
      <c r="H69" s="488">
        <v>89</v>
      </c>
      <c r="I69" s="489"/>
      <c r="J69" s="490" t="s">
        <v>356</v>
      </c>
      <c r="K69" s="955"/>
      <c r="L69" s="491" t="s">
        <v>354</v>
      </c>
      <c r="M69" s="490" t="s">
        <v>749</v>
      </c>
      <c r="N69" s="492"/>
      <c r="O69" s="492"/>
      <c r="P69" s="1728"/>
      <c r="Q69" s="489"/>
      <c r="R69" s="281"/>
      <c r="S69" s="281"/>
      <c r="T69" s="201"/>
      <c r="U69" s="201">
        <v>280</v>
      </c>
      <c r="V69" s="273">
        <f t="shared" si="3"/>
        <v>-47.335666334028872</v>
      </c>
      <c r="W69" s="274">
        <f t="shared" si="4"/>
        <v>498.40000000000003</v>
      </c>
    </row>
    <row r="70" spans="1:23" ht="14.5">
      <c r="A70" s="487" t="s">
        <v>744</v>
      </c>
      <c r="B70" s="487" t="s">
        <v>745</v>
      </c>
      <c r="C70" s="487" t="s">
        <v>370</v>
      </c>
      <c r="D70" s="487" t="s">
        <v>60</v>
      </c>
      <c r="E70" s="487" t="s">
        <v>759</v>
      </c>
      <c r="F70" s="488">
        <v>2</v>
      </c>
      <c r="G70" s="488">
        <v>43</v>
      </c>
      <c r="H70" s="488">
        <v>163</v>
      </c>
      <c r="I70" s="489"/>
      <c r="J70" s="490" t="s">
        <v>356</v>
      </c>
      <c r="K70" s="955"/>
      <c r="L70" s="491" t="s">
        <v>354</v>
      </c>
      <c r="M70" s="490" t="s">
        <v>749</v>
      </c>
      <c r="N70" s="492"/>
      <c r="O70" s="492"/>
      <c r="P70" s="1728"/>
      <c r="Q70" s="489"/>
      <c r="R70" s="281"/>
      <c r="S70" s="281"/>
      <c r="T70" s="201"/>
      <c r="U70" s="201">
        <v>280</v>
      </c>
      <c r="V70" s="273">
        <f t="shared" si="3"/>
        <v>-47.335666334028872</v>
      </c>
      <c r="W70" s="274">
        <f t="shared" si="4"/>
        <v>912.80000000000007</v>
      </c>
    </row>
    <row r="71" spans="1:23" ht="14.5">
      <c r="A71" s="487" t="s">
        <v>744</v>
      </c>
      <c r="B71" s="487" t="s">
        <v>745</v>
      </c>
      <c r="C71" s="487" t="s">
        <v>372</v>
      </c>
      <c r="D71" s="487" t="s">
        <v>60</v>
      </c>
      <c r="E71" s="487" t="s">
        <v>694</v>
      </c>
      <c r="F71" s="488">
        <v>0</v>
      </c>
      <c r="G71" s="488">
        <v>33</v>
      </c>
      <c r="H71" s="488">
        <v>33</v>
      </c>
      <c r="I71" s="489"/>
      <c r="J71" s="490" t="s">
        <v>356</v>
      </c>
      <c r="K71" s="955"/>
      <c r="L71" s="491" t="s">
        <v>354</v>
      </c>
      <c r="M71" s="490" t="s">
        <v>749</v>
      </c>
      <c r="N71" s="492"/>
      <c r="O71" s="492"/>
      <c r="P71" s="1728"/>
      <c r="Q71" s="489"/>
      <c r="R71" s="281"/>
      <c r="S71" s="281"/>
      <c r="T71" s="201"/>
      <c r="U71" s="201">
        <v>280</v>
      </c>
      <c r="V71" s="273">
        <f t="shared" si="3"/>
        <v>-47.335666334028872</v>
      </c>
      <c r="W71" s="274">
        <f t="shared" si="4"/>
        <v>184.79999999999998</v>
      </c>
    </row>
    <row r="72" spans="1:23" ht="14.5">
      <c r="A72" s="487" t="s">
        <v>744</v>
      </c>
      <c r="B72" s="487" t="s">
        <v>745</v>
      </c>
      <c r="C72" s="487" t="s">
        <v>373</v>
      </c>
      <c r="D72" s="487" t="s">
        <v>60</v>
      </c>
      <c r="E72" s="487" t="s">
        <v>683</v>
      </c>
      <c r="F72" s="488">
        <v>0</v>
      </c>
      <c r="G72" s="488">
        <v>41</v>
      </c>
      <c r="H72" s="488">
        <v>41</v>
      </c>
      <c r="I72" s="489"/>
      <c r="J72" s="490" t="s">
        <v>356</v>
      </c>
      <c r="K72" s="955"/>
      <c r="L72" s="491" t="s">
        <v>354</v>
      </c>
      <c r="M72" s="490" t="s">
        <v>749</v>
      </c>
      <c r="N72" s="492"/>
      <c r="O72" s="492"/>
      <c r="P72" s="1728"/>
      <c r="Q72" s="489"/>
      <c r="R72" s="281"/>
      <c r="S72" s="281"/>
      <c r="T72" s="201"/>
      <c r="U72" s="201">
        <v>280</v>
      </c>
      <c r="V72" s="273">
        <f t="shared" si="3"/>
        <v>-47.335666334028872</v>
      </c>
      <c r="W72" s="274">
        <f t="shared" si="4"/>
        <v>229.6</v>
      </c>
    </row>
    <row r="73" spans="1:23" ht="14.5">
      <c r="A73" s="487" t="s">
        <v>744</v>
      </c>
      <c r="B73" s="487" t="s">
        <v>745</v>
      </c>
      <c r="C73" s="487" t="s">
        <v>695</v>
      </c>
      <c r="D73" s="487" t="s">
        <v>60</v>
      </c>
      <c r="E73" s="487" t="s">
        <v>757</v>
      </c>
      <c r="F73" s="488">
        <v>1</v>
      </c>
      <c r="G73" s="488">
        <v>11</v>
      </c>
      <c r="H73" s="488">
        <v>71</v>
      </c>
      <c r="I73" s="489"/>
      <c r="J73" s="490" t="s">
        <v>356</v>
      </c>
      <c r="K73" s="955"/>
      <c r="L73" s="491" t="s">
        <v>354</v>
      </c>
      <c r="M73" s="490" t="s">
        <v>749</v>
      </c>
      <c r="N73" s="492"/>
      <c r="O73" s="492"/>
      <c r="P73" s="1728"/>
      <c r="Q73" s="489"/>
      <c r="R73" s="281"/>
      <c r="S73" s="281"/>
      <c r="T73" s="201"/>
      <c r="U73" s="201">
        <v>280</v>
      </c>
      <c r="V73" s="273">
        <f t="shared" si="3"/>
        <v>-47.335666334028872</v>
      </c>
      <c r="W73" s="274">
        <f t="shared" si="4"/>
        <v>397.59999999999997</v>
      </c>
    </row>
    <row r="74" spans="1:23" ht="14.5">
      <c r="A74" s="487" t="s">
        <v>744</v>
      </c>
      <c r="B74" s="487" t="s">
        <v>745</v>
      </c>
      <c r="C74" s="487" t="s">
        <v>376</v>
      </c>
      <c r="D74" s="487" t="s">
        <v>60</v>
      </c>
      <c r="E74" s="487" t="s">
        <v>747</v>
      </c>
      <c r="F74" s="488">
        <v>1</v>
      </c>
      <c r="G74" s="488">
        <v>39</v>
      </c>
      <c r="H74" s="488">
        <v>99</v>
      </c>
      <c r="I74" s="489"/>
      <c r="J74" s="490" t="s">
        <v>356</v>
      </c>
      <c r="K74" s="955"/>
      <c r="L74" s="491" t="s">
        <v>354</v>
      </c>
      <c r="M74" s="490" t="s">
        <v>749</v>
      </c>
      <c r="N74" s="492"/>
      <c r="O74" s="492"/>
      <c r="P74" s="1728"/>
      <c r="Q74" s="489"/>
      <c r="R74" s="281"/>
      <c r="S74" s="281"/>
      <c r="T74" s="201"/>
      <c r="U74" s="201">
        <v>280</v>
      </c>
      <c r="V74" s="273">
        <f t="shared" si="3"/>
        <v>-47.335666334028872</v>
      </c>
      <c r="W74" s="274">
        <f t="shared" si="4"/>
        <v>554.4</v>
      </c>
    </row>
    <row r="75" spans="1:23" ht="14.5">
      <c r="A75" s="487" t="s">
        <v>744</v>
      </c>
      <c r="B75" s="487" t="s">
        <v>745</v>
      </c>
      <c r="C75" s="487" t="s">
        <v>748</v>
      </c>
      <c r="D75" s="487" t="s">
        <v>60</v>
      </c>
      <c r="E75" s="487" t="s">
        <v>747</v>
      </c>
      <c r="F75" s="488">
        <v>0</v>
      </c>
      <c r="G75" s="488">
        <v>7</v>
      </c>
      <c r="H75" s="488">
        <v>7</v>
      </c>
      <c r="I75" s="489"/>
      <c r="J75" s="490" t="s">
        <v>356</v>
      </c>
      <c r="K75" s="955"/>
      <c r="L75" s="491" t="s">
        <v>354</v>
      </c>
      <c r="M75" s="490" t="s">
        <v>749</v>
      </c>
      <c r="N75" s="492"/>
      <c r="O75" s="492"/>
      <c r="P75" s="1728"/>
      <c r="Q75" s="489"/>
      <c r="R75" s="281"/>
      <c r="S75" s="281"/>
      <c r="T75" s="201"/>
      <c r="U75" s="201">
        <v>280</v>
      </c>
      <c r="V75" s="273">
        <f t="shared" si="3"/>
        <v>-47.335666334028872</v>
      </c>
      <c r="W75" s="274">
        <f t="shared" si="4"/>
        <v>39.199999999999996</v>
      </c>
    </row>
    <row r="76" spans="1:23" ht="14.5">
      <c r="A76" s="487" t="s">
        <v>744</v>
      </c>
      <c r="B76" s="487" t="s">
        <v>745</v>
      </c>
      <c r="C76" s="487" t="s">
        <v>746</v>
      </c>
      <c r="D76" s="487" t="s">
        <v>60</v>
      </c>
      <c r="E76" s="487" t="s">
        <v>747</v>
      </c>
      <c r="F76" s="488">
        <v>0</v>
      </c>
      <c r="G76" s="488">
        <v>7</v>
      </c>
      <c r="H76" s="488">
        <v>7</v>
      </c>
      <c r="I76" s="489"/>
      <c r="J76" s="490" t="s">
        <v>356</v>
      </c>
      <c r="K76" s="955"/>
      <c r="L76" s="491" t="s">
        <v>354</v>
      </c>
      <c r="M76" s="490" t="s">
        <v>749</v>
      </c>
      <c r="N76" s="492"/>
      <c r="O76" s="492"/>
      <c r="P76" s="1728"/>
      <c r="Q76" s="489"/>
      <c r="R76" s="281"/>
      <c r="S76" s="281"/>
      <c r="T76" s="201"/>
      <c r="U76" s="201">
        <v>280</v>
      </c>
      <c r="V76" s="273">
        <f t="shared" si="3"/>
        <v>-47.335666334028872</v>
      </c>
      <c r="W76" s="274">
        <f t="shared" si="4"/>
        <v>39.199999999999996</v>
      </c>
    </row>
    <row r="77" spans="1:23" ht="14.5">
      <c r="A77" s="487" t="s">
        <v>744</v>
      </c>
      <c r="B77" s="487" t="s">
        <v>745</v>
      </c>
      <c r="C77" s="487" t="s">
        <v>323</v>
      </c>
      <c r="D77" s="487" t="s">
        <v>60</v>
      </c>
      <c r="E77" s="487" t="s">
        <v>684</v>
      </c>
      <c r="F77" s="488">
        <v>0</v>
      </c>
      <c r="G77" s="488">
        <v>45</v>
      </c>
      <c r="H77" s="488">
        <v>45</v>
      </c>
      <c r="I77" s="489"/>
      <c r="J77" s="490" t="s">
        <v>356</v>
      </c>
      <c r="K77" s="955"/>
      <c r="L77" s="491" t="s">
        <v>354</v>
      </c>
      <c r="M77" s="490" t="s">
        <v>749</v>
      </c>
      <c r="N77" s="492"/>
      <c r="O77" s="492"/>
      <c r="P77" s="1729"/>
      <c r="Q77" s="489"/>
      <c r="R77" s="281"/>
      <c r="S77" s="281"/>
      <c r="T77" s="201"/>
      <c r="U77" s="201">
        <v>280</v>
      </c>
      <c r="V77" s="273">
        <f t="shared" si="3"/>
        <v>-47.335666334028872</v>
      </c>
      <c r="W77" s="274">
        <f t="shared" si="4"/>
        <v>252</v>
      </c>
    </row>
    <row r="78" spans="1:23" ht="14.5" hidden="1">
      <c r="A78" s="190" t="s">
        <v>744</v>
      </c>
      <c r="B78" s="190" t="s">
        <v>745</v>
      </c>
      <c r="C78" s="190" t="s">
        <v>767</v>
      </c>
      <c r="D78" s="190" t="s">
        <v>51</v>
      </c>
      <c r="E78" s="190" t="s">
        <v>747</v>
      </c>
      <c r="F78" s="278">
        <v>33</v>
      </c>
      <c r="G78" s="278">
        <v>41</v>
      </c>
      <c r="H78" s="278">
        <v>2022</v>
      </c>
      <c r="I78" s="194">
        <v>11</v>
      </c>
      <c r="J78" s="190" t="s">
        <v>59</v>
      </c>
      <c r="K78" s="190"/>
      <c r="L78" s="190" t="s">
        <v>418</v>
      </c>
      <c r="M78" s="190" t="s">
        <v>436</v>
      </c>
      <c r="N78" s="349">
        <v>70497</v>
      </c>
      <c r="O78" s="349">
        <v>2022.9</v>
      </c>
      <c r="P78" s="486"/>
      <c r="Q78" s="190"/>
      <c r="R78" s="190"/>
      <c r="S78" s="190"/>
      <c r="T78" s="201"/>
      <c r="U78" s="201">
        <v>275</v>
      </c>
      <c r="V78" s="273">
        <f>U78/1.1023-[2]Grinder!$Q$1</f>
        <v>-51.871636578064084</v>
      </c>
      <c r="W78" s="282">
        <f t="shared" ref="W78:W109" si="5">H78/60*U78*1</f>
        <v>9267.5</v>
      </c>
    </row>
    <row r="79" spans="1:23" ht="14.5" hidden="1">
      <c r="A79" s="190" t="s">
        <v>744</v>
      </c>
      <c r="B79" s="190" t="s">
        <v>745</v>
      </c>
      <c r="C79" s="190" t="s">
        <v>767</v>
      </c>
      <c r="D79" s="190" t="s">
        <v>52</v>
      </c>
      <c r="E79" s="190" t="s">
        <v>747</v>
      </c>
      <c r="F79" s="278">
        <v>1</v>
      </c>
      <c r="G79" s="278">
        <v>8</v>
      </c>
      <c r="H79" s="278">
        <v>67</v>
      </c>
      <c r="I79" s="194">
        <v>10</v>
      </c>
      <c r="J79" s="190" t="s">
        <v>355</v>
      </c>
      <c r="K79" s="190"/>
      <c r="L79" s="190" t="s">
        <v>418</v>
      </c>
      <c r="M79" s="190" t="s">
        <v>355</v>
      </c>
      <c r="N79" s="349">
        <v>70506</v>
      </c>
      <c r="O79" s="349">
        <v>67.900000000000006</v>
      </c>
      <c r="P79" s="486"/>
      <c r="Q79" s="190"/>
      <c r="R79" s="190"/>
      <c r="S79" s="190"/>
      <c r="T79" s="201"/>
      <c r="U79" s="279">
        <v>130</v>
      </c>
      <c r="V79" s="273">
        <f>U79/1.1023-[2]Grinder!$Q$1</f>
        <v>-183.41477365508484</v>
      </c>
      <c r="W79" s="282">
        <f t="shared" si="5"/>
        <v>145.16666666666666</v>
      </c>
    </row>
    <row r="80" spans="1:23" ht="14.5" hidden="1">
      <c r="A80" s="190" t="s">
        <v>744</v>
      </c>
      <c r="B80" s="190" t="s">
        <v>745</v>
      </c>
      <c r="C80" s="190" t="s">
        <v>768</v>
      </c>
      <c r="D80" s="190" t="s">
        <v>51</v>
      </c>
      <c r="E80" s="190" t="s">
        <v>769</v>
      </c>
      <c r="F80" s="278">
        <v>27</v>
      </c>
      <c r="G80" s="278">
        <v>16</v>
      </c>
      <c r="H80" s="278">
        <v>1632</v>
      </c>
      <c r="I80" s="194">
        <v>11</v>
      </c>
      <c r="J80" s="190" t="s">
        <v>59</v>
      </c>
      <c r="K80" s="190"/>
      <c r="L80" s="190" t="s">
        <v>418</v>
      </c>
      <c r="M80" s="190" t="s">
        <v>436</v>
      </c>
      <c r="N80" s="349">
        <v>70498</v>
      </c>
      <c r="O80" s="349">
        <v>1632.9</v>
      </c>
      <c r="P80" s="486"/>
      <c r="Q80" s="190"/>
      <c r="R80" s="190"/>
      <c r="S80" s="190"/>
      <c r="T80" s="201" t="s">
        <v>770</v>
      </c>
      <c r="U80" s="201">
        <v>275</v>
      </c>
      <c r="V80" s="273">
        <f>U80/1.1023-[2]Grinder!$Q$1</f>
        <v>-51.871636578064084</v>
      </c>
      <c r="W80" s="282">
        <f t="shared" si="5"/>
        <v>7480</v>
      </c>
    </row>
    <row r="81" spans="1:23" ht="14.5" hidden="1">
      <c r="A81" s="190" t="s">
        <v>744</v>
      </c>
      <c r="B81" s="190" t="s">
        <v>745</v>
      </c>
      <c r="C81" s="190" t="s">
        <v>768</v>
      </c>
      <c r="D81" s="190" t="s">
        <v>52</v>
      </c>
      <c r="E81" s="190" t="s">
        <v>769</v>
      </c>
      <c r="F81" s="278">
        <v>0</v>
      </c>
      <c r="G81" s="278">
        <v>62</v>
      </c>
      <c r="H81" s="278">
        <v>62</v>
      </c>
      <c r="I81" s="194">
        <v>11</v>
      </c>
      <c r="J81" s="190" t="s">
        <v>355</v>
      </c>
      <c r="K81" s="190"/>
      <c r="L81" s="190" t="s">
        <v>418</v>
      </c>
      <c r="M81" s="190" t="s">
        <v>355</v>
      </c>
      <c r="N81" s="349">
        <v>70507</v>
      </c>
      <c r="O81" s="349">
        <v>62</v>
      </c>
      <c r="P81" s="486"/>
      <c r="Q81" s="190"/>
      <c r="R81" s="190"/>
      <c r="S81" s="190"/>
      <c r="T81" s="279" t="s">
        <v>421</v>
      </c>
      <c r="U81" s="279">
        <v>130</v>
      </c>
      <c r="V81" s="273">
        <f>U81/1.1023-[2]Grinder!$Q$1</f>
        <v>-183.41477365508484</v>
      </c>
      <c r="W81" s="282">
        <f t="shared" si="5"/>
        <v>134.33333333333334</v>
      </c>
    </row>
    <row r="82" spans="1:23" ht="14.5" hidden="1">
      <c r="A82" s="283" t="s">
        <v>744</v>
      </c>
      <c r="B82" s="283" t="s">
        <v>745</v>
      </c>
      <c r="C82" s="283" t="s">
        <v>771</v>
      </c>
      <c r="D82" s="283" t="s">
        <v>42</v>
      </c>
      <c r="E82" s="283" t="s">
        <v>772</v>
      </c>
      <c r="F82" s="284">
        <v>10</v>
      </c>
      <c r="G82" s="284">
        <v>15</v>
      </c>
      <c r="H82" s="284">
        <v>613</v>
      </c>
      <c r="I82" s="285">
        <v>11</v>
      </c>
      <c r="J82" s="283" t="s">
        <v>421</v>
      </c>
      <c r="K82" s="283"/>
      <c r="L82" s="190" t="s">
        <v>418</v>
      </c>
      <c r="M82" s="190" t="s">
        <v>355</v>
      </c>
      <c r="N82" s="349">
        <v>70480</v>
      </c>
      <c r="O82" s="349">
        <v>613.79999999999995</v>
      </c>
      <c r="P82" s="486"/>
      <c r="Q82" s="190"/>
      <c r="R82" s="190"/>
      <c r="S82" s="190"/>
      <c r="T82" s="279" t="s">
        <v>421</v>
      </c>
      <c r="U82" s="201">
        <v>150</v>
      </c>
      <c r="V82" s="273">
        <f>U82/1.1023-[2]Grinder!$Q$1</f>
        <v>-165.27089267894405</v>
      </c>
      <c r="W82" s="282">
        <f t="shared" si="5"/>
        <v>1532.5</v>
      </c>
    </row>
    <row r="83" spans="1:23" ht="14.5" hidden="1">
      <c r="A83" s="283" t="s">
        <v>744</v>
      </c>
      <c r="B83" s="283" t="s">
        <v>745</v>
      </c>
      <c r="C83" s="283" t="s">
        <v>771</v>
      </c>
      <c r="D83" s="283" t="s">
        <v>43</v>
      </c>
      <c r="E83" s="283" t="s">
        <v>772</v>
      </c>
      <c r="F83" s="284">
        <v>12</v>
      </c>
      <c r="G83" s="284"/>
      <c r="H83" s="284">
        <v>718</v>
      </c>
      <c r="I83" s="285">
        <v>10</v>
      </c>
      <c r="J83" s="283" t="s">
        <v>421</v>
      </c>
      <c r="K83" s="283"/>
      <c r="L83" s="190" t="s">
        <v>418</v>
      </c>
      <c r="M83" s="190" t="s">
        <v>355</v>
      </c>
      <c r="N83" s="349">
        <v>70484</v>
      </c>
      <c r="O83" s="349">
        <v>718.8</v>
      </c>
      <c r="P83" s="486"/>
      <c r="Q83" s="190"/>
      <c r="R83" s="190"/>
      <c r="S83" s="190"/>
      <c r="T83" s="279" t="s">
        <v>421</v>
      </c>
      <c r="U83" s="201">
        <v>150</v>
      </c>
      <c r="V83" s="273">
        <f>U83/1.1023-[2]Grinder!$Q$1</f>
        <v>-165.27089267894405</v>
      </c>
      <c r="W83" s="282">
        <f t="shared" si="5"/>
        <v>1795</v>
      </c>
    </row>
    <row r="84" spans="1:23" ht="14.5" hidden="1">
      <c r="A84" s="283" t="s">
        <v>744</v>
      </c>
      <c r="B84" s="283" t="s">
        <v>745</v>
      </c>
      <c r="C84" s="283" t="s">
        <v>771</v>
      </c>
      <c r="D84" s="283" t="s">
        <v>45</v>
      </c>
      <c r="E84" s="283" t="s">
        <v>772</v>
      </c>
      <c r="F84" s="284">
        <v>3</v>
      </c>
      <c r="G84" s="284">
        <v>57</v>
      </c>
      <c r="H84" s="284">
        <v>237</v>
      </c>
      <c r="I84" s="285">
        <v>10</v>
      </c>
      <c r="J84" s="283" t="s">
        <v>421</v>
      </c>
      <c r="K84" s="283"/>
      <c r="L84" s="190" t="s">
        <v>418</v>
      </c>
      <c r="M84" s="190" t="s">
        <v>355</v>
      </c>
      <c r="N84" s="349">
        <v>70488</v>
      </c>
      <c r="O84" s="349">
        <v>237.1</v>
      </c>
      <c r="P84" s="486"/>
      <c r="Q84" s="190"/>
      <c r="R84" s="190"/>
      <c r="S84" s="190"/>
      <c r="T84" s="279" t="s">
        <v>421</v>
      </c>
      <c r="U84" s="201">
        <v>140</v>
      </c>
      <c r="V84" s="273">
        <f>U84/1.1023-[2]Grinder!$Q$1</f>
        <v>-174.34283316701445</v>
      </c>
      <c r="W84" s="282">
        <f t="shared" si="5"/>
        <v>553</v>
      </c>
    </row>
    <row r="85" spans="1:23" ht="14.5" hidden="1">
      <c r="A85" s="283" t="s">
        <v>744</v>
      </c>
      <c r="B85" s="283" t="s">
        <v>745</v>
      </c>
      <c r="C85" s="283" t="s">
        <v>771</v>
      </c>
      <c r="D85" s="283" t="s">
        <v>44</v>
      </c>
      <c r="E85" s="283" t="s">
        <v>772</v>
      </c>
      <c r="F85" s="284">
        <v>1</v>
      </c>
      <c r="G85" s="284">
        <v>41</v>
      </c>
      <c r="H85" s="284">
        <v>101</v>
      </c>
      <c r="I85" s="285">
        <v>10</v>
      </c>
      <c r="J85" s="283" t="s">
        <v>421</v>
      </c>
      <c r="K85" s="283"/>
      <c r="L85" s="190" t="s">
        <v>418</v>
      </c>
      <c r="M85" s="190" t="s">
        <v>355</v>
      </c>
      <c r="N85" s="349">
        <v>70492</v>
      </c>
      <c r="O85" s="349">
        <v>101</v>
      </c>
      <c r="P85" s="486"/>
      <c r="Q85" s="190"/>
      <c r="R85" s="190"/>
      <c r="S85" s="190"/>
      <c r="T85" s="279" t="s">
        <v>421</v>
      </c>
      <c r="U85" s="201">
        <v>140</v>
      </c>
      <c r="V85" s="273">
        <f>U85/1.1023-[2]Grinder!$Q$1</f>
        <v>-174.34283316701445</v>
      </c>
      <c r="W85" s="282">
        <f t="shared" si="5"/>
        <v>235.66666666666666</v>
      </c>
    </row>
    <row r="86" spans="1:23" ht="14.5" hidden="1">
      <c r="A86" s="190" t="s">
        <v>744</v>
      </c>
      <c r="B86" s="190" t="s">
        <v>745</v>
      </c>
      <c r="C86" s="190" t="s">
        <v>773</v>
      </c>
      <c r="D86" s="190" t="s">
        <v>51</v>
      </c>
      <c r="E86" s="190" t="s">
        <v>747</v>
      </c>
      <c r="F86" s="278">
        <v>32</v>
      </c>
      <c r="G86" s="278">
        <v>8</v>
      </c>
      <c r="H86" s="278">
        <v>1923</v>
      </c>
      <c r="I86" s="194">
        <v>11</v>
      </c>
      <c r="J86" s="190" t="s">
        <v>59</v>
      </c>
      <c r="K86" s="190"/>
      <c r="L86" s="190" t="s">
        <v>418</v>
      </c>
      <c r="M86" s="190" t="s">
        <v>436</v>
      </c>
      <c r="N86" s="349">
        <v>70499</v>
      </c>
      <c r="O86" s="349">
        <v>1923.2</v>
      </c>
      <c r="P86" s="486"/>
      <c r="Q86" s="190"/>
      <c r="R86" s="190"/>
      <c r="S86" s="190"/>
      <c r="T86" s="201"/>
      <c r="U86" s="201">
        <v>280</v>
      </c>
      <c r="V86" s="273">
        <f>U86/1.1023-[2]Grinder!$Q$1</f>
        <v>-47.335666334028872</v>
      </c>
      <c r="W86" s="282">
        <f t="shared" si="5"/>
        <v>8974</v>
      </c>
    </row>
    <row r="87" spans="1:23" ht="14.5" hidden="1">
      <c r="A87" s="190" t="s">
        <v>744</v>
      </c>
      <c r="B87" s="190" t="s">
        <v>745</v>
      </c>
      <c r="C87" s="190" t="s">
        <v>773</v>
      </c>
      <c r="D87" s="190" t="s">
        <v>52</v>
      </c>
      <c r="E87" s="190" t="s">
        <v>747</v>
      </c>
      <c r="F87" s="278">
        <v>2</v>
      </c>
      <c r="G87" s="278">
        <v>44</v>
      </c>
      <c r="H87" s="278">
        <v>163</v>
      </c>
      <c r="I87" s="194">
        <v>11</v>
      </c>
      <c r="J87" s="190" t="s">
        <v>355</v>
      </c>
      <c r="K87" s="190"/>
      <c r="L87" s="190" t="s">
        <v>418</v>
      </c>
      <c r="M87" s="190" t="s">
        <v>355</v>
      </c>
      <c r="N87" s="349">
        <v>70508</v>
      </c>
      <c r="O87" s="349">
        <v>163.4</v>
      </c>
      <c r="P87" s="486"/>
      <c r="Q87" s="190"/>
      <c r="R87" s="190"/>
      <c r="S87" s="190"/>
      <c r="T87" s="201"/>
      <c r="U87" s="279">
        <v>130</v>
      </c>
      <c r="V87" s="273">
        <f>U87/1.1023-[2]Grinder!$Q$1</f>
        <v>-183.41477365508484</v>
      </c>
      <c r="W87" s="282">
        <f t="shared" si="5"/>
        <v>353.16666666666669</v>
      </c>
    </row>
    <row r="88" spans="1:23" ht="14.5" hidden="1">
      <c r="A88" s="283" t="s">
        <v>744</v>
      </c>
      <c r="B88" s="283" t="s">
        <v>745</v>
      </c>
      <c r="C88" s="283" t="s">
        <v>774</v>
      </c>
      <c r="D88" s="283" t="s">
        <v>51</v>
      </c>
      <c r="E88" s="283" t="s">
        <v>352</v>
      </c>
      <c r="F88" s="284">
        <v>21</v>
      </c>
      <c r="G88" s="284">
        <v>45</v>
      </c>
      <c r="H88" s="284">
        <v>1302</v>
      </c>
      <c r="I88" s="285">
        <v>11</v>
      </c>
      <c r="J88" s="283" t="s">
        <v>775</v>
      </c>
      <c r="K88" s="283"/>
      <c r="L88" s="190" t="s">
        <v>418</v>
      </c>
      <c r="M88" s="190" t="s">
        <v>355</v>
      </c>
      <c r="N88" s="349">
        <v>70500</v>
      </c>
      <c r="O88" s="349">
        <v>1302.9000000000001</v>
      </c>
      <c r="P88" s="486"/>
      <c r="Q88" s="190"/>
      <c r="R88" s="190"/>
      <c r="S88" s="190"/>
      <c r="T88" s="279" t="s">
        <v>775</v>
      </c>
      <c r="U88" s="279">
        <v>130</v>
      </c>
      <c r="V88" s="273">
        <f>U88/1.1023-[2]Grinder!$Q$1</f>
        <v>-183.41477365508484</v>
      </c>
      <c r="W88" s="282">
        <f t="shared" si="5"/>
        <v>2821</v>
      </c>
    </row>
    <row r="89" spans="1:23" ht="14.5" hidden="1">
      <c r="A89" s="283" t="s">
        <v>744</v>
      </c>
      <c r="B89" s="283" t="s">
        <v>745</v>
      </c>
      <c r="C89" s="283" t="s">
        <v>774</v>
      </c>
      <c r="D89" s="283" t="s">
        <v>52</v>
      </c>
      <c r="E89" s="283" t="s">
        <v>352</v>
      </c>
      <c r="F89" s="284">
        <v>1</v>
      </c>
      <c r="G89" s="284"/>
      <c r="H89" s="284">
        <v>60</v>
      </c>
      <c r="I89" s="285">
        <v>11</v>
      </c>
      <c r="J89" s="283" t="s">
        <v>775</v>
      </c>
      <c r="K89" s="283"/>
      <c r="L89" s="190" t="s">
        <v>418</v>
      </c>
      <c r="M89" s="190" t="s">
        <v>355</v>
      </c>
      <c r="N89" s="349">
        <v>70509</v>
      </c>
      <c r="O89" s="349">
        <v>60.1</v>
      </c>
      <c r="P89" s="486"/>
      <c r="Q89" s="190"/>
      <c r="R89" s="190"/>
      <c r="S89" s="190"/>
      <c r="T89" s="279" t="s">
        <v>775</v>
      </c>
      <c r="U89" s="279">
        <v>130</v>
      </c>
      <c r="V89" s="273">
        <f>U89/1.1023-[2]Grinder!$Q$1</f>
        <v>-183.41477365508484</v>
      </c>
      <c r="W89" s="282">
        <f t="shared" si="5"/>
        <v>130</v>
      </c>
    </row>
    <row r="90" spans="1:23" ht="14.5" hidden="1">
      <c r="A90" s="283" t="s">
        <v>744</v>
      </c>
      <c r="B90" s="283" t="s">
        <v>745</v>
      </c>
      <c r="C90" s="283" t="s">
        <v>776</v>
      </c>
      <c r="D90" s="283" t="s">
        <v>51</v>
      </c>
      <c r="E90" s="283" t="s">
        <v>683</v>
      </c>
      <c r="F90" s="284">
        <v>43</v>
      </c>
      <c r="G90" s="284">
        <v>7</v>
      </c>
      <c r="H90" s="284">
        <v>2581</v>
      </c>
      <c r="I90" s="285">
        <v>11</v>
      </c>
      <c r="J90" s="283" t="s">
        <v>421</v>
      </c>
      <c r="K90" s="283"/>
      <c r="L90" s="190" t="s">
        <v>418</v>
      </c>
      <c r="M90" s="190" t="s">
        <v>355</v>
      </c>
      <c r="N90" s="349">
        <v>70501</v>
      </c>
      <c r="O90" s="349">
        <v>2581.9</v>
      </c>
      <c r="P90" s="486"/>
      <c r="Q90" s="190"/>
      <c r="R90" s="190"/>
      <c r="S90" s="190"/>
      <c r="T90" s="279" t="s">
        <v>421</v>
      </c>
      <c r="U90" s="279">
        <v>130</v>
      </c>
      <c r="V90" s="273">
        <f>U90/1.1023-[2]Grinder!$Q$1</f>
        <v>-183.41477365508484</v>
      </c>
      <c r="W90" s="282">
        <f t="shared" si="5"/>
        <v>5592.166666666667</v>
      </c>
    </row>
    <row r="91" spans="1:23" ht="14.5" hidden="1">
      <c r="A91" s="190" t="s">
        <v>744</v>
      </c>
      <c r="B91" s="190" t="s">
        <v>745</v>
      </c>
      <c r="C91" s="190" t="s">
        <v>776</v>
      </c>
      <c r="D91" s="190" t="s">
        <v>52</v>
      </c>
      <c r="E91" s="190" t="s">
        <v>683</v>
      </c>
      <c r="F91" s="278">
        <v>2</v>
      </c>
      <c r="G91" s="278">
        <v>14</v>
      </c>
      <c r="H91" s="278">
        <v>133</v>
      </c>
      <c r="I91" s="194">
        <v>11</v>
      </c>
      <c r="J91" s="190" t="s">
        <v>355</v>
      </c>
      <c r="K91" s="190"/>
      <c r="L91" s="190" t="s">
        <v>418</v>
      </c>
      <c r="M91" s="190" t="s">
        <v>355</v>
      </c>
      <c r="N91" s="349">
        <v>70510</v>
      </c>
      <c r="O91" s="349">
        <v>133.80000000000001</v>
      </c>
      <c r="P91" s="486"/>
      <c r="Q91" s="190"/>
      <c r="R91" s="190"/>
      <c r="S91" s="190"/>
      <c r="T91" s="201"/>
      <c r="U91" s="279">
        <v>130</v>
      </c>
      <c r="V91" s="273">
        <f>U91/1.1023-[2]Grinder!$Q$1</f>
        <v>-183.41477365508484</v>
      </c>
      <c r="W91" s="282">
        <f t="shared" si="5"/>
        <v>288.16666666666669</v>
      </c>
    </row>
    <row r="92" spans="1:23" ht="14.5" hidden="1">
      <c r="A92" s="190" t="s">
        <v>744</v>
      </c>
      <c r="B92" s="190" t="s">
        <v>745</v>
      </c>
      <c r="C92" s="190" t="s">
        <v>777</v>
      </c>
      <c r="D92" s="190" t="s">
        <v>51</v>
      </c>
      <c r="E92" s="190" t="s">
        <v>752</v>
      </c>
      <c r="F92" s="278">
        <v>75</v>
      </c>
      <c r="G92" s="278">
        <v>11</v>
      </c>
      <c r="H92" s="278">
        <v>4515</v>
      </c>
      <c r="I92" s="194">
        <v>11</v>
      </c>
      <c r="J92" s="190" t="s">
        <v>60</v>
      </c>
      <c r="K92" s="190"/>
      <c r="L92" s="190" t="s">
        <v>418</v>
      </c>
      <c r="M92" s="190" t="s">
        <v>778</v>
      </c>
      <c r="N92" s="349">
        <v>70502</v>
      </c>
      <c r="O92" s="349">
        <v>4515.7</v>
      </c>
      <c r="P92" s="486"/>
      <c r="Q92" s="190"/>
      <c r="R92" s="190"/>
      <c r="S92" s="190"/>
      <c r="T92" s="201"/>
      <c r="U92" s="201">
        <v>270</v>
      </c>
      <c r="V92" s="273">
        <f>U92/1.1023-[2]Grinder!$Q$1</f>
        <v>-56.407606822099297</v>
      </c>
      <c r="W92" s="282">
        <f t="shared" si="5"/>
        <v>20317.5</v>
      </c>
    </row>
    <row r="93" spans="1:23" ht="14.5" hidden="1">
      <c r="A93" s="190" t="s">
        <v>744</v>
      </c>
      <c r="B93" s="190" t="s">
        <v>745</v>
      </c>
      <c r="C93" s="190" t="s">
        <v>777</v>
      </c>
      <c r="D93" s="190" t="s">
        <v>52</v>
      </c>
      <c r="E93" s="190" t="s">
        <v>752</v>
      </c>
      <c r="F93" s="278">
        <v>22</v>
      </c>
      <c r="G93" s="278">
        <v>7</v>
      </c>
      <c r="H93" s="278">
        <v>1328</v>
      </c>
      <c r="I93" s="194">
        <v>11</v>
      </c>
      <c r="J93" s="190" t="s">
        <v>63</v>
      </c>
      <c r="K93" s="190"/>
      <c r="L93" s="190" t="s">
        <v>418</v>
      </c>
      <c r="M93" s="190" t="s">
        <v>419</v>
      </c>
      <c r="N93" s="349">
        <v>70511</v>
      </c>
      <c r="O93" s="349">
        <v>1328</v>
      </c>
      <c r="P93" s="486"/>
      <c r="Q93" s="190"/>
      <c r="R93" s="190"/>
      <c r="S93" s="190"/>
      <c r="T93" s="201"/>
      <c r="U93" s="201">
        <v>180</v>
      </c>
      <c r="V93" s="273">
        <f>U93/1.1023-[2]Grinder!$Q$1</f>
        <v>-138.05507121473286</v>
      </c>
      <c r="W93" s="282">
        <f t="shared" si="5"/>
        <v>3984</v>
      </c>
    </row>
    <row r="94" spans="1:23" ht="14.5" hidden="1">
      <c r="A94" s="190" t="s">
        <v>744</v>
      </c>
      <c r="B94" s="190" t="s">
        <v>745</v>
      </c>
      <c r="C94" s="190" t="s">
        <v>777</v>
      </c>
      <c r="D94" s="190" t="s">
        <v>779</v>
      </c>
      <c r="E94" s="190" t="s">
        <v>752</v>
      </c>
      <c r="F94" s="278">
        <v>6</v>
      </c>
      <c r="G94" s="278">
        <v>57</v>
      </c>
      <c r="H94" s="278">
        <v>417</v>
      </c>
      <c r="I94" s="194">
        <v>11</v>
      </c>
      <c r="J94" s="190" t="s">
        <v>355</v>
      </c>
      <c r="K94" s="190"/>
      <c r="L94" s="190" t="s">
        <v>418</v>
      </c>
      <c r="M94" s="190" t="s">
        <v>355</v>
      </c>
      <c r="N94" s="349"/>
      <c r="O94" s="349"/>
      <c r="P94" s="486"/>
      <c r="Q94" s="190"/>
      <c r="R94" s="190"/>
      <c r="S94" s="190"/>
      <c r="T94" s="201"/>
      <c r="U94" s="201">
        <v>130</v>
      </c>
      <c r="V94" s="273">
        <f>U94/1.1023-[2]Grinder!$Q$1</f>
        <v>-183.41477365508484</v>
      </c>
      <c r="W94" s="282">
        <f t="shared" si="5"/>
        <v>903.5</v>
      </c>
    </row>
    <row r="95" spans="1:23" ht="14.5" hidden="1">
      <c r="A95" s="190" t="s">
        <v>744</v>
      </c>
      <c r="B95" s="190" t="s">
        <v>745</v>
      </c>
      <c r="C95" s="190" t="s">
        <v>780</v>
      </c>
      <c r="D95" s="190" t="s">
        <v>52</v>
      </c>
      <c r="E95" s="190" t="s">
        <v>747</v>
      </c>
      <c r="F95" s="278">
        <v>1</v>
      </c>
      <c r="G95" s="278">
        <v>64</v>
      </c>
      <c r="H95" s="278">
        <v>123</v>
      </c>
      <c r="I95" s="194">
        <v>11</v>
      </c>
      <c r="J95" s="190" t="s">
        <v>355</v>
      </c>
      <c r="K95" s="190"/>
      <c r="L95" s="190" t="s">
        <v>418</v>
      </c>
      <c r="M95" s="190" t="s">
        <v>355</v>
      </c>
      <c r="N95" s="349"/>
      <c r="O95" s="349"/>
      <c r="P95" s="486" t="s">
        <v>1088</v>
      </c>
      <c r="Q95" s="190"/>
      <c r="R95" s="190"/>
      <c r="S95" s="190"/>
      <c r="T95" s="201"/>
      <c r="U95" s="279">
        <v>130</v>
      </c>
      <c r="V95" s="273">
        <f>U95/1.1023-[2]Grinder!$Q$1</f>
        <v>-183.41477365508484</v>
      </c>
      <c r="W95" s="282">
        <f t="shared" si="5"/>
        <v>266.5</v>
      </c>
    </row>
    <row r="96" spans="1:23" ht="14.5" hidden="1">
      <c r="A96" s="190" t="s">
        <v>744</v>
      </c>
      <c r="B96" s="190" t="s">
        <v>745</v>
      </c>
      <c r="C96" s="190" t="s">
        <v>781</v>
      </c>
      <c r="D96" s="190" t="s">
        <v>51</v>
      </c>
      <c r="E96" s="190" t="s">
        <v>747</v>
      </c>
      <c r="F96" s="278">
        <v>6</v>
      </c>
      <c r="G96" s="278">
        <v>47</v>
      </c>
      <c r="H96" s="278">
        <v>408</v>
      </c>
      <c r="I96" s="194">
        <v>10</v>
      </c>
      <c r="J96" s="190" t="s">
        <v>59</v>
      </c>
      <c r="K96" s="190"/>
      <c r="L96" s="190" t="s">
        <v>418</v>
      </c>
      <c r="M96" s="190" t="s">
        <v>436</v>
      </c>
      <c r="N96" s="349">
        <v>70503</v>
      </c>
      <c r="O96" s="349">
        <v>408.2</v>
      </c>
      <c r="P96" s="486"/>
      <c r="Q96" s="190"/>
      <c r="R96" s="190"/>
      <c r="S96" s="190"/>
      <c r="T96" s="201"/>
      <c r="U96" s="201">
        <v>275</v>
      </c>
      <c r="V96" s="273">
        <f>U96/1.1023-[2]Grinder!$Q$1</f>
        <v>-51.871636578064084</v>
      </c>
      <c r="W96" s="282">
        <f t="shared" si="5"/>
        <v>1870</v>
      </c>
    </row>
    <row r="97" spans="1:23" ht="14.5" hidden="1">
      <c r="A97" s="190" t="s">
        <v>744</v>
      </c>
      <c r="B97" s="190" t="s">
        <v>745</v>
      </c>
      <c r="C97" s="190" t="s">
        <v>781</v>
      </c>
      <c r="D97" s="190" t="s">
        <v>52</v>
      </c>
      <c r="E97" s="190" t="s">
        <v>747</v>
      </c>
      <c r="F97" s="278">
        <v>0</v>
      </c>
      <c r="G97" s="278">
        <v>50</v>
      </c>
      <c r="H97" s="278">
        <v>50</v>
      </c>
      <c r="I97" s="194">
        <v>10</v>
      </c>
      <c r="J97" s="190" t="s">
        <v>355</v>
      </c>
      <c r="K97" s="190"/>
      <c r="L97" s="190" t="s">
        <v>418</v>
      </c>
      <c r="M97" s="190" t="s">
        <v>355</v>
      </c>
      <c r="N97" s="349">
        <v>70512</v>
      </c>
      <c r="O97" s="349">
        <v>50</v>
      </c>
      <c r="P97" s="486"/>
      <c r="Q97" s="190"/>
      <c r="R97" s="190"/>
      <c r="S97" s="190"/>
      <c r="T97" s="201" t="s">
        <v>782</v>
      </c>
      <c r="U97" s="279">
        <v>130</v>
      </c>
      <c r="V97" s="273">
        <f>U97/1.1023-[2]Grinder!$Q$1</f>
        <v>-183.41477365508484</v>
      </c>
      <c r="W97" s="282">
        <f t="shared" si="5"/>
        <v>108.33333333333334</v>
      </c>
    </row>
    <row r="98" spans="1:23" ht="14.5" hidden="1">
      <c r="A98" s="190" t="s">
        <v>744</v>
      </c>
      <c r="B98" s="190" t="s">
        <v>745</v>
      </c>
      <c r="C98" s="190" t="s">
        <v>783</v>
      </c>
      <c r="D98" s="190" t="s">
        <v>51</v>
      </c>
      <c r="E98" s="190" t="s">
        <v>747</v>
      </c>
      <c r="F98" s="278">
        <v>44</v>
      </c>
      <c r="G98" s="278">
        <v>58</v>
      </c>
      <c r="H98" s="278">
        <v>2697</v>
      </c>
      <c r="I98" s="194">
        <v>11</v>
      </c>
      <c r="J98" s="190" t="s">
        <v>59</v>
      </c>
      <c r="K98" s="190"/>
      <c r="L98" s="190" t="s">
        <v>418</v>
      </c>
      <c r="M98" s="190" t="s">
        <v>436</v>
      </c>
      <c r="N98" s="349">
        <v>70504</v>
      </c>
      <c r="O98" s="349">
        <v>2697.1</v>
      </c>
      <c r="P98" s="486"/>
      <c r="Q98" s="190"/>
      <c r="R98" s="190"/>
      <c r="S98" s="190"/>
      <c r="T98" s="279"/>
      <c r="U98" s="201">
        <v>275</v>
      </c>
      <c r="V98" s="273">
        <f>U98/1.1023-[2]Grinder!$Q$1</f>
        <v>-51.871636578064084</v>
      </c>
      <c r="W98" s="282">
        <f t="shared" si="5"/>
        <v>12361.25</v>
      </c>
    </row>
    <row r="99" spans="1:23" ht="14.5" hidden="1">
      <c r="A99" s="190" t="s">
        <v>744</v>
      </c>
      <c r="B99" s="190" t="s">
        <v>745</v>
      </c>
      <c r="C99" s="190" t="s">
        <v>783</v>
      </c>
      <c r="D99" s="190" t="s">
        <v>52</v>
      </c>
      <c r="E99" s="190" t="s">
        <v>747</v>
      </c>
      <c r="F99" s="278">
        <v>9</v>
      </c>
      <c r="G99" s="278">
        <v>41</v>
      </c>
      <c r="H99" s="278">
        <v>581</v>
      </c>
      <c r="I99" s="194">
        <v>11</v>
      </c>
      <c r="J99" s="190" t="s">
        <v>355</v>
      </c>
      <c r="K99" s="190"/>
      <c r="L99" s="190" t="s">
        <v>418</v>
      </c>
      <c r="M99" s="190" t="s">
        <v>355</v>
      </c>
      <c r="N99" s="349">
        <v>70513</v>
      </c>
      <c r="O99" s="349">
        <v>581.29999999999995</v>
      </c>
      <c r="P99" s="486"/>
      <c r="Q99" s="190"/>
      <c r="R99" s="190"/>
      <c r="S99" s="190"/>
      <c r="T99" s="201"/>
      <c r="U99" s="279">
        <v>130</v>
      </c>
      <c r="V99" s="273">
        <f>U99/1.1023-[2]Grinder!$Q$1</f>
        <v>-183.41477365508484</v>
      </c>
      <c r="W99" s="282">
        <f t="shared" si="5"/>
        <v>1258.8333333333333</v>
      </c>
    </row>
    <row r="100" spans="1:23" ht="14.5" hidden="1">
      <c r="A100" s="190" t="s">
        <v>744</v>
      </c>
      <c r="B100" s="190" t="s">
        <v>745</v>
      </c>
      <c r="C100" s="190" t="s">
        <v>784</v>
      </c>
      <c r="D100" s="190" t="s">
        <v>51</v>
      </c>
      <c r="E100" s="190" t="s">
        <v>747</v>
      </c>
      <c r="F100" s="278">
        <v>6</v>
      </c>
      <c r="G100" s="278">
        <v>9</v>
      </c>
      <c r="H100" s="278">
        <v>368</v>
      </c>
      <c r="I100" s="194">
        <v>11</v>
      </c>
      <c r="J100" s="190" t="s">
        <v>63</v>
      </c>
      <c r="K100" s="190"/>
      <c r="L100" s="190" t="s">
        <v>418</v>
      </c>
      <c r="M100" s="190" t="s">
        <v>419</v>
      </c>
      <c r="N100" s="349">
        <v>70505</v>
      </c>
      <c r="O100" s="349">
        <v>368.8</v>
      </c>
      <c r="P100" s="486"/>
      <c r="Q100" s="190"/>
      <c r="R100" s="190"/>
      <c r="S100" s="190"/>
      <c r="T100" s="201"/>
      <c r="U100" s="201">
        <v>250</v>
      </c>
      <c r="V100" s="273">
        <f>U100/1.1023-[2]Grinder!$Q$1</f>
        <v>-74.551487798240089</v>
      </c>
      <c r="W100" s="282">
        <f t="shared" si="5"/>
        <v>1533.3333333333335</v>
      </c>
    </row>
    <row r="101" spans="1:23" ht="14.5" hidden="1">
      <c r="A101" s="190" t="s">
        <v>744</v>
      </c>
      <c r="B101" s="190" t="s">
        <v>745</v>
      </c>
      <c r="C101" s="190" t="s">
        <v>784</v>
      </c>
      <c r="D101" s="190" t="s">
        <v>52</v>
      </c>
      <c r="E101" s="190" t="s">
        <v>747</v>
      </c>
      <c r="F101" s="278">
        <v>3</v>
      </c>
      <c r="G101" s="278">
        <v>8</v>
      </c>
      <c r="H101" s="278">
        <v>1839</v>
      </c>
      <c r="I101" s="194">
        <v>11</v>
      </c>
      <c r="J101" s="190" t="s">
        <v>355</v>
      </c>
      <c r="K101" s="190"/>
      <c r="L101" s="190" t="s">
        <v>418</v>
      </c>
      <c r="M101" s="190" t="s">
        <v>355</v>
      </c>
      <c r="N101" s="349">
        <v>70514</v>
      </c>
      <c r="O101" s="349">
        <v>1839.3</v>
      </c>
      <c r="P101" s="486"/>
      <c r="Q101" s="190"/>
      <c r="R101" s="190"/>
      <c r="S101" s="190"/>
      <c r="T101" s="201"/>
      <c r="U101" s="279">
        <v>130</v>
      </c>
      <c r="V101" s="273">
        <f>U101/1.1023-[2]Grinder!$Q$1</f>
        <v>-183.41477365508484</v>
      </c>
      <c r="W101" s="282">
        <f t="shared" si="5"/>
        <v>3984.5</v>
      </c>
    </row>
    <row r="102" spans="1:23" ht="14.5" hidden="1">
      <c r="A102" s="190" t="s">
        <v>744</v>
      </c>
      <c r="B102" s="190" t="s">
        <v>745</v>
      </c>
      <c r="C102" s="487" t="s">
        <v>308</v>
      </c>
      <c r="D102" s="487" t="s">
        <v>60</v>
      </c>
      <c r="E102" s="487" t="s">
        <v>785</v>
      </c>
      <c r="F102" s="488">
        <v>3</v>
      </c>
      <c r="G102" s="488"/>
      <c r="H102" s="488">
        <v>180</v>
      </c>
      <c r="I102" s="489"/>
      <c r="J102" s="490" t="s">
        <v>525</v>
      </c>
      <c r="K102" s="490"/>
      <c r="L102" s="487" t="s">
        <v>418</v>
      </c>
      <c r="M102" s="490" t="s">
        <v>436</v>
      </c>
      <c r="N102" s="492"/>
      <c r="O102" s="492"/>
      <c r="P102" s="1727" t="s">
        <v>1089</v>
      </c>
      <c r="Q102" s="490"/>
      <c r="R102" s="490"/>
      <c r="S102" s="490"/>
      <c r="T102" s="489"/>
      <c r="U102" s="201">
        <v>275</v>
      </c>
      <c r="V102" s="273">
        <f>U102/1.1023-[2]Grinder!$Q$1</f>
        <v>-51.871636578064084</v>
      </c>
      <c r="W102" s="282">
        <f t="shared" si="5"/>
        <v>825</v>
      </c>
    </row>
    <row r="103" spans="1:23" ht="14.5" hidden="1">
      <c r="A103" s="190" t="s">
        <v>744</v>
      </c>
      <c r="B103" s="190" t="s">
        <v>745</v>
      </c>
      <c r="C103" s="487" t="s">
        <v>263</v>
      </c>
      <c r="D103" s="487" t="s">
        <v>60</v>
      </c>
      <c r="E103" s="487" t="s">
        <v>243</v>
      </c>
      <c r="F103" s="488">
        <v>2</v>
      </c>
      <c r="G103" s="488">
        <v>63</v>
      </c>
      <c r="H103" s="488">
        <v>182</v>
      </c>
      <c r="I103" s="489"/>
      <c r="J103" s="490" t="s">
        <v>525</v>
      </c>
      <c r="K103" s="490"/>
      <c r="L103" s="487" t="s">
        <v>418</v>
      </c>
      <c r="M103" s="490" t="s">
        <v>436</v>
      </c>
      <c r="N103" s="492"/>
      <c r="O103" s="492"/>
      <c r="P103" s="1728"/>
      <c r="Q103" s="490"/>
      <c r="R103" s="490"/>
      <c r="S103" s="490"/>
      <c r="T103" s="489"/>
      <c r="U103" s="201">
        <v>275</v>
      </c>
      <c r="V103" s="273">
        <f>U103/1.1023-[2]Grinder!$Q$1</f>
        <v>-51.871636578064084</v>
      </c>
      <c r="W103" s="282">
        <f t="shared" si="5"/>
        <v>834.16666666666663</v>
      </c>
    </row>
    <row r="104" spans="1:23" ht="14.5" hidden="1">
      <c r="A104" s="190" t="s">
        <v>744</v>
      </c>
      <c r="B104" s="190" t="s">
        <v>745</v>
      </c>
      <c r="C104" s="487" t="s">
        <v>690</v>
      </c>
      <c r="D104" s="487" t="s">
        <v>60</v>
      </c>
      <c r="E104" s="487" t="s">
        <v>700</v>
      </c>
      <c r="F104" s="488">
        <v>0</v>
      </c>
      <c r="G104" s="488">
        <v>55</v>
      </c>
      <c r="H104" s="488">
        <v>55</v>
      </c>
      <c r="I104" s="489"/>
      <c r="J104" s="490" t="s">
        <v>525</v>
      </c>
      <c r="K104" s="490"/>
      <c r="L104" s="487" t="s">
        <v>418</v>
      </c>
      <c r="M104" s="490" t="s">
        <v>436</v>
      </c>
      <c r="N104" s="492"/>
      <c r="O104" s="492"/>
      <c r="P104" s="1728"/>
      <c r="Q104" s="490"/>
      <c r="R104" s="490"/>
      <c r="S104" s="490"/>
      <c r="T104" s="489"/>
      <c r="U104" s="201">
        <v>275</v>
      </c>
      <c r="V104" s="273">
        <f>U104/1.1023-[2]Grinder!$Q$1</f>
        <v>-51.871636578064084</v>
      </c>
      <c r="W104" s="282">
        <f t="shared" si="5"/>
        <v>252.08333333333331</v>
      </c>
    </row>
    <row r="105" spans="1:23" ht="14.5" hidden="1">
      <c r="A105" s="190" t="s">
        <v>744</v>
      </c>
      <c r="B105" s="190" t="s">
        <v>745</v>
      </c>
      <c r="C105" s="487" t="s">
        <v>693</v>
      </c>
      <c r="D105" s="487" t="s">
        <v>60</v>
      </c>
      <c r="E105" s="487" t="s">
        <v>685</v>
      </c>
      <c r="F105" s="488">
        <v>1</v>
      </c>
      <c r="G105" s="488">
        <v>51</v>
      </c>
      <c r="H105" s="488">
        <v>111</v>
      </c>
      <c r="I105" s="489"/>
      <c r="J105" s="490" t="s">
        <v>525</v>
      </c>
      <c r="K105" s="490"/>
      <c r="L105" s="487" t="s">
        <v>418</v>
      </c>
      <c r="M105" s="490" t="s">
        <v>436</v>
      </c>
      <c r="N105" s="492"/>
      <c r="O105" s="492"/>
      <c r="P105" s="1728"/>
      <c r="Q105" s="490"/>
      <c r="R105" s="490"/>
      <c r="S105" s="490"/>
      <c r="T105" s="489"/>
      <c r="U105" s="201">
        <v>275</v>
      </c>
      <c r="V105" s="273">
        <f>U105/1.1023-[2]Grinder!$Q$1</f>
        <v>-51.871636578064084</v>
      </c>
      <c r="W105" s="282">
        <f t="shared" si="5"/>
        <v>508.75</v>
      </c>
    </row>
    <row r="106" spans="1:23" ht="14.5" hidden="1">
      <c r="A106" s="190" t="s">
        <v>744</v>
      </c>
      <c r="B106" s="190" t="s">
        <v>745</v>
      </c>
      <c r="C106" s="487" t="s">
        <v>371</v>
      </c>
      <c r="D106" s="487" t="s">
        <v>60</v>
      </c>
      <c r="E106" s="487" t="s">
        <v>683</v>
      </c>
      <c r="F106" s="488">
        <v>1</v>
      </c>
      <c r="G106" s="488">
        <v>30</v>
      </c>
      <c r="H106" s="488">
        <v>90</v>
      </c>
      <c r="I106" s="489"/>
      <c r="J106" s="490" t="s">
        <v>525</v>
      </c>
      <c r="K106" s="490"/>
      <c r="L106" s="487" t="s">
        <v>418</v>
      </c>
      <c r="M106" s="490" t="s">
        <v>436</v>
      </c>
      <c r="N106" s="492"/>
      <c r="O106" s="492"/>
      <c r="P106" s="1728"/>
      <c r="Q106" s="490"/>
      <c r="R106" s="490"/>
      <c r="S106" s="490"/>
      <c r="T106" s="489"/>
      <c r="U106" s="201">
        <v>275</v>
      </c>
      <c r="V106" s="273">
        <f>U106/1.1023-[2]Grinder!$Q$1</f>
        <v>-51.871636578064084</v>
      </c>
      <c r="W106" s="282">
        <f t="shared" si="5"/>
        <v>412.5</v>
      </c>
    </row>
    <row r="107" spans="1:23" ht="14.5" hidden="1">
      <c r="A107" s="190" t="s">
        <v>744</v>
      </c>
      <c r="B107" s="190" t="s">
        <v>745</v>
      </c>
      <c r="C107" s="487" t="s">
        <v>374</v>
      </c>
      <c r="D107" s="487" t="s">
        <v>60</v>
      </c>
      <c r="E107" s="487" t="s">
        <v>694</v>
      </c>
      <c r="F107" s="488">
        <v>0</v>
      </c>
      <c r="G107" s="488">
        <v>64</v>
      </c>
      <c r="H107" s="488">
        <v>64</v>
      </c>
      <c r="I107" s="489"/>
      <c r="J107" s="490" t="s">
        <v>525</v>
      </c>
      <c r="K107" s="490"/>
      <c r="L107" s="487" t="s">
        <v>418</v>
      </c>
      <c r="M107" s="490" t="s">
        <v>436</v>
      </c>
      <c r="N107" s="492"/>
      <c r="O107" s="492"/>
      <c r="P107" s="1728"/>
      <c r="Q107" s="490"/>
      <c r="R107" s="490"/>
      <c r="S107" s="490"/>
      <c r="T107" s="489"/>
      <c r="U107" s="201">
        <v>275</v>
      </c>
      <c r="V107" s="273">
        <f>U107/1.1023-[2]Grinder!$Q$1</f>
        <v>-51.871636578064084</v>
      </c>
      <c r="W107" s="282">
        <f t="shared" si="5"/>
        <v>293.33333333333331</v>
      </c>
    </row>
    <row r="108" spans="1:23" ht="14.5" hidden="1">
      <c r="A108" s="190" t="s">
        <v>744</v>
      </c>
      <c r="B108" s="190" t="s">
        <v>745</v>
      </c>
      <c r="C108" s="487" t="s">
        <v>375</v>
      </c>
      <c r="D108" s="487" t="s">
        <v>60</v>
      </c>
      <c r="E108" s="487" t="s">
        <v>763</v>
      </c>
      <c r="F108" s="488">
        <v>2</v>
      </c>
      <c r="G108" s="488">
        <v>14</v>
      </c>
      <c r="H108" s="488">
        <v>134</v>
      </c>
      <c r="I108" s="489"/>
      <c r="J108" s="490" t="s">
        <v>525</v>
      </c>
      <c r="K108" s="490"/>
      <c r="L108" s="487" t="s">
        <v>418</v>
      </c>
      <c r="M108" s="490" t="s">
        <v>436</v>
      </c>
      <c r="N108" s="492"/>
      <c r="O108" s="492"/>
      <c r="P108" s="1728"/>
      <c r="Q108" s="490"/>
      <c r="R108" s="490"/>
      <c r="S108" s="490"/>
      <c r="T108" s="489"/>
      <c r="U108" s="201">
        <v>275</v>
      </c>
      <c r="V108" s="273">
        <f>U108/1.1023-[2]Grinder!$Q$1</f>
        <v>-51.871636578064084</v>
      </c>
      <c r="W108" s="282">
        <f t="shared" si="5"/>
        <v>614.16666666666663</v>
      </c>
    </row>
    <row r="109" spans="1:23" ht="14.5" hidden="1">
      <c r="A109" s="190" t="s">
        <v>744</v>
      </c>
      <c r="B109" s="190" t="s">
        <v>745</v>
      </c>
      <c r="C109" s="487" t="s">
        <v>377</v>
      </c>
      <c r="D109" s="487" t="s">
        <v>60</v>
      </c>
      <c r="E109" s="487" t="s">
        <v>683</v>
      </c>
      <c r="F109" s="488">
        <v>2</v>
      </c>
      <c r="G109" s="488">
        <v>17</v>
      </c>
      <c r="H109" s="488">
        <v>137</v>
      </c>
      <c r="I109" s="489"/>
      <c r="J109" s="490" t="s">
        <v>525</v>
      </c>
      <c r="K109" s="490"/>
      <c r="L109" s="487" t="s">
        <v>418</v>
      </c>
      <c r="M109" s="490" t="s">
        <v>436</v>
      </c>
      <c r="N109" s="492"/>
      <c r="O109" s="492"/>
      <c r="P109" s="1728"/>
      <c r="Q109" s="490"/>
      <c r="R109" s="490"/>
      <c r="S109" s="490"/>
      <c r="T109" s="489"/>
      <c r="U109" s="201">
        <v>275</v>
      </c>
      <c r="V109" s="273">
        <f>U109/1.1023-[2]Grinder!$Q$1</f>
        <v>-51.871636578064084</v>
      </c>
      <c r="W109" s="282">
        <f t="shared" si="5"/>
        <v>627.91666666666663</v>
      </c>
    </row>
    <row r="110" spans="1:23" ht="14.5" hidden="1">
      <c r="A110" s="190" t="s">
        <v>744</v>
      </c>
      <c r="B110" s="190" t="s">
        <v>745</v>
      </c>
      <c r="C110" s="487" t="s">
        <v>750</v>
      </c>
      <c r="D110" s="487" t="s">
        <v>60</v>
      </c>
      <c r="E110" s="487" t="s">
        <v>747</v>
      </c>
      <c r="F110" s="488">
        <v>0</v>
      </c>
      <c r="G110" s="488">
        <v>7</v>
      </c>
      <c r="H110" s="488">
        <v>7</v>
      </c>
      <c r="I110" s="489"/>
      <c r="J110" s="490" t="s">
        <v>525</v>
      </c>
      <c r="K110" s="490"/>
      <c r="L110" s="487" t="s">
        <v>418</v>
      </c>
      <c r="M110" s="490" t="s">
        <v>436</v>
      </c>
      <c r="N110" s="492"/>
      <c r="O110" s="492"/>
      <c r="P110" s="1728"/>
      <c r="Q110" s="490"/>
      <c r="R110" s="490"/>
      <c r="S110" s="490"/>
      <c r="T110" s="489"/>
      <c r="U110" s="201">
        <v>275</v>
      </c>
      <c r="V110" s="273">
        <f>U110/1.1023-[2]Grinder!$Q$1</f>
        <v>-51.871636578064084</v>
      </c>
      <c r="W110" s="282">
        <f t="shared" ref="W110:W141" si="6">H110/60*U110*1</f>
        <v>32.083333333333336</v>
      </c>
    </row>
    <row r="111" spans="1:23" ht="14.5" hidden="1">
      <c r="A111" s="190" t="s">
        <v>744</v>
      </c>
      <c r="B111" s="190" t="s">
        <v>745</v>
      </c>
      <c r="C111" s="487" t="s">
        <v>771</v>
      </c>
      <c r="D111" s="487" t="s">
        <v>60</v>
      </c>
      <c r="E111" s="487" t="s">
        <v>772</v>
      </c>
      <c r="F111" s="488">
        <v>0</v>
      </c>
      <c r="G111" s="488">
        <v>20</v>
      </c>
      <c r="H111" s="488">
        <v>20</v>
      </c>
      <c r="I111" s="489"/>
      <c r="J111" s="490" t="s">
        <v>525</v>
      </c>
      <c r="K111" s="490"/>
      <c r="L111" s="487" t="s">
        <v>418</v>
      </c>
      <c r="M111" s="490" t="s">
        <v>436</v>
      </c>
      <c r="N111" s="492"/>
      <c r="O111" s="492"/>
      <c r="P111" s="1729"/>
      <c r="Q111" s="490"/>
      <c r="R111" s="490"/>
      <c r="S111" s="490"/>
      <c r="T111" s="489"/>
      <c r="U111" s="201">
        <v>275</v>
      </c>
      <c r="V111" s="273">
        <f>U111/1.1023-[2]Grinder!$Q$1</f>
        <v>-51.871636578064084</v>
      </c>
      <c r="W111" s="282">
        <f t="shared" si="6"/>
        <v>91.666666666666657</v>
      </c>
    </row>
    <row r="112" spans="1:23" ht="14.5" hidden="1">
      <c r="A112" s="190" t="s">
        <v>744</v>
      </c>
      <c r="B112" s="190" t="s">
        <v>745</v>
      </c>
      <c r="C112" s="500" t="s">
        <v>323</v>
      </c>
      <c r="D112" s="500" t="s">
        <v>47</v>
      </c>
      <c r="E112" s="500" t="s">
        <v>684</v>
      </c>
      <c r="F112" s="499">
        <v>0</v>
      </c>
      <c r="G112" s="499">
        <v>55</v>
      </c>
      <c r="H112" s="499">
        <v>55</v>
      </c>
      <c r="I112" s="495"/>
      <c r="J112" s="501" t="s">
        <v>60</v>
      </c>
      <c r="K112" s="501"/>
      <c r="L112" s="500" t="s">
        <v>418</v>
      </c>
      <c r="M112" s="500" t="s">
        <v>778</v>
      </c>
      <c r="N112" s="502"/>
      <c r="O112" s="502"/>
      <c r="P112" s="1730" t="s">
        <v>1091</v>
      </c>
      <c r="Q112" s="500"/>
      <c r="R112" s="190"/>
      <c r="S112" s="190"/>
      <c r="T112" s="201"/>
      <c r="U112" s="201">
        <v>230</v>
      </c>
      <c r="V112" s="273">
        <f>U112/1.1023-[2]Grinder!$Q$1</f>
        <v>-92.695368774380881</v>
      </c>
      <c r="W112" s="282">
        <f t="shared" si="6"/>
        <v>210.83333333333331</v>
      </c>
    </row>
    <row r="113" spans="1:23" ht="14.5" hidden="1">
      <c r="A113" s="190" t="s">
        <v>744</v>
      </c>
      <c r="B113" s="190" t="s">
        <v>745</v>
      </c>
      <c r="C113" s="500" t="s">
        <v>786</v>
      </c>
      <c r="D113" s="500" t="s">
        <v>47</v>
      </c>
      <c r="E113" s="500" t="s">
        <v>757</v>
      </c>
      <c r="F113" s="499">
        <v>0</v>
      </c>
      <c r="G113" s="499">
        <v>45</v>
      </c>
      <c r="H113" s="499">
        <v>45</v>
      </c>
      <c r="I113" s="495"/>
      <c r="J113" s="501" t="s">
        <v>60</v>
      </c>
      <c r="K113" s="501"/>
      <c r="L113" s="500" t="s">
        <v>418</v>
      </c>
      <c r="M113" s="500" t="s">
        <v>778</v>
      </c>
      <c r="N113" s="502"/>
      <c r="O113" s="502"/>
      <c r="P113" s="1731"/>
      <c r="Q113" s="500"/>
      <c r="R113" s="190"/>
      <c r="S113" s="190"/>
      <c r="T113" s="201"/>
      <c r="U113" s="201">
        <v>230</v>
      </c>
      <c r="V113" s="273">
        <f>U113/1.1023-[2]Grinder!$Q$1</f>
        <v>-92.695368774380881</v>
      </c>
      <c r="W113" s="282">
        <f t="shared" si="6"/>
        <v>172.5</v>
      </c>
    </row>
    <row r="114" spans="1:23" ht="14.5" hidden="1">
      <c r="A114" s="190" t="s">
        <v>744</v>
      </c>
      <c r="B114" s="190" t="s">
        <v>745</v>
      </c>
      <c r="C114" s="500" t="s">
        <v>340</v>
      </c>
      <c r="D114" s="500" t="s">
        <v>47</v>
      </c>
      <c r="E114" s="500" t="s">
        <v>751</v>
      </c>
      <c r="F114" s="499">
        <v>0</v>
      </c>
      <c r="G114" s="499">
        <v>44</v>
      </c>
      <c r="H114" s="499">
        <v>44</v>
      </c>
      <c r="I114" s="495"/>
      <c r="J114" s="501" t="s">
        <v>60</v>
      </c>
      <c r="K114" s="501"/>
      <c r="L114" s="500" t="s">
        <v>418</v>
      </c>
      <c r="M114" s="500" t="s">
        <v>778</v>
      </c>
      <c r="N114" s="502"/>
      <c r="O114" s="502"/>
      <c r="P114" s="1731"/>
      <c r="Q114" s="500"/>
      <c r="R114" s="190"/>
      <c r="S114" s="190"/>
      <c r="T114" s="201"/>
      <c r="U114" s="201">
        <v>230</v>
      </c>
      <c r="V114" s="273">
        <f>U114/1.1023-[2]Grinder!$Q$1</f>
        <v>-92.695368774380881</v>
      </c>
      <c r="W114" s="282">
        <f t="shared" si="6"/>
        <v>168.66666666666666</v>
      </c>
    </row>
    <row r="115" spans="1:23" ht="14.5" hidden="1">
      <c r="A115" s="190" t="s">
        <v>744</v>
      </c>
      <c r="B115" s="190" t="s">
        <v>745</v>
      </c>
      <c r="C115" s="500" t="s">
        <v>201</v>
      </c>
      <c r="D115" s="500" t="s">
        <v>47</v>
      </c>
      <c r="E115" s="500" t="s">
        <v>752</v>
      </c>
      <c r="F115" s="499">
        <v>0</v>
      </c>
      <c r="G115" s="499">
        <v>41</v>
      </c>
      <c r="H115" s="499">
        <v>41</v>
      </c>
      <c r="I115" s="495"/>
      <c r="J115" s="501" t="s">
        <v>63</v>
      </c>
      <c r="K115" s="501"/>
      <c r="L115" s="500" t="s">
        <v>418</v>
      </c>
      <c r="M115" s="500" t="s">
        <v>419</v>
      </c>
      <c r="N115" s="502"/>
      <c r="O115" s="502"/>
      <c r="P115" s="1731"/>
      <c r="Q115" s="500"/>
      <c r="R115" s="190"/>
      <c r="S115" s="190"/>
      <c r="T115" s="201"/>
      <c r="U115" s="201">
        <v>180</v>
      </c>
      <c r="V115" s="273">
        <f>U115/1.1023-[2]Grinder!$Q$1</f>
        <v>-138.05507121473286</v>
      </c>
      <c r="W115" s="282">
        <f t="shared" si="6"/>
        <v>123</v>
      </c>
    </row>
    <row r="116" spans="1:23" ht="14.5" hidden="1">
      <c r="A116" s="190" t="s">
        <v>744</v>
      </c>
      <c r="B116" s="190" t="s">
        <v>745</v>
      </c>
      <c r="C116" s="500" t="s">
        <v>202</v>
      </c>
      <c r="D116" s="500" t="s">
        <v>47</v>
      </c>
      <c r="E116" s="500" t="s">
        <v>753</v>
      </c>
      <c r="F116" s="499">
        <v>0</v>
      </c>
      <c r="G116" s="499">
        <v>23</v>
      </c>
      <c r="H116" s="499">
        <v>23</v>
      </c>
      <c r="I116" s="495"/>
      <c r="J116" s="501" t="s">
        <v>60</v>
      </c>
      <c r="K116" s="501"/>
      <c r="L116" s="500" t="s">
        <v>418</v>
      </c>
      <c r="M116" s="500" t="s">
        <v>778</v>
      </c>
      <c r="N116" s="502"/>
      <c r="O116" s="502"/>
      <c r="P116" s="1731"/>
      <c r="Q116" s="500"/>
      <c r="R116" s="190"/>
      <c r="S116" s="190"/>
      <c r="T116" s="201"/>
      <c r="U116" s="201">
        <v>230</v>
      </c>
      <c r="V116" s="273">
        <f>U116/1.1023-[2]Grinder!$Q$1</f>
        <v>-92.695368774380881</v>
      </c>
      <c r="W116" s="282">
        <f t="shared" si="6"/>
        <v>88.166666666666671</v>
      </c>
    </row>
    <row r="117" spans="1:23" ht="14.5" hidden="1">
      <c r="A117" s="190" t="s">
        <v>744</v>
      </c>
      <c r="B117" s="190" t="s">
        <v>745</v>
      </c>
      <c r="C117" s="500" t="s">
        <v>754</v>
      </c>
      <c r="D117" s="500" t="s">
        <v>47</v>
      </c>
      <c r="E117" s="500" t="s">
        <v>755</v>
      </c>
      <c r="F117" s="499">
        <v>0</v>
      </c>
      <c r="G117" s="499">
        <v>34</v>
      </c>
      <c r="H117" s="499">
        <v>34</v>
      </c>
      <c r="I117" s="495"/>
      <c r="J117" s="501" t="s">
        <v>60</v>
      </c>
      <c r="K117" s="501"/>
      <c r="L117" s="500" t="s">
        <v>418</v>
      </c>
      <c r="M117" s="500" t="s">
        <v>778</v>
      </c>
      <c r="N117" s="502"/>
      <c r="O117" s="502"/>
      <c r="P117" s="1731"/>
      <c r="Q117" s="500"/>
      <c r="R117" s="190"/>
      <c r="S117" s="190"/>
      <c r="T117" s="201"/>
      <c r="U117" s="201">
        <v>230</v>
      </c>
      <c r="V117" s="273">
        <f>U117/1.1023-[2]Grinder!$Q$1</f>
        <v>-92.695368774380881</v>
      </c>
      <c r="W117" s="282">
        <f t="shared" si="6"/>
        <v>130.33333333333334</v>
      </c>
    </row>
    <row r="118" spans="1:23" ht="14.5" hidden="1">
      <c r="A118" s="190" t="s">
        <v>744</v>
      </c>
      <c r="B118" s="190" t="s">
        <v>745</v>
      </c>
      <c r="C118" s="500" t="s">
        <v>787</v>
      </c>
      <c r="D118" s="500" t="s">
        <v>47</v>
      </c>
      <c r="E118" s="500" t="s">
        <v>682</v>
      </c>
      <c r="F118" s="499">
        <v>0</v>
      </c>
      <c r="G118" s="499">
        <v>33</v>
      </c>
      <c r="H118" s="499">
        <v>33</v>
      </c>
      <c r="I118" s="495"/>
      <c r="J118" s="501" t="s">
        <v>60</v>
      </c>
      <c r="K118" s="501"/>
      <c r="L118" s="500" t="s">
        <v>418</v>
      </c>
      <c r="M118" s="500" t="s">
        <v>778</v>
      </c>
      <c r="N118" s="502"/>
      <c r="O118" s="502"/>
      <c r="P118" s="1731"/>
      <c r="Q118" s="500"/>
      <c r="R118" s="190"/>
      <c r="S118" s="190"/>
      <c r="T118" s="201"/>
      <c r="U118" s="201">
        <v>230</v>
      </c>
      <c r="V118" s="273">
        <f>U118/1.1023-[2]Grinder!$Q$1</f>
        <v>-92.695368774380881</v>
      </c>
      <c r="W118" s="282">
        <f t="shared" si="6"/>
        <v>126.50000000000001</v>
      </c>
    </row>
    <row r="119" spans="1:23" ht="14.5" hidden="1">
      <c r="A119" s="190" t="s">
        <v>744</v>
      </c>
      <c r="B119" s="190" t="s">
        <v>745</v>
      </c>
      <c r="C119" s="500" t="s">
        <v>178</v>
      </c>
      <c r="D119" s="500" t="s">
        <v>47</v>
      </c>
      <c r="E119" s="500" t="s">
        <v>756</v>
      </c>
      <c r="F119" s="499">
        <v>0</v>
      </c>
      <c r="G119" s="499">
        <v>32</v>
      </c>
      <c r="H119" s="499">
        <v>32</v>
      </c>
      <c r="I119" s="495"/>
      <c r="J119" s="501" t="s">
        <v>60</v>
      </c>
      <c r="K119" s="501"/>
      <c r="L119" s="500" t="s">
        <v>418</v>
      </c>
      <c r="M119" s="500" t="s">
        <v>778</v>
      </c>
      <c r="N119" s="502"/>
      <c r="O119" s="502"/>
      <c r="P119" s="1731"/>
      <c r="Q119" s="500"/>
      <c r="R119" s="190"/>
      <c r="S119" s="190"/>
      <c r="T119" s="201"/>
      <c r="U119" s="201">
        <v>230</v>
      </c>
      <c r="V119" s="273">
        <f>U119/1.1023-[2]Grinder!$Q$1</f>
        <v>-92.695368774380881</v>
      </c>
      <c r="W119" s="282">
        <f t="shared" si="6"/>
        <v>122.66666666666667</v>
      </c>
    </row>
    <row r="120" spans="1:23" ht="14.5" hidden="1">
      <c r="A120" s="190" t="s">
        <v>744</v>
      </c>
      <c r="B120" s="190" t="s">
        <v>745</v>
      </c>
      <c r="C120" s="500" t="s">
        <v>788</v>
      </c>
      <c r="D120" s="500" t="s">
        <v>47</v>
      </c>
      <c r="E120" s="500" t="s">
        <v>747</v>
      </c>
      <c r="F120" s="499">
        <v>0</v>
      </c>
      <c r="G120" s="499">
        <v>26</v>
      </c>
      <c r="H120" s="499">
        <v>26</v>
      </c>
      <c r="I120" s="495"/>
      <c r="J120" s="501" t="s">
        <v>60</v>
      </c>
      <c r="K120" s="501"/>
      <c r="L120" s="500" t="s">
        <v>418</v>
      </c>
      <c r="M120" s="500" t="s">
        <v>778</v>
      </c>
      <c r="N120" s="502"/>
      <c r="O120" s="502"/>
      <c r="P120" s="1731"/>
      <c r="Q120" s="500"/>
      <c r="R120" s="190"/>
      <c r="S120" s="190"/>
      <c r="T120" s="201"/>
      <c r="U120" s="201">
        <v>230</v>
      </c>
      <c r="V120" s="273">
        <f>U120/1.1023-[2]Grinder!$Q$1</f>
        <v>-92.695368774380881</v>
      </c>
      <c r="W120" s="282">
        <f t="shared" si="6"/>
        <v>99.666666666666671</v>
      </c>
    </row>
    <row r="121" spans="1:23" ht="14.5" hidden="1">
      <c r="A121" s="190" t="s">
        <v>744</v>
      </c>
      <c r="B121" s="190" t="s">
        <v>745</v>
      </c>
      <c r="C121" s="500" t="s">
        <v>179</v>
      </c>
      <c r="D121" s="500" t="s">
        <v>47</v>
      </c>
      <c r="E121" s="500" t="s">
        <v>352</v>
      </c>
      <c r="F121" s="499">
        <v>0</v>
      </c>
      <c r="G121" s="499">
        <v>40</v>
      </c>
      <c r="H121" s="499">
        <v>40</v>
      </c>
      <c r="I121" s="495"/>
      <c r="J121" s="501" t="s">
        <v>60</v>
      </c>
      <c r="K121" s="501"/>
      <c r="L121" s="500" t="s">
        <v>418</v>
      </c>
      <c r="M121" s="500" t="s">
        <v>778</v>
      </c>
      <c r="N121" s="502"/>
      <c r="O121" s="502"/>
      <c r="P121" s="1731"/>
      <c r="Q121" s="500"/>
      <c r="R121" s="190"/>
      <c r="S121" s="190"/>
      <c r="T121" s="201"/>
      <c r="U121" s="201">
        <v>230</v>
      </c>
      <c r="V121" s="273">
        <f>U121/1.1023-[2]Grinder!$Q$1</f>
        <v>-92.695368774380881</v>
      </c>
      <c r="W121" s="282">
        <f t="shared" si="6"/>
        <v>153.33333333333331</v>
      </c>
    </row>
    <row r="122" spans="1:23" ht="14.5" hidden="1">
      <c r="A122" s="190" t="s">
        <v>744</v>
      </c>
      <c r="B122" s="190" t="s">
        <v>745</v>
      </c>
      <c r="C122" s="500" t="s">
        <v>216</v>
      </c>
      <c r="D122" s="500" t="s">
        <v>47</v>
      </c>
      <c r="E122" s="500" t="s">
        <v>685</v>
      </c>
      <c r="F122" s="499">
        <v>0</v>
      </c>
      <c r="G122" s="499">
        <v>34</v>
      </c>
      <c r="H122" s="499">
        <v>34</v>
      </c>
      <c r="I122" s="495"/>
      <c r="J122" s="501" t="s">
        <v>60</v>
      </c>
      <c r="K122" s="501"/>
      <c r="L122" s="500" t="s">
        <v>418</v>
      </c>
      <c r="M122" s="500" t="s">
        <v>778</v>
      </c>
      <c r="N122" s="502"/>
      <c r="O122" s="502"/>
      <c r="P122" s="1731"/>
      <c r="Q122" s="500"/>
      <c r="R122" s="190"/>
      <c r="S122" s="190"/>
      <c r="T122" s="201"/>
      <c r="U122" s="201">
        <v>230</v>
      </c>
      <c r="V122" s="273">
        <f>U122/1.1023-[2]Grinder!$Q$1</f>
        <v>-92.695368774380881</v>
      </c>
      <c r="W122" s="282">
        <f t="shared" si="6"/>
        <v>130.33333333333334</v>
      </c>
    </row>
    <row r="123" spans="1:23" ht="14.5" hidden="1">
      <c r="A123" s="190" t="s">
        <v>744</v>
      </c>
      <c r="B123" s="190" t="s">
        <v>745</v>
      </c>
      <c r="C123" s="500" t="s">
        <v>209</v>
      </c>
      <c r="D123" s="500" t="s">
        <v>47</v>
      </c>
      <c r="E123" s="500" t="s">
        <v>757</v>
      </c>
      <c r="F123" s="499">
        <v>0</v>
      </c>
      <c r="G123" s="499">
        <v>53</v>
      </c>
      <c r="H123" s="499">
        <v>53</v>
      </c>
      <c r="I123" s="495"/>
      <c r="J123" s="501" t="s">
        <v>60</v>
      </c>
      <c r="K123" s="501"/>
      <c r="L123" s="500" t="s">
        <v>418</v>
      </c>
      <c r="M123" s="500" t="s">
        <v>778</v>
      </c>
      <c r="N123" s="502"/>
      <c r="O123" s="502"/>
      <c r="P123" s="1731"/>
      <c r="Q123" s="500"/>
      <c r="R123" s="190"/>
      <c r="S123" s="190"/>
      <c r="T123" s="201"/>
      <c r="U123" s="201">
        <v>230</v>
      </c>
      <c r="V123" s="273">
        <f>U123/1.1023-[2]Grinder!$Q$1</f>
        <v>-92.695368774380881</v>
      </c>
      <c r="W123" s="282">
        <f t="shared" si="6"/>
        <v>203.16666666666666</v>
      </c>
    </row>
    <row r="124" spans="1:23" ht="14.5" hidden="1">
      <c r="A124" s="190" t="s">
        <v>744</v>
      </c>
      <c r="B124" s="190" t="s">
        <v>745</v>
      </c>
      <c r="C124" s="500" t="s">
        <v>336</v>
      </c>
      <c r="D124" s="500" t="s">
        <v>47</v>
      </c>
      <c r="E124" s="500" t="s">
        <v>756</v>
      </c>
      <c r="F124" s="499">
        <v>0</v>
      </c>
      <c r="G124" s="499">
        <v>49</v>
      </c>
      <c r="H124" s="499">
        <v>49</v>
      </c>
      <c r="I124" s="495"/>
      <c r="J124" s="501" t="s">
        <v>60</v>
      </c>
      <c r="K124" s="501"/>
      <c r="L124" s="500" t="s">
        <v>418</v>
      </c>
      <c r="M124" s="500" t="s">
        <v>778</v>
      </c>
      <c r="N124" s="502"/>
      <c r="O124" s="502"/>
      <c r="P124" s="1731"/>
      <c r="Q124" s="500"/>
      <c r="R124" s="190"/>
      <c r="S124" s="190"/>
      <c r="T124" s="201"/>
      <c r="U124" s="201">
        <v>230</v>
      </c>
      <c r="V124" s="273">
        <f>U124/1.1023-[2]Grinder!$Q$1</f>
        <v>-92.695368774380881</v>
      </c>
      <c r="W124" s="282">
        <f t="shared" si="6"/>
        <v>187.83333333333334</v>
      </c>
    </row>
    <row r="125" spans="1:23" ht="14.5" hidden="1">
      <c r="A125" s="190" t="s">
        <v>744</v>
      </c>
      <c r="B125" s="190" t="s">
        <v>745</v>
      </c>
      <c r="C125" s="500" t="s">
        <v>232</v>
      </c>
      <c r="D125" s="500" t="s">
        <v>47</v>
      </c>
      <c r="E125" s="500" t="s">
        <v>758</v>
      </c>
      <c r="F125" s="499">
        <v>0</v>
      </c>
      <c r="G125" s="499">
        <v>48</v>
      </c>
      <c r="H125" s="499">
        <v>48</v>
      </c>
      <c r="I125" s="495"/>
      <c r="J125" s="501" t="s">
        <v>60</v>
      </c>
      <c r="K125" s="501"/>
      <c r="L125" s="500" t="s">
        <v>418</v>
      </c>
      <c r="M125" s="500" t="s">
        <v>778</v>
      </c>
      <c r="N125" s="502"/>
      <c r="O125" s="502"/>
      <c r="P125" s="1731"/>
      <c r="Q125" s="500"/>
      <c r="R125" s="190"/>
      <c r="S125" s="190"/>
      <c r="T125" s="201"/>
      <c r="U125" s="201">
        <v>230</v>
      </c>
      <c r="V125" s="273">
        <f>U125/1.1023-[2]Grinder!$Q$1</f>
        <v>-92.695368774380881</v>
      </c>
      <c r="W125" s="282">
        <f t="shared" si="6"/>
        <v>184</v>
      </c>
    </row>
    <row r="126" spans="1:23" ht="14.5" hidden="1">
      <c r="A126" s="190" t="s">
        <v>744</v>
      </c>
      <c r="B126" s="190" t="s">
        <v>745</v>
      </c>
      <c r="C126" s="500" t="s">
        <v>191</v>
      </c>
      <c r="D126" s="500" t="s">
        <v>47</v>
      </c>
      <c r="E126" s="500" t="s">
        <v>353</v>
      </c>
      <c r="F126" s="499">
        <v>0</v>
      </c>
      <c r="G126" s="499">
        <v>37</v>
      </c>
      <c r="H126" s="499">
        <v>37</v>
      </c>
      <c r="I126" s="495"/>
      <c r="J126" s="501" t="s">
        <v>60</v>
      </c>
      <c r="K126" s="501"/>
      <c r="L126" s="500" t="s">
        <v>418</v>
      </c>
      <c r="M126" s="500" t="s">
        <v>778</v>
      </c>
      <c r="N126" s="502"/>
      <c r="O126" s="502"/>
      <c r="P126" s="1731"/>
      <c r="Q126" s="500"/>
      <c r="R126" s="190"/>
      <c r="S126" s="190"/>
      <c r="T126" s="201"/>
      <c r="U126" s="201">
        <v>230</v>
      </c>
      <c r="V126" s="273">
        <f>U126/1.1023-[2]Grinder!$Q$1</f>
        <v>-92.695368774380881</v>
      </c>
      <c r="W126" s="282">
        <f t="shared" si="6"/>
        <v>141.83333333333334</v>
      </c>
    </row>
    <row r="127" spans="1:23" ht="14.5" hidden="1">
      <c r="A127" s="190" t="s">
        <v>744</v>
      </c>
      <c r="B127" s="190" t="s">
        <v>745</v>
      </c>
      <c r="C127" s="500" t="s">
        <v>220</v>
      </c>
      <c r="D127" s="500" t="s">
        <v>47</v>
      </c>
      <c r="E127" s="500" t="s">
        <v>747</v>
      </c>
      <c r="F127" s="499">
        <v>0</v>
      </c>
      <c r="G127" s="499">
        <v>38</v>
      </c>
      <c r="H127" s="499">
        <v>38</v>
      </c>
      <c r="I127" s="495"/>
      <c r="J127" s="501" t="s">
        <v>60</v>
      </c>
      <c r="K127" s="501"/>
      <c r="L127" s="500" t="s">
        <v>418</v>
      </c>
      <c r="M127" s="500" t="s">
        <v>778</v>
      </c>
      <c r="N127" s="502"/>
      <c r="O127" s="502"/>
      <c r="P127" s="1731"/>
      <c r="Q127" s="500"/>
      <c r="R127" s="190"/>
      <c r="S127" s="190"/>
      <c r="T127" s="201"/>
      <c r="U127" s="201">
        <v>230</v>
      </c>
      <c r="V127" s="273">
        <f>U127/1.1023-[2]Grinder!$Q$1</f>
        <v>-92.695368774380881</v>
      </c>
      <c r="W127" s="282">
        <f t="shared" si="6"/>
        <v>145.66666666666666</v>
      </c>
    </row>
    <row r="128" spans="1:23" ht="14.5" hidden="1">
      <c r="A128" s="190" t="s">
        <v>744</v>
      </c>
      <c r="B128" s="190" t="s">
        <v>745</v>
      </c>
      <c r="C128" s="500" t="s">
        <v>205</v>
      </c>
      <c r="D128" s="500" t="s">
        <v>47</v>
      </c>
      <c r="E128" s="500" t="s">
        <v>755</v>
      </c>
      <c r="F128" s="499">
        <v>0</v>
      </c>
      <c r="G128" s="499">
        <v>35</v>
      </c>
      <c r="H128" s="499">
        <v>35</v>
      </c>
      <c r="I128" s="495"/>
      <c r="J128" s="501" t="s">
        <v>60</v>
      </c>
      <c r="K128" s="501"/>
      <c r="L128" s="500" t="s">
        <v>418</v>
      </c>
      <c r="M128" s="500" t="s">
        <v>778</v>
      </c>
      <c r="N128" s="502"/>
      <c r="O128" s="502"/>
      <c r="P128" s="1731"/>
      <c r="Q128" s="500"/>
      <c r="R128" s="190"/>
      <c r="S128" s="190"/>
      <c r="T128" s="201"/>
      <c r="U128" s="201">
        <v>230</v>
      </c>
      <c r="V128" s="273">
        <f>U128/1.1023-[2]Grinder!$Q$1</f>
        <v>-92.695368774380881</v>
      </c>
      <c r="W128" s="282">
        <f t="shared" si="6"/>
        <v>134.16666666666669</v>
      </c>
    </row>
    <row r="129" spans="1:23" ht="14.5" hidden="1">
      <c r="A129" s="190" t="s">
        <v>744</v>
      </c>
      <c r="B129" s="190" t="s">
        <v>745</v>
      </c>
      <c r="C129" s="500" t="s">
        <v>182</v>
      </c>
      <c r="D129" s="500" t="s">
        <v>47</v>
      </c>
      <c r="E129" s="500" t="s">
        <v>759</v>
      </c>
      <c r="F129" s="499">
        <v>0</v>
      </c>
      <c r="G129" s="499">
        <v>34</v>
      </c>
      <c r="H129" s="499">
        <v>34</v>
      </c>
      <c r="I129" s="495"/>
      <c r="J129" s="501" t="s">
        <v>60</v>
      </c>
      <c r="K129" s="501"/>
      <c r="L129" s="500" t="s">
        <v>418</v>
      </c>
      <c r="M129" s="500" t="s">
        <v>778</v>
      </c>
      <c r="N129" s="502"/>
      <c r="O129" s="502"/>
      <c r="P129" s="1731"/>
      <c r="Q129" s="500"/>
      <c r="R129" s="190"/>
      <c r="S129" s="190"/>
      <c r="T129" s="201"/>
      <c r="U129" s="201">
        <v>230</v>
      </c>
      <c r="V129" s="273">
        <f>U129/1.1023-[2]Grinder!$Q$1</f>
        <v>-92.695368774380881</v>
      </c>
      <c r="W129" s="282">
        <f t="shared" si="6"/>
        <v>130.33333333333334</v>
      </c>
    </row>
    <row r="130" spans="1:23" ht="14.5" hidden="1">
      <c r="A130" s="190" t="s">
        <v>744</v>
      </c>
      <c r="B130" s="190" t="s">
        <v>745</v>
      </c>
      <c r="C130" s="500" t="s">
        <v>701</v>
      </c>
      <c r="D130" s="500" t="s">
        <v>47</v>
      </c>
      <c r="E130" s="500" t="s">
        <v>359</v>
      </c>
      <c r="F130" s="499">
        <v>0</v>
      </c>
      <c r="G130" s="499">
        <v>47</v>
      </c>
      <c r="H130" s="499">
        <v>47</v>
      </c>
      <c r="I130" s="495"/>
      <c r="J130" s="501" t="s">
        <v>60</v>
      </c>
      <c r="K130" s="501"/>
      <c r="L130" s="500" t="s">
        <v>418</v>
      </c>
      <c r="M130" s="500" t="s">
        <v>778</v>
      </c>
      <c r="N130" s="502"/>
      <c r="O130" s="502"/>
      <c r="P130" s="1731"/>
      <c r="Q130" s="500"/>
      <c r="R130" s="190"/>
      <c r="S130" s="190"/>
      <c r="T130" s="201"/>
      <c r="U130" s="201">
        <v>230</v>
      </c>
      <c r="V130" s="273">
        <f>U130/1.1023-[2]Grinder!$Q$1</f>
        <v>-92.695368774380881</v>
      </c>
      <c r="W130" s="282">
        <f t="shared" si="6"/>
        <v>180.16666666666666</v>
      </c>
    </row>
    <row r="131" spans="1:23" ht="14.5" hidden="1">
      <c r="A131" s="190" t="s">
        <v>744</v>
      </c>
      <c r="B131" s="190" t="s">
        <v>745</v>
      </c>
      <c r="C131" s="500" t="s">
        <v>760</v>
      </c>
      <c r="D131" s="500" t="s">
        <v>47</v>
      </c>
      <c r="E131" s="500" t="s">
        <v>747</v>
      </c>
      <c r="F131" s="499">
        <v>0</v>
      </c>
      <c r="G131" s="499">
        <v>28</v>
      </c>
      <c r="H131" s="499">
        <v>28</v>
      </c>
      <c r="I131" s="495"/>
      <c r="J131" s="501" t="s">
        <v>60</v>
      </c>
      <c r="K131" s="501"/>
      <c r="L131" s="500" t="s">
        <v>418</v>
      </c>
      <c r="M131" s="500" t="s">
        <v>778</v>
      </c>
      <c r="N131" s="502"/>
      <c r="O131" s="502"/>
      <c r="P131" s="1731"/>
      <c r="Q131" s="500"/>
      <c r="R131" s="190"/>
      <c r="S131" s="190"/>
      <c r="T131" s="201"/>
      <c r="U131" s="201">
        <v>230</v>
      </c>
      <c r="V131" s="273">
        <f>U131/1.1023-[2]Grinder!$Q$1</f>
        <v>-92.695368774380881</v>
      </c>
      <c r="W131" s="282">
        <f t="shared" si="6"/>
        <v>107.33333333333333</v>
      </c>
    </row>
    <row r="132" spans="1:23" ht="14.5" hidden="1">
      <c r="A132" s="190" t="s">
        <v>744</v>
      </c>
      <c r="B132" s="190" t="s">
        <v>745</v>
      </c>
      <c r="C132" s="500" t="s">
        <v>698</v>
      </c>
      <c r="D132" s="500" t="s">
        <v>47</v>
      </c>
      <c r="E132" s="500" t="s">
        <v>239</v>
      </c>
      <c r="F132" s="499">
        <v>0</v>
      </c>
      <c r="G132" s="499">
        <v>38</v>
      </c>
      <c r="H132" s="499">
        <v>38</v>
      </c>
      <c r="I132" s="495"/>
      <c r="J132" s="501" t="s">
        <v>60</v>
      </c>
      <c r="K132" s="501"/>
      <c r="L132" s="500" t="s">
        <v>418</v>
      </c>
      <c r="M132" s="500" t="s">
        <v>778</v>
      </c>
      <c r="N132" s="502"/>
      <c r="O132" s="502"/>
      <c r="P132" s="1731"/>
      <c r="Q132" s="500"/>
      <c r="R132" s="190"/>
      <c r="S132" s="190"/>
      <c r="T132" s="201"/>
      <c r="U132" s="201">
        <v>230</v>
      </c>
      <c r="V132" s="273">
        <f>U132/1.1023-[2]Grinder!$Q$1</f>
        <v>-92.695368774380881</v>
      </c>
      <c r="W132" s="282">
        <f t="shared" si="6"/>
        <v>145.66666666666666</v>
      </c>
    </row>
    <row r="133" spans="1:23" ht="14.5" hidden="1">
      <c r="A133" s="190" t="s">
        <v>744</v>
      </c>
      <c r="B133" s="190" t="s">
        <v>745</v>
      </c>
      <c r="C133" s="500" t="s">
        <v>223</v>
      </c>
      <c r="D133" s="500" t="s">
        <v>47</v>
      </c>
      <c r="E133" s="500" t="s">
        <v>359</v>
      </c>
      <c r="F133" s="499">
        <v>0</v>
      </c>
      <c r="G133" s="499">
        <v>38</v>
      </c>
      <c r="H133" s="499">
        <v>38</v>
      </c>
      <c r="I133" s="495"/>
      <c r="J133" s="501" t="s">
        <v>60</v>
      </c>
      <c r="K133" s="501"/>
      <c r="L133" s="500" t="s">
        <v>418</v>
      </c>
      <c r="M133" s="500" t="s">
        <v>778</v>
      </c>
      <c r="N133" s="502"/>
      <c r="O133" s="502"/>
      <c r="P133" s="1731"/>
      <c r="Q133" s="500"/>
      <c r="R133" s="190"/>
      <c r="S133" s="190"/>
      <c r="T133" s="201"/>
      <c r="U133" s="201">
        <v>230</v>
      </c>
      <c r="V133" s="273">
        <f>U133/1.1023-[2]Grinder!$Q$1</f>
        <v>-92.695368774380881</v>
      </c>
      <c r="W133" s="282">
        <f t="shared" si="6"/>
        <v>145.66666666666666</v>
      </c>
    </row>
    <row r="134" spans="1:23" ht="14.5" hidden="1">
      <c r="A134" s="190" t="s">
        <v>744</v>
      </c>
      <c r="B134" s="190" t="s">
        <v>745</v>
      </c>
      <c r="C134" s="500" t="s">
        <v>184</v>
      </c>
      <c r="D134" s="500" t="s">
        <v>47</v>
      </c>
      <c r="E134" s="500" t="s">
        <v>683</v>
      </c>
      <c r="F134" s="499">
        <v>0</v>
      </c>
      <c r="G134" s="499">
        <v>33</v>
      </c>
      <c r="H134" s="499">
        <v>33</v>
      </c>
      <c r="I134" s="495"/>
      <c r="J134" s="501" t="s">
        <v>60</v>
      </c>
      <c r="K134" s="501"/>
      <c r="L134" s="500" t="s">
        <v>418</v>
      </c>
      <c r="M134" s="500" t="s">
        <v>778</v>
      </c>
      <c r="N134" s="502"/>
      <c r="O134" s="502"/>
      <c r="P134" s="1731"/>
      <c r="Q134" s="500"/>
      <c r="R134" s="190"/>
      <c r="S134" s="190"/>
      <c r="T134" s="201"/>
      <c r="U134" s="201">
        <v>230</v>
      </c>
      <c r="V134" s="273">
        <f>U134/1.1023-[2]Grinder!$Q$1</f>
        <v>-92.695368774380881</v>
      </c>
      <c r="W134" s="282">
        <f t="shared" si="6"/>
        <v>126.50000000000001</v>
      </c>
    </row>
    <row r="135" spans="1:23" ht="14.5" hidden="1">
      <c r="A135" s="190" t="s">
        <v>744</v>
      </c>
      <c r="B135" s="190" t="s">
        <v>745</v>
      </c>
      <c r="C135" s="500" t="s">
        <v>222</v>
      </c>
      <c r="D135" s="500" t="s">
        <v>47</v>
      </c>
      <c r="E135" s="500" t="s">
        <v>747</v>
      </c>
      <c r="F135" s="499">
        <v>0</v>
      </c>
      <c r="G135" s="499">
        <v>48</v>
      </c>
      <c r="H135" s="499">
        <v>48</v>
      </c>
      <c r="I135" s="495"/>
      <c r="J135" s="501" t="s">
        <v>60</v>
      </c>
      <c r="K135" s="501"/>
      <c r="L135" s="500" t="s">
        <v>418</v>
      </c>
      <c r="M135" s="500" t="s">
        <v>778</v>
      </c>
      <c r="N135" s="502"/>
      <c r="O135" s="502"/>
      <c r="P135" s="1731"/>
      <c r="Q135" s="500"/>
      <c r="R135" s="190"/>
      <c r="S135" s="190"/>
      <c r="T135" s="201"/>
      <c r="U135" s="201">
        <v>230</v>
      </c>
      <c r="V135" s="273">
        <f>U135/1.1023-[2]Grinder!$Q$1</f>
        <v>-92.695368774380881</v>
      </c>
      <c r="W135" s="282">
        <f t="shared" si="6"/>
        <v>184</v>
      </c>
    </row>
    <row r="136" spans="1:23" ht="14.5" hidden="1">
      <c r="A136" s="190" t="s">
        <v>744</v>
      </c>
      <c r="B136" s="190" t="s">
        <v>745</v>
      </c>
      <c r="C136" s="500" t="s">
        <v>227</v>
      </c>
      <c r="D136" s="500" t="s">
        <v>47</v>
      </c>
      <c r="E136" s="500" t="s">
        <v>747</v>
      </c>
      <c r="F136" s="499">
        <v>0</v>
      </c>
      <c r="G136" s="499">
        <v>43</v>
      </c>
      <c r="H136" s="499">
        <v>43</v>
      </c>
      <c r="I136" s="495"/>
      <c r="J136" s="501" t="s">
        <v>60</v>
      </c>
      <c r="K136" s="501"/>
      <c r="L136" s="500" t="s">
        <v>418</v>
      </c>
      <c r="M136" s="500" t="s">
        <v>778</v>
      </c>
      <c r="N136" s="502"/>
      <c r="O136" s="502"/>
      <c r="P136" s="1731"/>
      <c r="Q136" s="500"/>
      <c r="R136" s="190"/>
      <c r="S136" s="190"/>
      <c r="T136" s="201"/>
      <c r="U136" s="201">
        <v>230</v>
      </c>
      <c r="V136" s="273">
        <f>U136/1.1023-[2]Grinder!$Q$1</f>
        <v>-92.695368774380881</v>
      </c>
      <c r="W136" s="282">
        <f t="shared" si="6"/>
        <v>164.83333333333334</v>
      </c>
    </row>
    <row r="137" spans="1:23" ht="14.5" hidden="1">
      <c r="A137" s="190" t="s">
        <v>744</v>
      </c>
      <c r="B137" s="190" t="s">
        <v>745</v>
      </c>
      <c r="C137" s="500" t="s">
        <v>333</v>
      </c>
      <c r="D137" s="500" t="s">
        <v>47</v>
      </c>
      <c r="E137" s="500" t="s">
        <v>757</v>
      </c>
      <c r="F137" s="499">
        <v>0</v>
      </c>
      <c r="G137" s="499">
        <v>20</v>
      </c>
      <c r="H137" s="499">
        <v>20</v>
      </c>
      <c r="I137" s="495"/>
      <c r="J137" s="501" t="s">
        <v>60</v>
      </c>
      <c r="K137" s="501"/>
      <c r="L137" s="500" t="s">
        <v>418</v>
      </c>
      <c r="M137" s="500" t="s">
        <v>778</v>
      </c>
      <c r="N137" s="502"/>
      <c r="O137" s="502"/>
      <c r="P137" s="1731"/>
      <c r="Q137" s="500"/>
      <c r="R137" s="190"/>
      <c r="S137" s="190"/>
      <c r="T137" s="201"/>
      <c r="U137" s="201">
        <v>230</v>
      </c>
      <c r="V137" s="273">
        <f>U137/1.1023-[2]Grinder!$Q$1</f>
        <v>-92.695368774380881</v>
      </c>
      <c r="W137" s="282">
        <f t="shared" si="6"/>
        <v>76.666666666666657</v>
      </c>
    </row>
    <row r="138" spans="1:23" ht="14.5" hidden="1">
      <c r="A138" s="190" t="s">
        <v>744</v>
      </c>
      <c r="B138" s="190" t="s">
        <v>745</v>
      </c>
      <c r="C138" s="500" t="s">
        <v>219</v>
      </c>
      <c r="D138" s="500" t="s">
        <v>47</v>
      </c>
      <c r="E138" s="500" t="s">
        <v>694</v>
      </c>
      <c r="F138" s="499">
        <v>0</v>
      </c>
      <c r="G138" s="499">
        <v>25</v>
      </c>
      <c r="H138" s="499">
        <v>25</v>
      </c>
      <c r="I138" s="495"/>
      <c r="J138" s="501" t="s">
        <v>60</v>
      </c>
      <c r="K138" s="501"/>
      <c r="L138" s="500" t="s">
        <v>418</v>
      </c>
      <c r="M138" s="500" t="s">
        <v>778</v>
      </c>
      <c r="N138" s="502"/>
      <c r="O138" s="502"/>
      <c r="P138" s="1731"/>
      <c r="Q138" s="500"/>
      <c r="R138" s="190"/>
      <c r="S138" s="190"/>
      <c r="T138" s="201"/>
      <c r="U138" s="201">
        <v>230</v>
      </c>
      <c r="V138" s="273">
        <f>U138/1.1023-[2]Grinder!$Q$1</f>
        <v>-92.695368774380881</v>
      </c>
      <c r="W138" s="282">
        <f t="shared" si="6"/>
        <v>95.833333333333343</v>
      </c>
    </row>
    <row r="139" spans="1:23" ht="14.5" hidden="1">
      <c r="A139" s="190" t="s">
        <v>744</v>
      </c>
      <c r="B139" s="190" t="s">
        <v>745</v>
      </c>
      <c r="C139" s="500" t="s">
        <v>228</v>
      </c>
      <c r="D139" s="500" t="s">
        <v>47</v>
      </c>
      <c r="E139" s="500" t="s">
        <v>747</v>
      </c>
      <c r="F139" s="499">
        <v>0</v>
      </c>
      <c r="G139" s="499">
        <v>41</v>
      </c>
      <c r="H139" s="499">
        <v>41</v>
      </c>
      <c r="I139" s="495"/>
      <c r="J139" s="501" t="s">
        <v>60</v>
      </c>
      <c r="K139" s="501"/>
      <c r="L139" s="500" t="s">
        <v>418</v>
      </c>
      <c r="M139" s="500" t="s">
        <v>778</v>
      </c>
      <c r="N139" s="502"/>
      <c r="O139" s="502"/>
      <c r="P139" s="1731"/>
      <c r="Q139" s="500"/>
      <c r="R139" s="190"/>
      <c r="S139" s="190"/>
      <c r="T139" s="201"/>
      <c r="U139" s="201">
        <v>230</v>
      </c>
      <c r="V139" s="273">
        <f>U139/1.1023-[2]Grinder!$Q$1</f>
        <v>-92.695368774380881</v>
      </c>
      <c r="W139" s="282">
        <f t="shared" si="6"/>
        <v>157.16666666666666</v>
      </c>
    </row>
    <row r="140" spans="1:23" ht="14.5" hidden="1">
      <c r="A140" s="190" t="s">
        <v>744</v>
      </c>
      <c r="B140" s="190" t="s">
        <v>745</v>
      </c>
      <c r="C140" s="500" t="s">
        <v>329</v>
      </c>
      <c r="D140" s="500" t="s">
        <v>47</v>
      </c>
      <c r="E140" s="500" t="s">
        <v>234</v>
      </c>
      <c r="F140" s="499">
        <v>3</v>
      </c>
      <c r="G140" s="499">
        <v>9</v>
      </c>
      <c r="H140" s="499">
        <v>188</v>
      </c>
      <c r="I140" s="495"/>
      <c r="J140" s="501" t="s">
        <v>63</v>
      </c>
      <c r="K140" s="501"/>
      <c r="L140" s="500" t="s">
        <v>418</v>
      </c>
      <c r="M140" s="500" t="s">
        <v>419</v>
      </c>
      <c r="N140" s="502"/>
      <c r="O140" s="502"/>
      <c r="P140" s="1731"/>
      <c r="Q140" s="500"/>
      <c r="R140" s="190"/>
      <c r="S140" s="190"/>
      <c r="T140" s="201"/>
      <c r="U140" s="201">
        <v>180</v>
      </c>
      <c r="V140" s="273">
        <f>U140/1.1023-[2]Grinder!$Q$1</f>
        <v>-138.05507121473286</v>
      </c>
      <c r="W140" s="282">
        <f t="shared" si="6"/>
        <v>564</v>
      </c>
    </row>
    <row r="141" spans="1:23" ht="14.5" hidden="1">
      <c r="A141" s="190" t="s">
        <v>744</v>
      </c>
      <c r="B141" s="190" t="s">
        <v>745</v>
      </c>
      <c r="C141" s="500" t="s">
        <v>188</v>
      </c>
      <c r="D141" s="500" t="s">
        <v>47</v>
      </c>
      <c r="E141" s="500" t="s">
        <v>747</v>
      </c>
      <c r="F141" s="499">
        <v>0</v>
      </c>
      <c r="G141" s="499">
        <v>39</v>
      </c>
      <c r="H141" s="499">
        <v>39</v>
      </c>
      <c r="I141" s="495"/>
      <c r="J141" s="501" t="s">
        <v>60</v>
      </c>
      <c r="K141" s="501"/>
      <c r="L141" s="500" t="s">
        <v>418</v>
      </c>
      <c r="M141" s="500" t="s">
        <v>778</v>
      </c>
      <c r="N141" s="502"/>
      <c r="O141" s="502"/>
      <c r="P141" s="1731"/>
      <c r="Q141" s="500"/>
      <c r="R141" s="190"/>
      <c r="S141" s="190"/>
      <c r="T141" s="201"/>
      <c r="U141" s="201">
        <v>230</v>
      </c>
      <c r="V141" s="273">
        <f>U141/1.1023-[2]Grinder!$Q$1</f>
        <v>-92.695368774380881</v>
      </c>
      <c r="W141" s="282">
        <f t="shared" si="6"/>
        <v>149.5</v>
      </c>
    </row>
    <row r="142" spans="1:23" ht="14.5" hidden="1">
      <c r="A142" s="190" t="s">
        <v>744</v>
      </c>
      <c r="B142" s="190" t="s">
        <v>745</v>
      </c>
      <c r="C142" s="500" t="s">
        <v>186</v>
      </c>
      <c r="D142" s="500" t="s">
        <v>47</v>
      </c>
      <c r="E142" s="500" t="s">
        <v>747</v>
      </c>
      <c r="F142" s="499">
        <v>0</v>
      </c>
      <c r="G142" s="499">
        <v>33</v>
      </c>
      <c r="H142" s="499">
        <v>33</v>
      </c>
      <c r="I142" s="495"/>
      <c r="J142" s="501" t="s">
        <v>60</v>
      </c>
      <c r="K142" s="501"/>
      <c r="L142" s="500" t="s">
        <v>418</v>
      </c>
      <c r="M142" s="500" t="s">
        <v>778</v>
      </c>
      <c r="N142" s="502"/>
      <c r="O142" s="502"/>
      <c r="P142" s="1731"/>
      <c r="Q142" s="500"/>
      <c r="R142" s="190"/>
      <c r="S142" s="190"/>
      <c r="T142" s="201"/>
      <c r="U142" s="201">
        <v>230</v>
      </c>
      <c r="V142" s="273">
        <f>U142/1.1023-[2]Grinder!$Q$1</f>
        <v>-92.695368774380881</v>
      </c>
      <c r="W142" s="282">
        <f t="shared" ref="W142:W173" si="7">H142/60*U142*1</f>
        <v>126.50000000000001</v>
      </c>
    </row>
    <row r="143" spans="1:23" ht="14.5" hidden="1">
      <c r="A143" s="190" t="s">
        <v>744</v>
      </c>
      <c r="B143" s="190" t="s">
        <v>745</v>
      </c>
      <c r="C143" s="500" t="s">
        <v>229</v>
      </c>
      <c r="D143" s="500" t="s">
        <v>47</v>
      </c>
      <c r="E143" s="500" t="s">
        <v>789</v>
      </c>
      <c r="F143" s="499">
        <v>1</v>
      </c>
      <c r="G143" s="499">
        <v>21</v>
      </c>
      <c r="H143" s="499">
        <v>81</v>
      </c>
      <c r="I143" s="495"/>
      <c r="J143" s="501" t="s">
        <v>60</v>
      </c>
      <c r="K143" s="501"/>
      <c r="L143" s="500" t="s">
        <v>418</v>
      </c>
      <c r="M143" s="500" t="s">
        <v>778</v>
      </c>
      <c r="N143" s="502"/>
      <c r="O143" s="502"/>
      <c r="P143" s="1731"/>
      <c r="Q143" s="500"/>
      <c r="R143" s="190"/>
      <c r="S143" s="190"/>
      <c r="T143" s="201"/>
      <c r="U143" s="201">
        <v>230</v>
      </c>
      <c r="V143" s="273">
        <f>U143/1.1023-[2]Grinder!$Q$1</f>
        <v>-92.695368774380881</v>
      </c>
      <c r="W143" s="282">
        <f t="shared" si="7"/>
        <v>310.5</v>
      </c>
    </row>
    <row r="144" spans="1:23" ht="14.5" hidden="1">
      <c r="A144" s="190" t="s">
        <v>744</v>
      </c>
      <c r="B144" s="190" t="s">
        <v>745</v>
      </c>
      <c r="C144" s="500" t="s">
        <v>230</v>
      </c>
      <c r="D144" s="500" t="s">
        <v>47</v>
      </c>
      <c r="E144" s="500" t="s">
        <v>696</v>
      </c>
      <c r="F144" s="499">
        <v>0</v>
      </c>
      <c r="G144" s="499">
        <v>62</v>
      </c>
      <c r="H144" s="499">
        <v>62</v>
      </c>
      <c r="I144" s="495"/>
      <c r="J144" s="501" t="s">
        <v>60</v>
      </c>
      <c r="K144" s="501"/>
      <c r="L144" s="500" t="s">
        <v>418</v>
      </c>
      <c r="M144" s="500" t="s">
        <v>778</v>
      </c>
      <c r="N144" s="502"/>
      <c r="O144" s="502"/>
      <c r="P144" s="1731"/>
      <c r="Q144" s="500"/>
      <c r="R144" s="190"/>
      <c r="S144" s="190"/>
      <c r="T144" s="201"/>
      <c r="U144" s="201">
        <v>230</v>
      </c>
      <c r="V144" s="273">
        <f>U144/1.1023-[2]Grinder!$Q$1</f>
        <v>-92.695368774380881</v>
      </c>
      <c r="W144" s="282">
        <f t="shared" si="7"/>
        <v>237.66666666666669</v>
      </c>
    </row>
    <row r="145" spans="1:23" ht="14.5" hidden="1">
      <c r="A145" s="190" t="s">
        <v>744</v>
      </c>
      <c r="B145" s="190" t="s">
        <v>745</v>
      </c>
      <c r="C145" s="500" t="s">
        <v>317</v>
      </c>
      <c r="D145" s="500" t="s">
        <v>47</v>
      </c>
      <c r="E145" s="500" t="s">
        <v>684</v>
      </c>
      <c r="F145" s="499">
        <v>0</v>
      </c>
      <c r="G145" s="499">
        <v>39</v>
      </c>
      <c r="H145" s="499">
        <v>39</v>
      </c>
      <c r="I145" s="495"/>
      <c r="J145" s="501" t="s">
        <v>60</v>
      </c>
      <c r="K145" s="501"/>
      <c r="L145" s="500" t="s">
        <v>418</v>
      </c>
      <c r="M145" s="500" t="s">
        <v>778</v>
      </c>
      <c r="N145" s="502"/>
      <c r="O145" s="502"/>
      <c r="P145" s="1731"/>
      <c r="Q145" s="500"/>
      <c r="R145" s="190"/>
      <c r="S145" s="190"/>
      <c r="T145" s="201"/>
      <c r="U145" s="201">
        <v>230</v>
      </c>
      <c r="V145" s="273">
        <f>U145/1.1023-[2]Grinder!$Q$1</f>
        <v>-92.695368774380881</v>
      </c>
      <c r="W145" s="282">
        <f t="shared" si="7"/>
        <v>149.5</v>
      </c>
    </row>
    <row r="146" spans="1:23" ht="14.5" hidden="1">
      <c r="A146" s="190" t="s">
        <v>744</v>
      </c>
      <c r="B146" s="190" t="s">
        <v>745</v>
      </c>
      <c r="C146" s="500" t="s">
        <v>313</v>
      </c>
      <c r="D146" s="500" t="s">
        <v>47</v>
      </c>
      <c r="E146" s="500" t="s">
        <v>699</v>
      </c>
      <c r="F146" s="499">
        <v>0</v>
      </c>
      <c r="G146" s="499">
        <v>59</v>
      </c>
      <c r="H146" s="499">
        <v>59</v>
      </c>
      <c r="I146" s="495"/>
      <c r="J146" s="501" t="s">
        <v>60</v>
      </c>
      <c r="K146" s="501"/>
      <c r="L146" s="500" t="s">
        <v>418</v>
      </c>
      <c r="M146" s="500" t="s">
        <v>778</v>
      </c>
      <c r="N146" s="502"/>
      <c r="O146" s="502"/>
      <c r="P146" s="1731"/>
      <c r="Q146" s="500"/>
      <c r="R146" s="190"/>
      <c r="S146" s="190"/>
      <c r="T146" s="201"/>
      <c r="U146" s="201">
        <v>230</v>
      </c>
      <c r="V146" s="273">
        <f>U146/1.1023-[2]Grinder!$Q$1</f>
        <v>-92.695368774380881</v>
      </c>
      <c r="W146" s="282">
        <f t="shared" si="7"/>
        <v>226.16666666666666</v>
      </c>
    </row>
    <row r="147" spans="1:23" ht="14.5" hidden="1">
      <c r="A147" s="190" t="s">
        <v>744</v>
      </c>
      <c r="B147" s="190" t="s">
        <v>745</v>
      </c>
      <c r="C147" s="500" t="s">
        <v>360</v>
      </c>
      <c r="D147" s="500" t="s">
        <v>47</v>
      </c>
      <c r="E147" s="500" t="s">
        <v>683</v>
      </c>
      <c r="F147" s="499">
        <v>0</v>
      </c>
      <c r="G147" s="499">
        <v>42</v>
      </c>
      <c r="H147" s="499">
        <v>42</v>
      </c>
      <c r="I147" s="495"/>
      <c r="J147" s="501" t="s">
        <v>60</v>
      </c>
      <c r="K147" s="501"/>
      <c r="L147" s="500" t="s">
        <v>418</v>
      </c>
      <c r="M147" s="500" t="s">
        <v>778</v>
      </c>
      <c r="N147" s="502"/>
      <c r="O147" s="502"/>
      <c r="P147" s="1731"/>
      <c r="Q147" s="500"/>
      <c r="R147" s="190"/>
      <c r="S147" s="190"/>
      <c r="T147" s="201"/>
      <c r="U147" s="201">
        <v>230</v>
      </c>
      <c r="V147" s="273">
        <f>U147/1.1023-[2]Grinder!$Q$1</f>
        <v>-92.695368774380881</v>
      </c>
      <c r="W147" s="282">
        <f t="shared" si="7"/>
        <v>161</v>
      </c>
    </row>
    <row r="148" spans="1:23" ht="14.5" hidden="1">
      <c r="A148" s="190" t="s">
        <v>744</v>
      </c>
      <c r="B148" s="190" t="s">
        <v>745</v>
      </c>
      <c r="C148" s="500" t="s">
        <v>208</v>
      </c>
      <c r="D148" s="500" t="s">
        <v>47</v>
      </c>
      <c r="E148" s="500" t="s">
        <v>759</v>
      </c>
      <c r="F148" s="499">
        <v>0</v>
      </c>
      <c r="G148" s="499">
        <v>37</v>
      </c>
      <c r="H148" s="499">
        <v>37</v>
      </c>
      <c r="I148" s="495"/>
      <c r="J148" s="501" t="s">
        <v>60</v>
      </c>
      <c r="K148" s="501"/>
      <c r="L148" s="500" t="s">
        <v>418</v>
      </c>
      <c r="M148" s="500" t="s">
        <v>778</v>
      </c>
      <c r="N148" s="502"/>
      <c r="O148" s="502"/>
      <c r="P148" s="1731"/>
      <c r="Q148" s="500"/>
      <c r="R148" s="190"/>
      <c r="S148" s="190"/>
      <c r="T148" s="201"/>
      <c r="U148" s="201">
        <v>230</v>
      </c>
      <c r="V148" s="273">
        <f>U148/1.1023-[2]Grinder!$Q$1</f>
        <v>-92.695368774380881</v>
      </c>
      <c r="W148" s="282">
        <f t="shared" si="7"/>
        <v>141.83333333333334</v>
      </c>
    </row>
    <row r="149" spans="1:23" ht="14.5" hidden="1">
      <c r="A149" s="190" t="s">
        <v>744</v>
      </c>
      <c r="B149" s="190" t="s">
        <v>745</v>
      </c>
      <c r="C149" s="500" t="s">
        <v>310</v>
      </c>
      <c r="D149" s="500" t="s">
        <v>47</v>
      </c>
      <c r="E149" s="500" t="s">
        <v>243</v>
      </c>
      <c r="F149" s="499">
        <v>1</v>
      </c>
      <c r="G149" s="499">
        <v>6</v>
      </c>
      <c r="H149" s="499">
        <v>65</v>
      </c>
      <c r="I149" s="495"/>
      <c r="J149" s="501" t="s">
        <v>60</v>
      </c>
      <c r="K149" s="501"/>
      <c r="L149" s="500" t="s">
        <v>418</v>
      </c>
      <c r="M149" s="500" t="s">
        <v>778</v>
      </c>
      <c r="N149" s="502"/>
      <c r="O149" s="502"/>
      <c r="P149" s="1731"/>
      <c r="Q149" s="500"/>
      <c r="R149" s="190"/>
      <c r="S149" s="190"/>
      <c r="T149" s="201"/>
      <c r="U149" s="201">
        <v>230</v>
      </c>
      <c r="V149" s="273">
        <f>U149/1.1023-[2]Grinder!$Q$1</f>
        <v>-92.695368774380881</v>
      </c>
      <c r="W149" s="282">
        <f t="shared" si="7"/>
        <v>249.16666666666666</v>
      </c>
    </row>
    <row r="150" spans="1:23" ht="14.5" hidden="1">
      <c r="A150" s="190" t="s">
        <v>744</v>
      </c>
      <c r="B150" s="190" t="s">
        <v>745</v>
      </c>
      <c r="C150" s="500" t="s">
        <v>686</v>
      </c>
      <c r="D150" s="500" t="s">
        <v>47</v>
      </c>
      <c r="E150" s="500" t="s">
        <v>747</v>
      </c>
      <c r="F150" s="499">
        <v>1</v>
      </c>
      <c r="G150" s="499">
        <v>7</v>
      </c>
      <c r="H150" s="499">
        <v>67</v>
      </c>
      <c r="I150" s="495"/>
      <c r="J150" s="501" t="s">
        <v>63</v>
      </c>
      <c r="K150" s="501"/>
      <c r="L150" s="500" t="s">
        <v>418</v>
      </c>
      <c r="M150" s="500" t="s">
        <v>419</v>
      </c>
      <c r="N150" s="502"/>
      <c r="O150" s="502"/>
      <c r="P150" s="1731"/>
      <c r="Q150" s="500"/>
      <c r="R150" s="190"/>
      <c r="S150" s="190"/>
      <c r="T150" s="201"/>
      <c r="U150" s="201">
        <v>180</v>
      </c>
      <c r="V150" s="273">
        <f>U150/1.1023-[2]Grinder!$Q$1</f>
        <v>-138.05507121473286</v>
      </c>
      <c r="W150" s="282">
        <f t="shared" si="7"/>
        <v>201</v>
      </c>
    </row>
    <row r="151" spans="1:23" ht="14.5" hidden="1">
      <c r="A151" s="190" t="s">
        <v>744</v>
      </c>
      <c r="B151" s="190" t="s">
        <v>745</v>
      </c>
      <c r="C151" s="500" t="s">
        <v>309</v>
      </c>
      <c r="D151" s="500" t="s">
        <v>47</v>
      </c>
      <c r="E151" s="500" t="s">
        <v>684</v>
      </c>
      <c r="F151" s="499">
        <v>0</v>
      </c>
      <c r="G151" s="499">
        <v>58</v>
      </c>
      <c r="H151" s="499">
        <v>58</v>
      </c>
      <c r="I151" s="495"/>
      <c r="J151" s="501" t="s">
        <v>60</v>
      </c>
      <c r="K151" s="501"/>
      <c r="L151" s="500" t="s">
        <v>418</v>
      </c>
      <c r="M151" s="500" t="s">
        <v>778</v>
      </c>
      <c r="N151" s="502"/>
      <c r="O151" s="502"/>
      <c r="P151" s="1731"/>
      <c r="Q151" s="500"/>
      <c r="R151" s="190"/>
      <c r="S151" s="190"/>
      <c r="T151" s="201"/>
      <c r="U151" s="201">
        <v>230</v>
      </c>
      <c r="V151" s="273">
        <f>U151/1.1023-[2]Grinder!$Q$1</f>
        <v>-92.695368774380881</v>
      </c>
      <c r="W151" s="282">
        <f t="shared" si="7"/>
        <v>222.33333333333334</v>
      </c>
    </row>
    <row r="152" spans="1:23" ht="14.5" hidden="1">
      <c r="A152" s="190" t="s">
        <v>744</v>
      </c>
      <c r="B152" s="190" t="s">
        <v>745</v>
      </c>
      <c r="C152" s="500" t="s">
        <v>308</v>
      </c>
      <c r="D152" s="500" t="s">
        <v>47</v>
      </c>
      <c r="E152" s="500" t="s">
        <v>785</v>
      </c>
      <c r="F152" s="499">
        <v>2</v>
      </c>
      <c r="G152" s="499">
        <v>11</v>
      </c>
      <c r="H152" s="499">
        <v>132</v>
      </c>
      <c r="I152" s="495"/>
      <c r="J152" s="501" t="s">
        <v>63</v>
      </c>
      <c r="K152" s="501"/>
      <c r="L152" s="500" t="s">
        <v>418</v>
      </c>
      <c r="M152" s="500" t="s">
        <v>419</v>
      </c>
      <c r="N152" s="502"/>
      <c r="O152" s="502"/>
      <c r="P152" s="1731"/>
      <c r="Q152" s="500"/>
      <c r="R152" s="190"/>
      <c r="S152" s="190"/>
      <c r="T152" s="201"/>
      <c r="U152" s="201">
        <v>180</v>
      </c>
      <c r="V152" s="273">
        <f>U152/1.1023-[2]Grinder!$Q$1</f>
        <v>-138.05507121473286</v>
      </c>
      <c r="W152" s="282">
        <f t="shared" si="7"/>
        <v>396.00000000000006</v>
      </c>
    </row>
    <row r="153" spans="1:23" ht="14.5" hidden="1">
      <c r="A153" s="190" t="s">
        <v>744</v>
      </c>
      <c r="B153" s="190" t="s">
        <v>745</v>
      </c>
      <c r="C153" s="500" t="s">
        <v>362</v>
      </c>
      <c r="D153" s="500" t="s">
        <v>47</v>
      </c>
      <c r="E153" s="500" t="s">
        <v>352</v>
      </c>
      <c r="F153" s="499">
        <v>1</v>
      </c>
      <c r="G153" s="499">
        <v>64</v>
      </c>
      <c r="H153" s="499">
        <v>124</v>
      </c>
      <c r="I153" s="495"/>
      <c r="J153" s="501" t="s">
        <v>60</v>
      </c>
      <c r="K153" s="501"/>
      <c r="L153" s="500" t="s">
        <v>418</v>
      </c>
      <c r="M153" s="500" t="s">
        <v>778</v>
      </c>
      <c r="N153" s="502"/>
      <c r="O153" s="502"/>
      <c r="P153" s="1731"/>
      <c r="Q153" s="500"/>
      <c r="R153" s="190"/>
      <c r="S153" s="190"/>
      <c r="T153" s="201"/>
      <c r="U153" s="201">
        <v>230</v>
      </c>
      <c r="V153" s="273">
        <f>U153/1.1023-[2]Grinder!$Q$1</f>
        <v>-92.695368774380881</v>
      </c>
      <c r="W153" s="282">
        <f t="shared" si="7"/>
        <v>475.33333333333337</v>
      </c>
    </row>
    <row r="154" spans="1:23" ht="14.5" hidden="1">
      <c r="A154" s="190" t="s">
        <v>744</v>
      </c>
      <c r="B154" s="190" t="s">
        <v>745</v>
      </c>
      <c r="C154" s="500" t="s">
        <v>306</v>
      </c>
      <c r="D154" s="500" t="s">
        <v>47</v>
      </c>
      <c r="E154" s="500" t="s">
        <v>747</v>
      </c>
      <c r="F154" s="499">
        <v>1</v>
      </c>
      <c r="G154" s="499">
        <v>25</v>
      </c>
      <c r="H154" s="499">
        <v>84</v>
      </c>
      <c r="I154" s="495"/>
      <c r="J154" s="501" t="s">
        <v>60</v>
      </c>
      <c r="K154" s="501"/>
      <c r="L154" s="500" t="s">
        <v>418</v>
      </c>
      <c r="M154" s="500" t="s">
        <v>778</v>
      </c>
      <c r="N154" s="502"/>
      <c r="O154" s="502"/>
      <c r="P154" s="1731"/>
      <c r="Q154" s="500"/>
      <c r="R154" s="190"/>
      <c r="S154" s="190"/>
      <c r="T154" s="201"/>
      <c r="U154" s="201">
        <v>230</v>
      </c>
      <c r="V154" s="273">
        <f>U154/1.1023-[2]Grinder!$Q$1</f>
        <v>-92.695368774380881</v>
      </c>
      <c r="W154" s="282">
        <f t="shared" si="7"/>
        <v>322</v>
      </c>
    </row>
    <row r="155" spans="1:23" ht="14.5" hidden="1">
      <c r="A155" s="190" t="s">
        <v>744</v>
      </c>
      <c r="B155" s="190" t="s">
        <v>745</v>
      </c>
      <c r="C155" s="500" t="s">
        <v>304</v>
      </c>
      <c r="D155" s="500" t="s">
        <v>47</v>
      </c>
      <c r="E155" s="500" t="s">
        <v>762</v>
      </c>
      <c r="F155" s="499">
        <v>0</v>
      </c>
      <c r="G155" s="499">
        <v>48</v>
      </c>
      <c r="H155" s="499">
        <v>48</v>
      </c>
      <c r="I155" s="495"/>
      <c r="J155" s="501" t="s">
        <v>60</v>
      </c>
      <c r="K155" s="501"/>
      <c r="L155" s="500" t="s">
        <v>418</v>
      </c>
      <c r="M155" s="500" t="s">
        <v>778</v>
      </c>
      <c r="N155" s="502"/>
      <c r="O155" s="502"/>
      <c r="P155" s="1731"/>
      <c r="Q155" s="500"/>
      <c r="R155" s="190"/>
      <c r="S155" s="190"/>
      <c r="T155" s="201"/>
      <c r="U155" s="201">
        <v>230</v>
      </c>
      <c r="V155" s="273">
        <f>U155/1.1023-[2]Grinder!$Q$1</f>
        <v>-92.695368774380881</v>
      </c>
      <c r="W155" s="282">
        <f t="shared" si="7"/>
        <v>184</v>
      </c>
    </row>
    <row r="156" spans="1:23" ht="14.5" hidden="1">
      <c r="A156" s="190" t="s">
        <v>744</v>
      </c>
      <c r="B156" s="190" t="s">
        <v>745</v>
      </c>
      <c r="C156" s="500" t="s">
        <v>364</v>
      </c>
      <c r="D156" s="500" t="s">
        <v>47</v>
      </c>
      <c r="E156" s="500" t="s">
        <v>361</v>
      </c>
      <c r="F156" s="499">
        <v>1</v>
      </c>
      <c r="G156" s="499">
        <v>49</v>
      </c>
      <c r="H156" s="499">
        <v>109</v>
      </c>
      <c r="I156" s="495"/>
      <c r="J156" s="501" t="s">
        <v>60</v>
      </c>
      <c r="K156" s="501"/>
      <c r="L156" s="500" t="s">
        <v>418</v>
      </c>
      <c r="M156" s="500" t="s">
        <v>778</v>
      </c>
      <c r="N156" s="502"/>
      <c r="O156" s="502"/>
      <c r="P156" s="1731"/>
      <c r="Q156" s="500"/>
      <c r="R156" s="190"/>
      <c r="S156" s="190"/>
      <c r="T156" s="201"/>
      <c r="U156" s="201">
        <v>230</v>
      </c>
      <c r="V156" s="273">
        <f>U156/1.1023-[2]Grinder!$Q$1</f>
        <v>-92.695368774380881</v>
      </c>
      <c r="W156" s="282">
        <f t="shared" si="7"/>
        <v>417.83333333333331</v>
      </c>
    </row>
    <row r="157" spans="1:23" ht="14.5" hidden="1">
      <c r="A157" s="190" t="s">
        <v>744</v>
      </c>
      <c r="B157" s="190" t="s">
        <v>745</v>
      </c>
      <c r="C157" s="500" t="s">
        <v>301</v>
      </c>
      <c r="D157" s="500" t="s">
        <v>47</v>
      </c>
      <c r="E157" s="500" t="s">
        <v>763</v>
      </c>
      <c r="F157" s="499">
        <v>0</v>
      </c>
      <c r="G157" s="499">
        <v>52</v>
      </c>
      <c r="H157" s="499">
        <v>52</v>
      </c>
      <c r="I157" s="495"/>
      <c r="J157" s="501" t="s">
        <v>60</v>
      </c>
      <c r="K157" s="501"/>
      <c r="L157" s="500" t="s">
        <v>418</v>
      </c>
      <c r="M157" s="500" t="s">
        <v>778</v>
      </c>
      <c r="N157" s="502"/>
      <c r="O157" s="502"/>
      <c r="P157" s="1731"/>
      <c r="Q157" s="500"/>
      <c r="R157" s="190"/>
      <c r="S157" s="190"/>
      <c r="T157" s="201"/>
      <c r="U157" s="201">
        <v>230</v>
      </c>
      <c r="V157" s="273">
        <f>U157/1.1023-[2]Grinder!$Q$1</f>
        <v>-92.695368774380881</v>
      </c>
      <c r="W157" s="282">
        <f t="shared" si="7"/>
        <v>199.33333333333334</v>
      </c>
    </row>
    <row r="158" spans="1:23" ht="14.5" hidden="1">
      <c r="A158" s="190" t="s">
        <v>744</v>
      </c>
      <c r="B158" s="190" t="s">
        <v>745</v>
      </c>
      <c r="C158" s="500" t="s">
        <v>365</v>
      </c>
      <c r="D158" s="500" t="s">
        <v>47</v>
      </c>
      <c r="E158" s="500" t="s">
        <v>764</v>
      </c>
      <c r="F158" s="499">
        <v>0</v>
      </c>
      <c r="G158" s="499">
        <v>51</v>
      </c>
      <c r="H158" s="499">
        <v>51</v>
      </c>
      <c r="I158" s="495"/>
      <c r="J158" s="501" t="s">
        <v>60</v>
      </c>
      <c r="K158" s="501"/>
      <c r="L158" s="500" t="s">
        <v>418</v>
      </c>
      <c r="M158" s="500" t="s">
        <v>778</v>
      </c>
      <c r="N158" s="502"/>
      <c r="O158" s="502"/>
      <c r="P158" s="1731"/>
      <c r="Q158" s="500"/>
      <c r="R158" s="190"/>
      <c r="S158" s="190"/>
      <c r="T158" s="201"/>
      <c r="U158" s="201">
        <v>230</v>
      </c>
      <c r="V158" s="273">
        <f>U158/1.1023-[2]Grinder!$Q$1</f>
        <v>-92.695368774380881</v>
      </c>
      <c r="W158" s="282">
        <f t="shared" si="7"/>
        <v>195.5</v>
      </c>
    </row>
    <row r="159" spans="1:23" ht="14.5" hidden="1">
      <c r="A159" s="190" t="s">
        <v>744</v>
      </c>
      <c r="B159" s="190" t="s">
        <v>745</v>
      </c>
      <c r="C159" s="500" t="s">
        <v>366</v>
      </c>
      <c r="D159" s="500" t="s">
        <v>47</v>
      </c>
      <c r="E159" s="500" t="s">
        <v>757</v>
      </c>
      <c r="F159" s="499">
        <v>0</v>
      </c>
      <c r="G159" s="499">
        <v>44</v>
      </c>
      <c r="H159" s="499">
        <v>44</v>
      </c>
      <c r="I159" s="495"/>
      <c r="J159" s="501" t="s">
        <v>60</v>
      </c>
      <c r="K159" s="501"/>
      <c r="L159" s="500" t="s">
        <v>418</v>
      </c>
      <c r="M159" s="500" t="s">
        <v>778</v>
      </c>
      <c r="N159" s="502"/>
      <c r="O159" s="502"/>
      <c r="P159" s="1731"/>
      <c r="Q159" s="500"/>
      <c r="R159" s="190"/>
      <c r="S159" s="190"/>
      <c r="T159" s="201"/>
      <c r="U159" s="201">
        <v>230</v>
      </c>
      <c r="V159" s="273">
        <f>U159/1.1023-[2]Grinder!$Q$1</f>
        <v>-92.695368774380881</v>
      </c>
      <c r="W159" s="282">
        <f t="shared" si="7"/>
        <v>168.66666666666666</v>
      </c>
    </row>
    <row r="160" spans="1:23" ht="14.5" hidden="1">
      <c r="A160" s="190" t="s">
        <v>744</v>
      </c>
      <c r="B160" s="190" t="s">
        <v>745</v>
      </c>
      <c r="C160" s="500" t="s">
        <v>298</v>
      </c>
      <c r="D160" s="500" t="s">
        <v>47</v>
      </c>
      <c r="E160" s="500" t="s">
        <v>759</v>
      </c>
      <c r="F160" s="499">
        <v>0</v>
      </c>
      <c r="G160" s="499">
        <v>40</v>
      </c>
      <c r="H160" s="499">
        <v>40</v>
      </c>
      <c r="I160" s="495"/>
      <c r="J160" s="501" t="s">
        <v>60</v>
      </c>
      <c r="K160" s="501"/>
      <c r="L160" s="500" t="s">
        <v>418</v>
      </c>
      <c r="M160" s="500" t="s">
        <v>778</v>
      </c>
      <c r="N160" s="502"/>
      <c r="O160" s="502"/>
      <c r="P160" s="1731"/>
      <c r="Q160" s="500"/>
      <c r="R160" s="190"/>
      <c r="S160" s="190"/>
      <c r="T160" s="201"/>
      <c r="U160" s="201">
        <v>230</v>
      </c>
      <c r="V160" s="273">
        <f>U160/1.1023-[2]Grinder!$Q$1</f>
        <v>-92.695368774380881</v>
      </c>
      <c r="W160" s="282">
        <f t="shared" si="7"/>
        <v>153.33333333333331</v>
      </c>
    </row>
    <row r="161" spans="1:23" ht="14.5" hidden="1">
      <c r="A161" s="190" t="s">
        <v>744</v>
      </c>
      <c r="B161" s="190" t="s">
        <v>745</v>
      </c>
      <c r="C161" s="500" t="s">
        <v>297</v>
      </c>
      <c r="D161" s="500" t="s">
        <v>47</v>
      </c>
      <c r="E161" s="500" t="s">
        <v>764</v>
      </c>
      <c r="F161" s="499">
        <v>0</v>
      </c>
      <c r="G161" s="499">
        <v>61</v>
      </c>
      <c r="H161" s="499">
        <v>61</v>
      </c>
      <c r="I161" s="495"/>
      <c r="J161" s="501" t="s">
        <v>60</v>
      </c>
      <c r="K161" s="501"/>
      <c r="L161" s="500" t="s">
        <v>418</v>
      </c>
      <c r="M161" s="500" t="s">
        <v>778</v>
      </c>
      <c r="N161" s="502"/>
      <c r="O161" s="502"/>
      <c r="P161" s="1731"/>
      <c r="Q161" s="500"/>
      <c r="R161" s="190"/>
      <c r="S161" s="190"/>
      <c r="T161" s="201"/>
      <c r="U161" s="201">
        <v>230</v>
      </c>
      <c r="V161" s="273">
        <f>U161/1.1023-[2]Grinder!$Q$1</f>
        <v>-92.695368774380881</v>
      </c>
      <c r="W161" s="282">
        <f t="shared" si="7"/>
        <v>233.83333333333331</v>
      </c>
    </row>
    <row r="162" spans="1:23" ht="14.5" hidden="1">
      <c r="A162" s="190" t="s">
        <v>744</v>
      </c>
      <c r="B162" s="190" t="s">
        <v>745</v>
      </c>
      <c r="C162" s="500" t="s">
        <v>687</v>
      </c>
      <c r="D162" s="500" t="s">
        <v>47</v>
      </c>
      <c r="E162" s="500" t="s">
        <v>682</v>
      </c>
      <c r="F162" s="499">
        <v>2</v>
      </c>
      <c r="G162" s="499">
        <v>25</v>
      </c>
      <c r="H162" s="499">
        <v>145</v>
      </c>
      <c r="I162" s="495"/>
      <c r="J162" s="501" t="s">
        <v>60</v>
      </c>
      <c r="K162" s="501"/>
      <c r="L162" s="500" t="s">
        <v>418</v>
      </c>
      <c r="M162" s="500" t="s">
        <v>778</v>
      </c>
      <c r="N162" s="502"/>
      <c r="O162" s="502"/>
      <c r="P162" s="1731"/>
      <c r="Q162" s="500"/>
      <c r="R162" s="190"/>
      <c r="S162" s="190"/>
      <c r="T162" s="201"/>
      <c r="U162" s="201">
        <v>230</v>
      </c>
      <c r="V162" s="273">
        <f>U162/1.1023-[2]Grinder!$Q$1</f>
        <v>-92.695368774380881</v>
      </c>
      <c r="W162" s="282">
        <f t="shared" si="7"/>
        <v>555.83333333333326</v>
      </c>
    </row>
    <row r="163" spans="1:23" ht="14.5" hidden="1">
      <c r="A163" s="190" t="s">
        <v>744</v>
      </c>
      <c r="B163" s="190" t="s">
        <v>745</v>
      </c>
      <c r="C163" s="500" t="s">
        <v>292</v>
      </c>
      <c r="D163" s="500" t="s">
        <v>47</v>
      </c>
      <c r="E163" s="500" t="s">
        <v>685</v>
      </c>
      <c r="F163" s="499">
        <v>1</v>
      </c>
      <c r="G163" s="499">
        <v>51</v>
      </c>
      <c r="H163" s="499">
        <v>111</v>
      </c>
      <c r="I163" s="495"/>
      <c r="J163" s="501" t="s">
        <v>60</v>
      </c>
      <c r="K163" s="501"/>
      <c r="L163" s="500" t="s">
        <v>418</v>
      </c>
      <c r="M163" s="500" t="s">
        <v>778</v>
      </c>
      <c r="N163" s="502"/>
      <c r="O163" s="502"/>
      <c r="P163" s="1731"/>
      <c r="Q163" s="500"/>
      <c r="R163" s="190"/>
      <c r="S163" s="190"/>
      <c r="T163" s="201"/>
      <c r="U163" s="201">
        <v>230</v>
      </c>
      <c r="V163" s="273">
        <f>U163/1.1023-[2]Grinder!$Q$1</f>
        <v>-92.695368774380881</v>
      </c>
      <c r="W163" s="282">
        <f t="shared" si="7"/>
        <v>425.5</v>
      </c>
    </row>
    <row r="164" spans="1:23" ht="14.5" hidden="1">
      <c r="A164" s="190" t="s">
        <v>744</v>
      </c>
      <c r="B164" s="190" t="s">
        <v>745</v>
      </c>
      <c r="C164" s="500" t="s">
        <v>291</v>
      </c>
      <c r="D164" s="500" t="s">
        <v>47</v>
      </c>
      <c r="E164" s="500" t="s">
        <v>747</v>
      </c>
      <c r="F164" s="499">
        <v>2</v>
      </c>
      <c r="G164" s="499">
        <v>37</v>
      </c>
      <c r="H164" s="499">
        <v>158</v>
      </c>
      <c r="I164" s="495"/>
      <c r="J164" s="501" t="s">
        <v>60</v>
      </c>
      <c r="K164" s="501"/>
      <c r="L164" s="500" t="s">
        <v>418</v>
      </c>
      <c r="M164" s="500" t="s">
        <v>778</v>
      </c>
      <c r="N164" s="502"/>
      <c r="O164" s="502"/>
      <c r="P164" s="1731"/>
      <c r="Q164" s="500"/>
      <c r="R164" s="190"/>
      <c r="S164" s="190"/>
      <c r="T164" s="201"/>
      <c r="U164" s="201">
        <v>230</v>
      </c>
      <c r="V164" s="273">
        <f>U164/1.1023-[2]Grinder!$Q$1</f>
        <v>-92.695368774380881</v>
      </c>
      <c r="W164" s="282">
        <f t="shared" si="7"/>
        <v>605.66666666666663</v>
      </c>
    </row>
    <row r="165" spans="1:23" ht="14.5" hidden="1">
      <c r="A165" s="190" t="s">
        <v>744</v>
      </c>
      <c r="B165" s="190" t="s">
        <v>745</v>
      </c>
      <c r="C165" s="500" t="s">
        <v>289</v>
      </c>
      <c r="D165" s="500" t="s">
        <v>47</v>
      </c>
      <c r="E165" s="500" t="s">
        <v>758</v>
      </c>
      <c r="F165" s="499">
        <v>1</v>
      </c>
      <c r="G165" s="499">
        <v>37</v>
      </c>
      <c r="H165" s="499">
        <v>97</v>
      </c>
      <c r="I165" s="495"/>
      <c r="J165" s="501" t="s">
        <v>60</v>
      </c>
      <c r="K165" s="501"/>
      <c r="L165" s="500" t="s">
        <v>418</v>
      </c>
      <c r="M165" s="500" t="s">
        <v>778</v>
      </c>
      <c r="N165" s="502"/>
      <c r="O165" s="502"/>
      <c r="P165" s="1731"/>
      <c r="Q165" s="500"/>
      <c r="R165" s="190"/>
      <c r="S165" s="190"/>
      <c r="T165" s="201"/>
      <c r="U165" s="201">
        <v>230</v>
      </c>
      <c r="V165" s="273">
        <f>U165/1.1023-[2]Grinder!$Q$1</f>
        <v>-92.695368774380881</v>
      </c>
      <c r="W165" s="282">
        <f t="shared" si="7"/>
        <v>371.83333333333331</v>
      </c>
    </row>
    <row r="166" spans="1:23" ht="14.5" hidden="1">
      <c r="A166" s="190" t="s">
        <v>744</v>
      </c>
      <c r="B166" s="190" t="s">
        <v>745</v>
      </c>
      <c r="C166" s="500" t="s">
        <v>790</v>
      </c>
      <c r="D166" s="500" t="s">
        <v>47</v>
      </c>
      <c r="E166" s="500" t="s">
        <v>791</v>
      </c>
      <c r="F166" s="499">
        <v>0</v>
      </c>
      <c r="G166" s="499">
        <v>59</v>
      </c>
      <c r="H166" s="499">
        <v>59</v>
      </c>
      <c r="I166" s="495"/>
      <c r="J166" s="501" t="s">
        <v>60</v>
      </c>
      <c r="K166" s="501"/>
      <c r="L166" s="500" t="s">
        <v>418</v>
      </c>
      <c r="M166" s="500" t="s">
        <v>778</v>
      </c>
      <c r="N166" s="502"/>
      <c r="O166" s="502"/>
      <c r="P166" s="1731"/>
      <c r="Q166" s="500"/>
      <c r="R166" s="190"/>
      <c r="S166" s="190"/>
      <c r="T166" s="201"/>
      <c r="U166" s="201">
        <v>230</v>
      </c>
      <c r="V166" s="273">
        <f>U166/1.1023-[2]Grinder!$Q$1</f>
        <v>-92.695368774380881</v>
      </c>
      <c r="W166" s="282">
        <f t="shared" si="7"/>
        <v>226.16666666666666</v>
      </c>
    </row>
    <row r="167" spans="1:23" ht="14.5" hidden="1">
      <c r="A167" s="190" t="s">
        <v>744</v>
      </c>
      <c r="B167" s="190" t="s">
        <v>745</v>
      </c>
      <c r="C167" s="500" t="s">
        <v>210</v>
      </c>
      <c r="D167" s="500" t="s">
        <v>47</v>
      </c>
      <c r="E167" s="500" t="s">
        <v>353</v>
      </c>
      <c r="F167" s="499">
        <v>0</v>
      </c>
      <c r="G167" s="499">
        <v>65</v>
      </c>
      <c r="H167" s="499">
        <v>65</v>
      </c>
      <c r="I167" s="495"/>
      <c r="J167" s="501" t="s">
        <v>60</v>
      </c>
      <c r="K167" s="501"/>
      <c r="L167" s="500" t="s">
        <v>418</v>
      </c>
      <c r="M167" s="500" t="s">
        <v>778</v>
      </c>
      <c r="N167" s="502"/>
      <c r="O167" s="502"/>
      <c r="P167" s="1731"/>
      <c r="Q167" s="500"/>
      <c r="R167" s="190"/>
      <c r="S167" s="190"/>
      <c r="T167" s="201"/>
      <c r="U167" s="201">
        <v>230</v>
      </c>
      <c r="V167" s="273">
        <f>U167/1.1023-[2]Grinder!$Q$1</f>
        <v>-92.695368774380881</v>
      </c>
      <c r="W167" s="282">
        <f t="shared" si="7"/>
        <v>249.16666666666666</v>
      </c>
    </row>
    <row r="168" spans="1:23" ht="14.5" hidden="1">
      <c r="A168" s="190" t="s">
        <v>744</v>
      </c>
      <c r="B168" s="190" t="s">
        <v>745</v>
      </c>
      <c r="C168" s="500" t="s">
        <v>274</v>
      </c>
      <c r="D168" s="500" t="s">
        <v>47</v>
      </c>
      <c r="E168" s="500" t="s">
        <v>367</v>
      </c>
      <c r="F168" s="499">
        <v>2</v>
      </c>
      <c r="G168" s="499">
        <v>9</v>
      </c>
      <c r="H168" s="499">
        <v>130</v>
      </c>
      <c r="I168" s="495"/>
      <c r="J168" s="501" t="s">
        <v>60</v>
      </c>
      <c r="K168" s="501"/>
      <c r="L168" s="500" t="s">
        <v>418</v>
      </c>
      <c r="M168" s="500" t="s">
        <v>778</v>
      </c>
      <c r="N168" s="502"/>
      <c r="O168" s="502"/>
      <c r="P168" s="1731"/>
      <c r="Q168" s="500"/>
      <c r="R168" s="190"/>
      <c r="S168" s="190"/>
      <c r="T168" s="201"/>
      <c r="U168" s="201">
        <v>230</v>
      </c>
      <c r="V168" s="273">
        <f>U168/1.1023-[2]Grinder!$Q$1</f>
        <v>-92.695368774380881</v>
      </c>
      <c r="W168" s="282">
        <f t="shared" si="7"/>
        <v>498.33333333333331</v>
      </c>
    </row>
    <row r="169" spans="1:23" ht="14.5" hidden="1">
      <c r="A169" s="190" t="s">
        <v>744</v>
      </c>
      <c r="B169" s="190" t="s">
        <v>745</v>
      </c>
      <c r="C169" s="500" t="s">
        <v>691</v>
      </c>
      <c r="D169" s="500" t="s">
        <v>47</v>
      </c>
      <c r="E169" s="500" t="s">
        <v>757</v>
      </c>
      <c r="F169" s="499">
        <v>1</v>
      </c>
      <c r="G169" s="499">
        <v>46</v>
      </c>
      <c r="H169" s="499">
        <v>106</v>
      </c>
      <c r="I169" s="495"/>
      <c r="J169" s="501" t="s">
        <v>60</v>
      </c>
      <c r="K169" s="501"/>
      <c r="L169" s="500" t="s">
        <v>418</v>
      </c>
      <c r="M169" s="500" t="s">
        <v>778</v>
      </c>
      <c r="N169" s="502"/>
      <c r="O169" s="502"/>
      <c r="P169" s="1731"/>
      <c r="Q169" s="500"/>
      <c r="R169" s="190"/>
      <c r="S169" s="190"/>
      <c r="T169" s="201"/>
      <c r="U169" s="201">
        <v>230</v>
      </c>
      <c r="V169" s="273">
        <f>U169/1.1023-[2]Grinder!$Q$1</f>
        <v>-92.695368774380881</v>
      </c>
      <c r="W169" s="282">
        <f t="shared" si="7"/>
        <v>406.33333333333331</v>
      </c>
    </row>
    <row r="170" spans="1:23" ht="14.5" hidden="1">
      <c r="A170" s="190" t="s">
        <v>744</v>
      </c>
      <c r="B170" s="190" t="s">
        <v>745</v>
      </c>
      <c r="C170" s="500" t="s">
        <v>368</v>
      </c>
      <c r="D170" s="500" t="s">
        <v>47</v>
      </c>
      <c r="E170" s="500" t="s">
        <v>766</v>
      </c>
      <c r="F170" s="499">
        <v>1</v>
      </c>
      <c r="G170" s="499">
        <v>24</v>
      </c>
      <c r="H170" s="499">
        <v>84</v>
      </c>
      <c r="I170" s="495"/>
      <c r="J170" s="501" t="s">
        <v>60</v>
      </c>
      <c r="K170" s="501"/>
      <c r="L170" s="500" t="s">
        <v>418</v>
      </c>
      <c r="M170" s="500" t="s">
        <v>778</v>
      </c>
      <c r="N170" s="502"/>
      <c r="O170" s="502"/>
      <c r="P170" s="1731"/>
      <c r="Q170" s="500"/>
      <c r="R170" s="190"/>
      <c r="S170" s="190"/>
      <c r="T170" s="201"/>
      <c r="U170" s="201">
        <v>230</v>
      </c>
      <c r="V170" s="273">
        <f>U170/1.1023-[2]Grinder!$Q$1</f>
        <v>-92.695368774380881</v>
      </c>
      <c r="W170" s="282">
        <f t="shared" si="7"/>
        <v>322</v>
      </c>
    </row>
    <row r="171" spans="1:23" ht="14.5" hidden="1">
      <c r="A171" s="190" t="s">
        <v>744</v>
      </c>
      <c r="B171" s="190" t="s">
        <v>745</v>
      </c>
      <c r="C171" s="500" t="s">
        <v>369</v>
      </c>
      <c r="D171" s="500" t="s">
        <v>47</v>
      </c>
      <c r="E171" s="500" t="s">
        <v>763</v>
      </c>
      <c r="F171" s="499">
        <v>0</v>
      </c>
      <c r="G171" s="499">
        <v>51</v>
      </c>
      <c r="H171" s="499">
        <v>51</v>
      </c>
      <c r="I171" s="495"/>
      <c r="J171" s="501" t="s">
        <v>60</v>
      </c>
      <c r="K171" s="501"/>
      <c r="L171" s="500" t="s">
        <v>418</v>
      </c>
      <c r="M171" s="500" t="s">
        <v>778</v>
      </c>
      <c r="N171" s="502"/>
      <c r="O171" s="502"/>
      <c r="P171" s="1731"/>
      <c r="Q171" s="500"/>
      <c r="R171" s="190"/>
      <c r="S171" s="190"/>
      <c r="T171" s="201"/>
      <c r="U171" s="201">
        <v>230</v>
      </c>
      <c r="V171" s="273">
        <f>U171/1.1023-[2]Grinder!$Q$1</f>
        <v>-92.695368774380881</v>
      </c>
      <c r="W171" s="282">
        <f t="shared" si="7"/>
        <v>195.5</v>
      </c>
    </row>
    <row r="172" spans="1:23" ht="14.5" hidden="1">
      <c r="A172" s="190" t="s">
        <v>744</v>
      </c>
      <c r="B172" s="190" t="s">
        <v>745</v>
      </c>
      <c r="C172" s="500" t="s">
        <v>692</v>
      </c>
      <c r="D172" s="500" t="s">
        <v>47</v>
      </c>
      <c r="E172" s="500" t="s">
        <v>682</v>
      </c>
      <c r="F172" s="499">
        <v>2</v>
      </c>
      <c r="G172" s="499">
        <v>49</v>
      </c>
      <c r="H172" s="499">
        <v>169</v>
      </c>
      <c r="I172" s="495"/>
      <c r="J172" s="501" t="s">
        <v>63</v>
      </c>
      <c r="K172" s="501"/>
      <c r="L172" s="500" t="s">
        <v>418</v>
      </c>
      <c r="M172" s="500" t="s">
        <v>419</v>
      </c>
      <c r="N172" s="502"/>
      <c r="O172" s="502"/>
      <c r="P172" s="1731"/>
      <c r="Q172" s="500"/>
      <c r="R172" s="190"/>
      <c r="S172" s="190"/>
      <c r="T172" s="201"/>
      <c r="U172" s="201">
        <v>180</v>
      </c>
      <c r="V172" s="273">
        <f>U172/1.1023-[2]Grinder!$Q$1</f>
        <v>-138.05507121473286</v>
      </c>
      <c r="W172" s="282">
        <f t="shared" si="7"/>
        <v>507.00000000000006</v>
      </c>
    </row>
    <row r="173" spans="1:23" ht="14.5" hidden="1">
      <c r="A173" s="190" t="s">
        <v>744</v>
      </c>
      <c r="B173" s="190" t="s">
        <v>745</v>
      </c>
      <c r="C173" s="500" t="s">
        <v>370</v>
      </c>
      <c r="D173" s="500" t="s">
        <v>47</v>
      </c>
      <c r="E173" s="500" t="s">
        <v>361</v>
      </c>
      <c r="F173" s="499">
        <v>1</v>
      </c>
      <c r="G173" s="499">
        <v>50</v>
      </c>
      <c r="H173" s="499">
        <v>110</v>
      </c>
      <c r="I173" s="495"/>
      <c r="J173" s="501" t="s">
        <v>60</v>
      </c>
      <c r="K173" s="501"/>
      <c r="L173" s="500" t="s">
        <v>418</v>
      </c>
      <c r="M173" s="500" t="s">
        <v>778</v>
      </c>
      <c r="N173" s="502"/>
      <c r="O173" s="502"/>
      <c r="P173" s="1731"/>
      <c r="Q173" s="500"/>
      <c r="R173" s="190"/>
      <c r="S173" s="190"/>
      <c r="T173" s="201"/>
      <c r="U173" s="201">
        <v>230</v>
      </c>
      <c r="V173" s="273">
        <f>U173/1.1023-[2]Grinder!$Q$1</f>
        <v>-92.695368774380881</v>
      </c>
      <c r="W173" s="282">
        <f t="shared" si="7"/>
        <v>421.66666666666663</v>
      </c>
    </row>
    <row r="174" spans="1:23" ht="14.5" hidden="1">
      <c r="A174" s="190" t="s">
        <v>744</v>
      </c>
      <c r="B174" s="190" t="s">
        <v>745</v>
      </c>
      <c r="C174" s="500" t="s">
        <v>372</v>
      </c>
      <c r="D174" s="500" t="s">
        <v>47</v>
      </c>
      <c r="E174" s="500" t="s">
        <v>694</v>
      </c>
      <c r="F174" s="499">
        <v>1</v>
      </c>
      <c r="G174" s="499">
        <v>15</v>
      </c>
      <c r="H174" s="499">
        <v>75</v>
      </c>
      <c r="I174" s="495"/>
      <c r="J174" s="501" t="s">
        <v>60</v>
      </c>
      <c r="K174" s="501"/>
      <c r="L174" s="500" t="s">
        <v>418</v>
      </c>
      <c r="M174" s="500" t="s">
        <v>778</v>
      </c>
      <c r="N174" s="502"/>
      <c r="O174" s="502"/>
      <c r="P174" s="1731"/>
      <c r="Q174" s="500"/>
      <c r="R174" s="190"/>
      <c r="S174" s="190"/>
      <c r="T174" s="201"/>
      <c r="U174" s="201">
        <v>230</v>
      </c>
      <c r="V174" s="273">
        <f>U174/1.1023-[2]Grinder!$Q$1</f>
        <v>-92.695368774380881</v>
      </c>
      <c r="W174" s="282">
        <f t="shared" ref="W174:W205" si="8">H174/60*U174*1</f>
        <v>287.5</v>
      </c>
    </row>
    <row r="175" spans="1:23" ht="14.5" hidden="1">
      <c r="A175" s="190" t="s">
        <v>744</v>
      </c>
      <c r="B175" s="190" t="s">
        <v>745</v>
      </c>
      <c r="C175" s="500" t="s">
        <v>695</v>
      </c>
      <c r="D175" s="500" t="s">
        <v>47</v>
      </c>
      <c r="E175" s="500" t="s">
        <v>757</v>
      </c>
      <c r="F175" s="499">
        <v>1</v>
      </c>
      <c r="G175" s="499">
        <v>35</v>
      </c>
      <c r="H175" s="499">
        <v>95</v>
      </c>
      <c r="I175" s="495"/>
      <c r="J175" s="501" t="s">
        <v>63</v>
      </c>
      <c r="K175" s="501"/>
      <c r="L175" s="500" t="s">
        <v>418</v>
      </c>
      <c r="M175" s="500" t="s">
        <v>419</v>
      </c>
      <c r="N175" s="502"/>
      <c r="O175" s="502"/>
      <c r="P175" s="1731"/>
      <c r="Q175" s="500"/>
      <c r="R175" s="190"/>
      <c r="S175" s="190"/>
      <c r="T175" s="201"/>
      <c r="U175" s="201">
        <v>180</v>
      </c>
      <c r="V175" s="273">
        <f>U175/1.1023-[2]Grinder!$Q$1</f>
        <v>-138.05507121473286</v>
      </c>
      <c r="W175" s="282">
        <f t="shared" si="8"/>
        <v>285</v>
      </c>
    </row>
    <row r="176" spans="1:23" ht="14.5" hidden="1">
      <c r="A176" s="190" t="s">
        <v>744</v>
      </c>
      <c r="B176" s="190" t="s">
        <v>745</v>
      </c>
      <c r="C176" s="500" t="s">
        <v>375</v>
      </c>
      <c r="D176" s="500" t="s">
        <v>47</v>
      </c>
      <c r="E176" s="500" t="s">
        <v>763</v>
      </c>
      <c r="F176" s="499">
        <v>2</v>
      </c>
      <c r="G176" s="499">
        <v>16</v>
      </c>
      <c r="H176" s="499">
        <v>137</v>
      </c>
      <c r="I176" s="495"/>
      <c r="J176" s="501" t="s">
        <v>60</v>
      </c>
      <c r="K176" s="501"/>
      <c r="L176" s="500" t="s">
        <v>418</v>
      </c>
      <c r="M176" s="500" t="s">
        <v>778</v>
      </c>
      <c r="N176" s="502"/>
      <c r="O176" s="502"/>
      <c r="P176" s="1731"/>
      <c r="Q176" s="500"/>
      <c r="R176" s="190"/>
      <c r="S176" s="190"/>
      <c r="T176" s="201"/>
      <c r="U176" s="201">
        <v>230</v>
      </c>
      <c r="V176" s="273">
        <f>U176/1.1023-[2]Grinder!$Q$1</f>
        <v>-92.695368774380881</v>
      </c>
      <c r="W176" s="282">
        <f t="shared" si="8"/>
        <v>525.16666666666663</v>
      </c>
    </row>
    <row r="177" spans="1:23" ht="14.5" hidden="1">
      <c r="A177" s="190" t="s">
        <v>744</v>
      </c>
      <c r="B177" s="190" t="s">
        <v>745</v>
      </c>
      <c r="C177" s="500" t="s">
        <v>376</v>
      </c>
      <c r="D177" s="500" t="s">
        <v>47</v>
      </c>
      <c r="E177" s="500" t="s">
        <v>747</v>
      </c>
      <c r="F177" s="499">
        <v>3</v>
      </c>
      <c r="G177" s="499">
        <v>52</v>
      </c>
      <c r="H177" s="499">
        <v>233</v>
      </c>
      <c r="I177" s="495"/>
      <c r="J177" s="501" t="s">
        <v>63</v>
      </c>
      <c r="K177" s="501"/>
      <c r="L177" s="500" t="s">
        <v>418</v>
      </c>
      <c r="M177" s="500" t="s">
        <v>419</v>
      </c>
      <c r="N177" s="502"/>
      <c r="O177" s="502"/>
      <c r="P177" s="1731"/>
      <c r="Q177" s="500"/>
      <c r="R177" s="190"/>
      <c r="S177" s="190"/>
      <c r="T177" s="201"/>
      <c r="U177" s="201">
        <v>180</v>
      </c>
      <c r="V177" s="273">
        <f>U177/1.1023-[2]Grinder!$Q$1</f>
        <v>-138.05507121473286</v>
      </c>
      <c r="W177" s="282">
        <f t="shared" si="8"/>
        <v>699</v>
      </c>
    </row>
    <row r="178" spans="1:23" ht="14.5" hidden="1">
      <c r="A178" s="190" t="s">
        <v>744</v>
      </c>
      <c r="B178" s="190" t="s">
        <v>745</v>
      </c>
      <c r="C178" s="500" t="s">
        <v>377</v>
      </c>
      <c r="D178" s="500" t="s">
        <v>47</v>
      </c>
      <c r="E178" s="500" t="s">
        <v>759</v>
      </c>
      <c r="F178" s="499">
        <v>2</v>
      </c>
      <c r="G178" s="499">
        <v>14</v>
      </c>
      <c r="H178" s="499">
        <v>134</v>
      </c>
      <c r="I178" s="495"/>
      <c r="J178" s="501" t="s">
        <v>63</v>
      </c>
      <c r="K178" s="501"/>
      <c r="L178" s="500" t="s">
        <v>418</v>
      </c>
      <c r="M178" s="500" t="s">
        <v>419</v>
      </c>
      <c r="N178" s="502"/>
      <c r="O178" s="502"/>
      <c r="P178" s="1731"/>
      <c r="Q178" s="500"/>
      <c r="R178" s="190"/>
      <c r="S178" s="190"/>
      <c r="T178" s="201"/>
      <c r="U178" s="201">
        <v>180</v>
      </c>
      <c r="V178" s="273">
        <f>U178/1.1023-[2]Grinder!$Q$1</f>
        <v>-138.05507121473286</v>
      </c>
      <c r="W178" s="282">
        <f t="shared" si="8"/>
        <v>402</v>
      </c>
    </row>
    <row r="179" spans="1:23" ht="14.5" hidden="1">
      <c r="A179" s="190" t="s">
        <v>744</v>
      </c>
      <c r="B179" s="190" t="s">
        <v>745</v>
      </c>
      <c r="C179" s="500" t="s">
        <v>750</v>
      </c>
      <c r="D179" s="500" t="s">
        <v>47</v>
      </c>
      <c r="E179" s="500" t="s">
        <v>747</v>
      </c>
      <c r="F179" s="499">
        <v>0</v>
      </c>
      <c r="G179" s="499">
        <v>31</v>
      </c>
      <c r="H179" s="499">
        <v>31</v>
      </c>
      <c r="I179" s="495"/>
      <c r="J179" s="501" t="s">
        <v>63</v>
      </c>
      <c r="K179" s="501"/>
      <c r="L179" s="500" t="s">
        <v>418</v>
      </c>
      <c r="M179" s="500" t="s">
        <v>419</v>
      </c>
      <c r="N179" s="502"/>
      <c r="O179" s="502"/>
      <c r="P179" s="1731"/>
      <c r="Q179" s="500"/>
      <c r="R179" s="190"/>
      <c r="S179" s="190"/>
      <c r="T179" s="201"/>
      <c r="U179" s="201">
        <v>180</v>
      </c>
      <c r="V179" s="273">
        <f>U179/1.1023-[2]Grinder!$Q$1</f>
        <v>-138.05507121473286</v>
      </c>
      <c r="W179" s="282">
        <f t="shared" si="8"/>
        <v>93.000000000000014</v>
      </c>
    </row>
    <row r="180" spans="1:23" ht="14.5" hidden="1">
      <c r="A180" s="190" t="s">
        <v>744</v>
      </c>
      <c r="B180" s="190" t="s">
        <v>745</v>
      </c>
      <c r="C180" s="500" t="s">
        <v>748</v>
      </c>
      <c r="D180" s="500" t="s">
        <v>47</v>
      </c>
      <c r="E180" s="500" t="s">
        <v>747</v>
      </c>
      <c r="F180" s="499">
        <v>0</v>
      </c>
      <c r="G180" s="499">
        <v>33</v>
      </c>
      <c r="H180" s="499">
        <v>33</v>
      </c>
      <c r="I180" s="495"/>
      <c r="J180" s="501" t="s">
        <v>60</v>
      </c>
      <c r="K180" s="501"/>
      <c r="L180" s="500" t="s">
        <v>418</v>
      </c>
      <c r="M180" s="500" t="s">
        <v>778</v>
      </c>
      <c r="N180" s="502"/>
      <c r="O180" s="502"/>
      <c r="P180" s="1731"/>
      <c r="Q180" s="500"/>
      <c r="R180" s="190"/>
      <c r="S180" s="190"/>
      <c r="T180" s="201"/>
      <c r="U180" s="201">
        <v>230</v>
      </c>
      <c r="V180" s="273">
        <f>U180/1.1023-[2]Grinder!$Q$1</f>
        <v>-92.695368774380881</v>
      </c>
      <c r="W180" s="282">
        <f t="shared" si="8"/>
        <v>126.50000000000001</v>
      </c>
    </row>
    <row r="181" spans="1:23" ht="14.5" hidden="1">
      <c r="A181" s="190" t="s">
        <v>744</v>
      </c>
      <c r="B181" s="190" t="s">
        <v>745</v>
      </c>
      <c r="C181" s="500" t="s">
        <v>746</v>
      </c>
      <c r="D181" s="500" t="s">
        <v>47</v>
      </c>
      <c r="E181" s="500" t="s">
        <v>747</v>
      </c>
      <c r="F181" s="499">
        <v>0</v>
      </c>
      <c r="G181" s="499">
        <v>43</v>
      </c>
      <c r="H181" s="499">
        <v>43</v>
      </c>
      <c r="I181" s="495"/>
      <c r="J181" s="501" t="s">
        <v>60</v>
      </c>
      <c r="K181" s="501"/>
      <c r="L181" s="500" t="s">
        <v>418</v>
      </c>
      <c r="M181" s="500" t="s">
        <v>778</v>
      </c>
      <c r="N181" s="502"/>
      <c r="O181" s="502"/>
      <c r="P181" s="1731"/>
      <c r="Q181" s="500"/>
      <c r="R181" s="190"/>
      <c r="S181" s="190"/>
      <c r="T181" s="201"/>
      <c r="U181" s="201">
        <v>230</v>
      </c>
      <c r="V181" s="273">
        <f>U181/1.1023-[2]Grinder!$Q$1</f>
        <v>-92.695368774380881</v>
      </c>
      <c r="W181" s="282">
        <f t="shared" si="8"/>
        <v>164.83333333333334</v>
      </c>
    </row>
    <row r="182" spans="1:23" ht="14.5" hidden="1">
      <c r="A182" s="190" t="s">
        <v>744</v>
      </c>
      <c r="B182" s="190" t="s">
        <v>745</v>
      </c>
      <c r="C182" s="500" t="s">
        <v>771</v>
      </c>
      <c r="D182" s="500" t="s">
        <v>47</v>
      </c>
      <c r="E182" s="500" t="s">
        <v>772</v>
      </c>
      <c r="F182" s="499">
        <v>1</v>
      </c>
      <c r="G182" s="499">
        <v>26</v>
      </c>
      <c r="H182" s="499">
        <v>86</v>
      </c>
      <c r="I182" s="495"/>
      <c r="J182" s="501" t="s">
        <v>63</v>
      </c>
      <c r="K182" s="501"/>
      <c r="L182" s="500" t="s">
        <v>418</v>
      </c>
      <c r="M182" s="500" t="s">
        <v>419</v>
      </c>
      <c r="N182" s="502"/>
      <c r="O182" s="502"/>
      <c r="P182" s="1732"/>
      <c r="Q182" s="500"/>
      <c r="R182" s="190"/>
      <c r="S182" s="190"/>
      <c r="T182" s="201"/>
      <c r="U182" s="201">
        <v>180</v>
      </c>
      <c r="V182" s="273">
        <f>U182/1.1023-[2]Grinder!$Q$1</f>
        <v>-138.05507121473286</v>
      </c>
      <c r="W182" s="282">
        <f t="shared" si="8"/>
        <v>258</v>
      </c>
    </row>
    <row r="183" spans="1:23" ht="14.5" hidden="1">
      <c r="A183" s="190" t="s">
        <v>744</v>
      </c>
      <c r="B183" s="190" t="s">
        <v>745</v>
      </c>
      <c r="C183" s="503" t="s">
        <v>786</v>
      </c>
      <c r="D183" s="503" t="s">
        <v>46</v>
      </c>
      <c r="E183" s="503" t="s">
        <v>757</v>
      </c>
      <c r="F183" s="504">
        <v>0</v>
      </c>
      <c r="G183" s="504">
        <v>66</v>
      </c>
      <c r="H183" s="504">
        <v>66</v>
      </c>
      <c r="I183" s="505"/>
      <c r="J183" s="506" t="s">
        <v>59</v>
      </c>
      <c r="K183" s="506"/>
      <c r="L183" s="503" t="s">
        <v>418</v>
      </c>
      <c r="M183" s="503" t="s">
        <v>436</v>
      </c>
      <c r="N183" s="507"/>
      <c r="O183" s="507"/>
      <c r="P183" s="1733" t="s">
        <v>1090</v>
      </c>
      <c r="Q183" s="503"/>
      <c r="R183" s="190"/>
      <c r="S183" s="190"/>
      <c r="T183" s="201"/>
      <c r="U183" s="201">
        <v>275</v>
      </c>
      <c r="V183" s="273">
        <f>U183/1.1023-[2]Grinder!$Q$1</f>
        <v>-51.871636578064084</v>
      </c>
      <c r="W183" s="282">
        <f t="shared" si="8"/>
        <v>302.5</v>
      </c>
    </row>
    <row r="184" spans="1:23" ht="14.5" hidden="1">
      <c r="A184" s="190" t="s">
        <v>744</v>
      </c>
      <c r="B184" s="190" t="s">
        <v>745</v>
      </c>
      <c r="C184" s="503" t="s">
        <v>340</v>
      </c>
      <c r="D184" s="503" t="s">
        <v>46</v>
      </c>
      <c r="E184" s="503" t="s">
        <v>751</v>
      </c>
      <c r="F184" s="504">
        <v>1</v>
      </c>
      <c r="G184" s="504">
        <v>29</v>
      </c>
      <c r="H184" s="504">
        <v>89</v>
      </c>
      <c r="I184" s="505"/>
      <c r="J184" s="506" t="s">
        <v>59</v>
      </c>
      <c r="K184" s="506"/>
      <c r="L184" s="503" t="s">
        <v>418</v>
      </c>
      <c r="M184" s="503" t="s">
        <v>436</v>
      </c>
      <c r="N184" s="507"/>
      <c r="O184" s="507"/>
      <c r="P184" s="1734"/>
      <c r="Q184" s="503"/>
      <c r="R184" s="190"/>
      <c r="S184" s="190"/>
      <c r="T184" s="201"/>
      <c r="U184" s="201">
        <v>275</v>
      </c>
      <c r="V184" s="273">
        <f>U184/1.1023-[2]Grinder!$Q$1</f>
        <v>-51.871636578064084</v>
      </c>
      <c r="W184" s="282">
        <f t="shared" si="8"/>
        <v>407.91666666666669</v>
      </c>
    </row>
    <row r="185" spans="1:23" ht="14.5" hidden="1">
      <c r="A185" s="190" t="s">
        <v>744</v>
      </c>
      <c r="B185" s="190" t="s">
        <v>745</v>
      </c>
      <c r="C185" s="503" t="s">
        <v>201</v>
      </c>
      <c r="D185" s="503" t="s">
        <v>46</v>
      </c>
      <c r="E185" s="503" t="s">
        <v>752</v>
      </c>
      <c r="F185" s="504">
        <v>1</v>
      </c>
      <c r="G185" s="504">
        <v>20</v>
      </c>
      <c r="H185" s="504">
        <v>80</v>
      </c>
      <c r="I185" s="505"/>
      <c r="J185" s="506" t="s">
        <v>59</v>
      </c>
      <c r="K185" s="506"/>
      <c r="L185" s="503" t="s">
        <v>418</v>
      </c>
      <c r="M185" s="503" t="s">
        <v>436</v>
      </c>
      <c r="N185" s="507"/>
      <c r="O185" s="507"/>
      <c r="P185" s="1734"/>
      <c r="Q185" s="503"/>
      <c r="R185" s="190"/>
      <c r="S185" s="190"/>
      <c r="T185" s="201"/>
      <c r="U185" s="201">
        <v>275</v>
      </c>
      <c r="V185" s="273">
        <f>U185/1.1023-[2]Grinder!$Q$1</f>
        <v>-51.871636578064084</v>
      </c>
      <c r="W185" s="282">
        <f t="shared" si="8"/>
        <v>366.66666666666663</v>
      </c>
    </row>
    <row r="186" spans="1:23" ht="14.5" hidden="1">
      <c r="A186" s="190" t="s">
        <v>744</v>
      </c>
      <c r="B186" s="190" t="s">
        <v>745</v>
      </c>
      <c r="C186" s="503" t="s">
        <v>339</v>
      </c>
      <c r="D186" s="503" t="s">
        <v>46</v>
      </c>
      <c r="E186" s="503" t="s">
        <v>747</v>
      </c>
      <c r="F186" s="504">
        <v>2</v>
      </c>
      <c r="G186" s="504">
        <v>22</v>
      </c>
      <c r="H186" s="504">
        <v>141</v>
      </c>
      <c r="I186" s="505"/>
      <c r="J186" s="506" t="s">
        <v>60</v>
      </c>
      <c r="K186" s="506"/>
      <c r="L186" s="503" t="s">
        <v>418</v>
      </c>
      <c r="M186" s="503" t="s">
        <v>778</v>
      </c>
      <c r="N186" s="507"/>
      <c r="O186" s="507"/>
      <c r="P186" s="1734"/>
      <c r="Q186" s="503"/>
      <c r="R186" s="190"/>
      <c r="S186" s="190"/>
      <c r="T186" s="201"/>
      <c r="U186" s="201">
        <v>230</v>
      </c>
      <c r="V186" s="273">
        <f>U186/1.1023-[2]Grinder!$Q$1</f>
        <v>-92.695368774380881</v>
      </c>
      <c r="W186" s="282">
        <f t="shared" si="8"/>
        <v>540.5</v>
      </c>
    </row>
    <row r="187" spans="1:23" ht="14.5" hidden="1">
      <c r="A187" s="190" t="s">
        <v>744</v>
      </c>
      <c r="B187" s="190" t="s">
        <v>745</v>
      </c>
      <c r="C187" s="503" t="s">
        <v>202</v>
      </c>
      <c r="D187" s="503" t="s">
        <v>46</v>
      </c>
      <c r="E187" s="503" t="s">
        <v>792</v>
      </c>
      <c r="F187" s="504">
        <v>0</v>
      </c>
      <c r="G187" s="504">
        <v>59</v>
      </c>
      <c r="H187" s="504">
        <v>59</v>
      </c>
      <c r="I187" s="505"/>
      <c r="J187" s="506" t="s">
        <v>59</v>
      </c>
      <c r="K187" s="506"/>
      <c r="L187" s="503" t="s">
        <v>418</v>
      </c>
      <c r="M187" s="503" t="s">
        <v>436</v>
      </c>
      <c r="N187" s="507"/>
      <c r="O187" s="507"/>
      <c r="P187" s="1734"/>
      <c r="Q187" s="503"/>
      <c r="R187" s="190"/>
      <c r="S187" s="190"/>
      <c r="T187" s="201"/>
      <c r="U187" s="201">
        <v>275</v>
      </c>
      <c r="V187" s="273">
        <f>U187/1.1023-[2]Grinder!$Q$1</f>
        <v>-51.871636578064084</v>
      </c>
      <c r="W187" s="282">
        <f t="shared" si="8"/>
        <v>270.41666666666663</v>
      </c>
    </row>
    <row r="188" spans="1:23" ht="14.5" hidden="1">
      <c r="A188" s="190" t="s">
        <v>744</v>
      </c>
      <c r="B188" s="190" t="s">
        <v>745</v>
      </c>
      <c r="C188" s="503" t="s">
        <v>754</v>
      </c>
      <c r="D188" s="503" t="s">
        <v>46</v>
      </c>
      <c r="E188" s="503" t="s">
        <v>755</v>
      </c>
      <c r="F188" s="504">
        <v>1</v>
      </c>
      <c r="G188" s="504">
        <v>24</v>
      </c>
      <c r="H188" s="504">
        <v>84</v>
      </c>
      <c r="I188" s="505"/>
      <c r="J188" s="506" t="s">
        <v>59</v>
      </c>
      <c r="K188" s="506"/>
      <c r="L188" s="503" t="s">
        <v>418</v>
      </c>
      <c r="M188" s="503" t="s">
        <v>436</v>
      </c>
      <c r="N188" s="507"/>
      <c r="O188" s="507"/>
      <c r="P188" s="1734"/>
      <c r="Q188" s="503"/>
      <c r="R188" s="190"/>
      <c r="S188" s="190"/>
      <c r="T188" s="201"/>
      <c r="U188" s="201">
        <v>275</v>
      </c>
      <c r="V188" s="273">
        <f>U188/1.1023-[2]Grinder!$Q$1</f>
        <v>-51.871636578064084</v>
      </c>
      <c r="W188" s="282">
        <f t="shared" si="8"/>
        <v>385</v>
      </c>
    </row>
    <row r="189" spans="1:23" ht="14.5" hidden="1">
      <c r="A189" s="190" t="s">
        <v>744</v>
      </c>
      <c r="B189" s="190" t="s">
        <v>745</v>
      </c>
      <c r="C189" s="503" t="s">
        <v>787</v>
      </c>
      <c r="D189" s="503" t="s">
        <v>46</v>
      </c>
      <c r="E189" s="503" t="s">
        <v>682</v>
      </c>
      <c r="F189" s="504">
        <v>0</v>
      </c>
      <c r="G189" s="504">
        <v>50</v>
      </c>
      <c r="H189" s="504">
        <v>50</v>
      </c>
      <c r="I189" s="505"/>
      <c r="J189" s="506" t="s">
        <v>59</v>
      </c>
      <c r="K189" s="506"/>
      <c r="L189" s="503" t="s">
        <v>418</v>
      </c>
      <c r="M189" s="503" t="s">
        <v>436</v>
      </c>
      <c r="N189" s="507"/>
      <c r="O189" s="507"/>
      <c r="P189" s="1734"/>
      <c r="Q189" s="503"/>
      <c r="R189" s="190"/>
      <c r="S189" s="190"/>
      <c r="T189" s="201"/>
      <c r="U189" s="201">
        <v>275</v>
      </c>
      <c r="V189" s="273">
        <f>U189/1.1023-[2]Grinder!$Q$1</f>
        <v>-51.871636578064084</v>
      </c>
      <c r="W189" s="282">
        <f t="shared" si="8"/>
        <v>229.16666666666669</v>
      </c>
    </row>
    <row r="190" spans="1:23" ht="14.5" hidden="1">
      <c r="A190" s="190" t="s">
        <v>744</v>
      </c>
      <c r="B190" s="190" t="s">
        <v>745</v>
      </c>
      <c r="C190" s="503" t="s">
        <v>178</v>
      </c>
      <c r="D190" s="503" t="s">
        <v>46</v>
      </c>
      <c r="E190" s="503" t="s">
        <v>756</v>
      </c>
      <c r="F190" s="504">
        <v>0</v>
      </c>
      <c r="G190" s="504">
        <v>55</v>
      </c>
      <c r="H190" s="504">
        <v>55</v>
      </c>
      <c r="I190" s="505"/>
      <c r="J190" s="506" t="s">
        <v>59</v>
      </c>
      <c r="K190" s="506"/>
      <c r="L190" s="503" t="s">
        <v>418</v>
      </c>
      <c r="M190" s="503" t="s">
        <v>436</v>
      </c>
      <c r="N190" s="507"/>
      <c r="O190" s="507"/>
      <c r="P190" s="1734"/>
      <c r="Q190" s="503"/>
      <c r="R190" s="190"/>
      <c r="S190" s="190"/>
      <c r="T190" s="201"/>
      <c r="U190" s="201">
        <v>275</v>
      </c>
      <c r="V190" s="273">
        <f>U190/1.1023-[2]Grinder!$Q$1</f>
        <v>-51.871636578064084</v>
      </c>
      <c r="W190" s="282">
        <f t="shared" si="8"/>
        <v>252.08333333333331</v>
      </c>
    </row>
    <row r="191" spans="1:23" ht="14.5" hidden="1">
      <c r="A191" s="190" t="s">
        <v>744</v>
      </c>
      <c r="B191" s="190" t="s">
        <v>745</v>
      </c>
      <c r="C191" s="503" t="s">
        <v>179</v>
      </c>
      <c r="D191" s="503" t="s">
        <v>46</v>
      </c>
      <c r="E191" s="503" t="s">
        <v>352</v>
      </c>
      <c r="F191" s="504">
        <v>1</v>
      </c>
      <c r="G191" s="504">
        <v>34</v>
      </c>
      <c r="H191" s="504">
        <v>94</v>
      </c>
      <c r="I191" s="505"/>
      <c r="J191" s="506" t="s">
        <v>59</v>
      </c>
      <c r="K191" s="506"/>
      <c r="L191" s="503" t="s">
        <v>418</v>
      </c>
      <c r="M191" s="503" t="s">
        <v>436</v>
      </c>
      <c r="N191" s="507"/>
      <c r="O191" s="507"/>
      <c r="P191" s="1734"/>
      <c r="Q191" s="503"/>
      <c r="R191" s="190"/>
      <c r="S191" s="190"/>
      <c r="T191" s="201"/>
      <c r="U191" s="201">
        <v>275</v>
      </c>
      <c r="V191" s="273">
        <f>U191/1.1023-[2]Grinder!$Q$1</f>
        <v>-51.871636578064084</v>
      </c>
      <c r="W191" s="282">
        <f t="shared" si="8"/>
        <v>430.83333333333331</v>
      </c>
    </row>
    <row r="192" spans="1:23" ht="14.5" hidden="1">
      <c r="A192" s="190" t="s">
        <v>744</v>
      </c>
      <c r="B192" s="190" t="s">
        <v>745</v>
      </c>
      <c r="C192" s="503" t="s">
        <v>216</v>
      </c>
      <c r="D192" s="503" t="s">
        <v>46</v>
      </c>
      <c r="E192" s="503" t="s">
        <v>683</v>
      </c>
      <c r="F192" s="504">
        <v>1</v>
      </c>
      <c r="G192" s="504">
        <v>43</v>
      </c>
      <c r="H192" s="504">
        <v>103</v>
      </c>
      <c r="I192" s="505"/>
      <c r="J192" s="506" t="s">
        <v>59</v>
      </c>
      <c r="K192" s="506"/>
      <c r="L192" s="503" t="s">
        <v>418</v>
      </c>
      <c r="M192" s="503" t="s">
        <v>436</v>
      </c>
      <c r="N192" s="507"/>
      <c r="O192" s="507"/>
      <c r="P192" s="1734"/>
      <c r="Q192" s="503"/>
      <c r="R192" s="190"/>
      <c r="S192" s="190"/>
      <c r="T192" s="201"/>
      <c r="U192" s="201">
        <v>275</v>
      </c>
      <c r="V192" s="273">
        <f>U192/1.1023-[2]Grinder!$Q$1</f>
        <v>-51.871636578064084</v>
      </c>
      <c r="W192" s="282">
        <f t="shared" si="8"/>
        <v>472.08333333333331</v>
      </c>
    </row>
    <row r="193" spans="1:23" ht="14.5" hidden="1">
      <c r="A193" s="190" t="s">
        <v>744</v>
      </c>
      <c r="B193" s="190" t="s">
        <v>745</v>
      </c>
      <c r="C193" s="503" t="s">
        <v>203</v>
      </c>
      <c r="D193" s="503" t="s">
        <v>46</v>
      </c>
      <c r="E193" s="503" t="s">
        <v>239</v>
      </c>
      <c r="F193" s="504">
        <v>1</v>
      </c>
      <c r="G193" s="504">
        <v>48</v>
      </c>
      <c r="H193" s="504">
        <v>108</v>
      </c>
      <c r="I193" s="505"/>
      <c r="J193" s="506" t="s">
        <v>59</v>
      </c>
      <c r="K193" s="506"/>
      <c r="L193" s="503" t="s">
        <v>418</v>
      </c>
      <c r="M193" s="503" t="s">
        <v>436</v>
      </c>
      <c r="N193" s="507"/>
      <c r="O193" s="507"/>
      <c r="P193" s="1734"/>
      <c r="Q193" s="503"/>
      <c r="R193" s="190"/>
      <c r="S193" s="190"/>
      <c r="T193" s="201"/>
      <c r="U193" s="201">
        <v>305</v>
      </c>
      <c r="V193" s="273">
        <f>U193/1.1023-[2]Grinder!$Q$1</f>
        <v>-24.655815113852896</v>
      </c>
      <c r="W193" s="282">
        <f t="shared" si="8"/>
        <v>549</v>
      </c>
    </row>
    <row r="194" spans="1:23" ht="14.5" hidden="1">
      <c r="A194" s="190" t="s">
        <v>744</v>
      </c>
      <c r="B194" s="190" t="s">
        <v>745</v>
      </c>
      <c r="C194" s="503" t="s">
        <v>209</v>
      </c>
      <c r="D194" s="503" t="s">
        <v>46</v>
      </c>
      <c r="E194" s="503" t="s">
        <v>757</v>
      </c>
      <c r="F194" s="504">
        <v>2</v>
      </c>
      <c r="G194" s="504">
        <v>16</v>
      </c>
      <c r="H194" s="504">
        <v>137</v>
      </c>
      <c r="I194" s="505"/>
      <c r="J194" s="506" t="s">
        <v>59</v>
      </c>
      <c r="K194" s="506"/>
      <c r="L194" s="503" t="s">
        <v>418</v>
      </c>
      <c r="M194" s="503" t="s">
        <v>436</v>
      </c>
      <c r="N194" s="507"/>
      <c r="O194" s="507"/>
      <c r="P194" s="1734"/>
      <c r="Q194" s="503"/>
      <c r="R194" s="190"/>
      <c r="S194" s="190"/>
      <c r="T194" s="201"/>
      <c r="U194" s="201">
        <v>305</v>
      </c>
      <c r="V194" s="273">
        <f>U194/1.1023-[2]Grinder!$Q$1</f>
        <v>-24.655815113852896</v>
      </c>
      <c r="W194" s="282">
        <f t="shared" si="8"/>
        <v>696.41666666666663</v>
      </c>
    </row>
    <row r="195" spans="1:23" ht="14.5" hidden="1">
      <c r="A195" s="190" t="s">
        <v>744</v>
      </c>
      <c r="B195" s="190" t="s">
        <v>745</v>
      </c>
      <c r="C195" s="503" t="s">
        <v>336</v>
      </c>
      <c r="D195" s="503" t="s">
        <v>46</v>
      </c>
      <c r="E195" s="503" t="s">
        <v>756</v>
      </c>
      <c r="F195" s="504">
        <v>2</v>
      </c>
      <c r="G195" s="504">
        <v>21</v>
      </c>
      <c r="H195" s="504">
        <v>141</v>
      </c>
      <c r="I195" s="505"/>
      <c r="J195" s="506" t="s">
        <v>59</v>
      </c>
      <c r="K195" s="506"/>
      <c r="L195" s="503" t="s">
        <v>418</v>
      </c>
      <c r="M195" s="503" t="s">
        <v>436</v>
      </c>
      <c r="N195" s="507"/>
      <c r="O195" s="507"/>
      <c r="P195" s="1734"/>
      <c r="Q195" s="503"/>
      <c r="R195" s="190"/>
      <c r="S195" s="190"/>
      <c r="T195" s="201"/>
      <c r="U195" s="201">
        <v>305</v>
      </c>
      <c r="V195" s="273">
        <f>U195/1.1023-[2]Grinder!$Q$1</f>
        <v>-24.655815113852896</v>
      </c>
      <c r="W195" s="282">
        <f t="shared" si="8"/>
        <v>716.75</v>
      </c>
    </row>
    <row r="196" spans="1:23" ht="14.5" hidden="1">
      <c r="A196" s="190" t="s">
        <v>744</v>
      </c>
      <c r="B196" s="190" t="s">
        <v>745</v>
      </c>
      <c r="C196" s="503" t="s">
        <v>192</v>
      </c>
      <c r="D196" s="503" t="s">
        <v>46</v>
      </c>
      <c r="E196" s="503" t="s">
        <v>357</v>
      </c>
      <c r="F196" s="504">
        <v>2</v>
      </c>
      <c r="G196" s="504">
        <v>64</v>
      </c>
      <c r="H196" s="504">
        <v>187</v>
      </c>
      <c r="I196" s="505"/>
      <c r="J196" s="506" t="s">
        <v>59</v>
      </c>
      <c r="K196" s="506"/>
      <c r="L196" s="503" t="s">
        <v>418</v>
      </c>
      <c r="M196" s="503" t="s">
        <v>436</v>
      </c>
      <c r="N196" s="507"/>
      <c r="O196" s="507"/>
      <c r="P196" s="1734"/>
      <c r="Q196" s="503"/>
      <c r="R196" s="190"/>
      <c r="S196" s="190"/>
      <c r="T196" s="201"/>
      <c r="U196" s="201">
        <v>305</v>
      </c>
      <c r="V196" s="273">
        <f>U196/1.1023-[2]Grinder!$Q$1</f>
        <v>-24.655815113852896</v>
      </c>
      <c r="W196" s="282">
        <f t="shared" si="8"/>
        <v>950.58333333333337</v>
      </c>
    </row>
    <row r="197" spans="1:23" ht="14.5" hidden="1">
      <c r="A197" s="190" t="s">
        <v>744</v>
      </c>
      <c r="B197" s="190" t="s">
        <v>745</v>
      </c>
      <c r="C197" s="503" t="s">
        <v>232</v>
      </c>
      <c r="D197" s="503" t="s">
        <v>46</v>
      </c>
      <c r="E197" s="503" t="s">
        <v>758</v>
      </c>
      <c r="F197" s="504">
        <v>2</v>
      </c>
      <c r="G197" s="504">
        <v>19</v>
      </c>
      <c r="H197" s="504">
        <v>139</v>
      </c>
      <c r="I197" s="505"/>
      <c r="J197" s="506" t="s">
        <v>59</v>
      </c>
      <c r="K197" s="506"/>
      <c r="L197" s="503" t="s">
        <v>418</v>
      </c>
      <c r="M197" s="503" t="s">
        <v>436</v>
      </c>
      <c r="N197" s="507"/>
      <c r="O197" s="507"/>
      <c r="P197" s="1734"/>
      <c r="Q197" s="503"/>
      <c r="R197" s="190"/>
      <c r="S197" s="190"/>
      <c r="T197" s="201"/>
      <c r="U197" s="201">
        <v>305</v>
      </c>
      <c r="V197" s="273">
        <f>U197/1.1023-[2]Grinder!$Q$1</f>
        <v>-24.655815113852896</v>
      </c>
      <c r="W197" s="282">
        <f t="shared" si="8"/>
        <v>706.58333333333337</v>
      </c>
    </row>
    <row r="198" spans="1:23" ht="14.5" hidden="1">
      <c r="A198" s="190" t="s">
        <v>744</v>
      </c>
      <c r="B198" s="190" t="s">
        <v>745</v>
      </c>
      <c r="C198" s="503" t="s">
        <v>191</v>
      </c>
      <c r="D198" s="503" t="s">
        <v>46</v>
      </c>
      <c r="E198" s="503" t="s">
        <v>353</v>
      </c>
      <c r="F198" s="504">
        <v>1</v>
      </c>
      <c r="G198" s="504">
        <v>28</v>
      </c>
      <c r="H198" s="504">
        <v>88</v>
      </c>
      <c r="I198" s="505"/>
      <c r="J198" s="506" t="s">
        <v>59</v>
      </c>
      <c r="K198" s="506"/>
      <c r="L198" s="503" t="s">
        <v>418</v>
      </c>
      <c r="M198" s="503" t="s">
        <v>436</v>
      </c>
      <c r="N198" s="507"/>
      <c r="O198" s="507"/>
      <c r="P198" s="1734"/>
      <c r="Q198" s="503"/>
      <c r="R198" s="190"/>
      <c r="S198" s="190"/>
      <c r="T198" s="201"/>
      <c r="U198" s="201">
        <v>305</v>
      </c>
      <c r="V198" s="273">
        <f>U198/1.1023-[2]Grinder!$Q$1</f>
        <v>-24.655815113852896</v>
      </c>
      <c r="W198" s="282">
        <f t="shared" si="8"/>
        <v>447.33333333333331</v>
      </c>
    </row>
    <row r="199" spans="1:23" ht="14.5" hidden="1">
      <c r="A199" s="190" t="s">
        <v>744</v>
      </c>
      <c r="B199" s="190" t="s">
        <v>745</v>
      </c>
      <c r="C199" s="503" t="s">
        <v>220</v>
      </c>
      <c r="D199" s="503" t="s">
        <v>46</v>
      </c>
      <c r="E199" s="503" t="s">
        <v>747</v>
      </c>
      <c r="F199" s="504">
        <v>2</v>
      </c>
      <c r="G199" s="504">
        <v>11</v>
      </c>
      <c r="H199" s="504">
        <v>130</v>
      </c>
      <c r="I199" s="505"/>
      <c r="J199" s="506" t="s">
        <v>59</v>
      </c>
      <c r="K199" s="506"/>
      <c r="L199" s="503" t="s">
        <v>418</v>
      </c>
      <c r="M199" s="503" t="s">
        <v>436</v>
      </c>
      <c r="N199" s="507"/>
      <c r="O199" s="507"/>
      <c r="P199" s="1734"/>
      <c r="Q199" s="503"/>
      <c r="R199" s="190"/>
      <c r="S199" s="190"/>
      <c r="T199" s="201"/>
      <c r="U199" s="201">
        <v>305</v>
      </c>
      <c r="V199" s="273">
        <f>U199/1.1023-[2]Grinder!$Q$1</f>
        <v>-24.655815113852896</v>
      </c>
      <c r="W199" s="282">
        <f t="shared" si="8"/>
        <v>660.83333333333326</v>
      </c>
    </row>
    <row r="200" spans="1:23" ht="14.5" hidden="1">
      <c r="A200" s="190" t="s">
        <v>744</v>
      </c>
      <c r="B200" s="190" t="s">
        <v>745</v>
      </c>
      <c r="C200" s="503" t="s">
        <v>205</v>
      </c>
      <c r="D200" s="503" t="s">
        <v>46</v>
      </c>
      <c r="E200" s="503" t="s">
        <v>755</v>
      </c>
      <c r="F200" s="504">
        <v>1</v>
      </c>
      <c r="G200" s="504">
        <v>15</v>
      </c>
      <c r="H200" s="504">
        <v>75</v>
      </c>
      <c r="I200" s="505"/>
      <c r="J200" s="506" t="s">
        <v>59</v>
      </c>
      <c r="K200" s="506"/>
      <c r="L200" s="503" t="s">
        <v>418</v>
      </c>
      <c r="M200" s="503" t="s">
        <v>436</v>
      </c>
      <c r="N200" s="507"/>
      <c r="O200" s="507"/>
      <c r="P200" s="1734"/>
      <c r="Q200" s="503"/>
      <c r="R200" s="190"/>
      <c r="S200" s="190"/>
      <c r="T200" s="201"/>
      <c r="U200" s="201">
        <v>305</v>
      </c>
      <c r="V200" s="273">
        <f>U200/1.1023-[2]Grinder!$Q$1</f>
        <v>-24.655815113852896</v>
      </c>
      <c r="W200" s="282">
        <f t="shared" si="8"/>
        <v>381.25</v>
      </c>
    </row>
    <row r="201" spans="1:23" ht="14.5" hidden="1">
      <c r="A201" s="190" t="s">
        <v>744</v>
      </c>
      <c r="B201" s="190" t="s">
        <v>745</v>
      </c>
      <c r="C201" s="503" t="s">
        <v>182</v>
      </c>
      <c r="D201" s="503" t="s">
        <v>46</v>
      </c>
      <c r="E201" s="503" t="s">
        <v>759</v>
      </c>
      <c r="F201" s="504">
        <v>1</v>
      </c>
      <c r="G201" s="504">
        <v>23</v>
      </c>
      <c r="H201" s="504">
        <v>83</v>
      </c>
      <c r="I201" s="505"/>
      <c r="J201" s="506" t="s">
        <v>59</v>
      </c>
      <c r="K201" s="506"/>
      <c r="L201" s="503" t="s">
        <v>418</v>
      </c>
      <c r="M201" s="503" t="s">
        <v>436</v>
      </c>
      <c r="N201" s="507"/>
      <c r="O201" s="507"/>
      <c r="P201" s="1734"/>
      <c r="Q201" s="503"/>
      <c r="R201" s="190"/>
      <c r="S201" s="190"/>
      <c r="T201" s="201"/>
      <c r="U201" s="201">
        <v>305</v>
      </c>
      <c r="V201" s="273">
        <f>U201/1.1023-[2]Grinder!$Q$1</f>
        <v>-24.655815113852896</v>
      </c>
      <c r="W201" s="282">
        <f t="shared" si="8"/>
        <v>421.91666666666669</v>
      </c>
    </row>
    <row r="202" spans="1:23" ht="14.5" hidden="1">
      <c r="A202" s="190" t="s">
        <v>744</v>
      </c>
      <c r="B202" s="190" t="s">
        <v>745</v>
      </c>
      <c r="C202" s="503" t="s">
        <v>760</v>
      </c>
      <c r="D202" s="503" t="s">
        <v>46</v>
      </c>
      <c r="E202" s="503" t="s">
        <v>747</v>
      </c>
      <c r="F202" s="504">
        <v>0</v>
      </c>
      <c r="G202" s="504">
        <v>61</v>
      </c>
      <c r="H202" s="504">
        <v>61</v>
      </c>
      <c r="I202" s="505"/>
      <c r="J202" s="506" t="s">
        <v>59</v>
      </c>
      <c r="K202" s="506"/>
      <c r="L202" s="503" t="s">
        <v>418</v>
      </c>
      <c r="M202" s="503" t="s">
        <v>436</v>
      </c>
      <c r="N202" s="507"/>
      <c r="O202" s="507"/>
      <c r="P202" s="1734"/>
      <c r="Q202" s="503"/>
      <c r="R202" s="190"/>
      <c r="S202" s="190"/>
      <c r="T202" s="201"/>
      <c r="U202" s="201">
        <v>305</v>
      </c>
      <c r="V202" s="273">
        <f>U202/1.1023-[2]Grinder!$Q$1</f>
        <v>-24.655815113852896</v>
      </c>
      <c r="W202" s="282">
        <f t="shared" si="8"/>
        <v>310.08333333333331</v>
      </c>
    </row>
    <row r="203" spans="1:23" ht="14.5" hidden="1">
      <c r="A203" s="190" t="s">
        <v>744</v>
      </c>
      <c r="B203" s="190" t="s">
        <v>745</v>
      </c>
      <c r="C203" s="503" t="s">
        <v>223</v>
      </c>
      <c r="D203" s="503" t="s">
        <v>46</v>
      </c>
      <c r="E203" s="503" t="s">
        <v>359</v>
      </c>
      <c r="F203" s="504">
        <v>1</v>
      </c>
      <c r="G203" s="504">
        <v>55</v>
      </c>
      <c r="H203" s="504">
        <v>115</v>
      </c>
      <c r="I203" s="505"/>
      <c r="J203" s="506" t="s">
        <v>59</v>
      </c>
      <c r="K203" s="506"/>
      <c r="L203" s="503" t="s">
        <v>418</v>
      </c>
      <c r="M203" s="503" t="s">
        <v>436</v>
      </c>
      <c r="N203" s="507"/>
      <c r="O203" s="507"/>
      <c r="P203" s="1734"/>
      <c r="Q203" s="503"/>
      <c r="R203" s="190"/>
      <c r="S203" s="190"/>
      <c r="T203" s="201"/>
      <c r="U203" s="201">
        <v>305</v>
      </c>
      <c r="V203" s="273">
        <f>U203/1.1023-[2]Grinder!$Q$1</f>
        <v>-24.655815113852896</v>
      </c>
      <c r="W203" s="282">
        <f t="shared" si="8"/>
        <v>584.58333333333337</v>
      </c>
    </row>
    <row r="204" spans="1:23" ht="14.5" hidden="1">
      <c r="A204" s="190" t="s">
        <v>744</v>
      </c>
      <c r="B204" s="190" t="s">
        <v>745</v>
      </c>
      <c r="C204" s="503" t="s">
        <v>184</v>
      </c>
      <c r="D204" s="503" t="s">
        <v>46</v>
      </c>
      <c r="E204" s="503" t="s">
        <v>683</v>
      </c>
      <c r="F204" s="504">
        <v>0</v>
      </c>
      <c r="G204" s="504">
        <v>51</v>
      </c>
      <c r="H204" s="504">
        <v>51</v>
      </c>
      <c r="I204" s="505"/>
      <c r="J204" s="506" t="s">
        <v>59</v>
      </c>
      <c r="K204" s="506"/>
      <c r="L204" s="503" t="s">
        <v>418</v>
      </c>
      <c r="M204" s="503" t="s">
        <v>436</v>
      </c>
      <c r="N204" s="507"/>
      <c r="O204" s="507"/>
      <c r="P204" s="1734"/>
      <c r="Q204" s="503"/>
      <c r="R204" s="190"/>
      <c r="S204" s="190"/>
      <c r="T204" s="201"/>
      <c r="U204" s="201">
        <v>305</v>
      </c>
      <c r="V204" s="273">
        <f>U204/1.1023-[2]Grinder!$Q$1</f>
        <v>-24.655815113852896</v>
      </c>
      <c r="W204" s="282">
        <f t="shared" si="8"/>
        <v>259.25</v>
      </c>
    </row>
    <row r="205" spans="1:23" ht="14.5" hidden="1">
      <c r="A205" s="190" t="s">
        <v>744</v>
      </c>
      <c r="B205" s="190" t="s">
        <v>745</v>
      </c>
      <c r="C205" s="503" t="s">
        <v>222</v>
      </c>
      <c r="D205" s="503" t="s">
        <v>46</v>
      </c>
      <c r="E205" s="503" t="s">
        <v>747</v>
      </c>
      <c r="F205" s="504">
        <v>1</v>
      </c>
      <c r="G205" s="504">
        <v>49</v>
      </c>
      <c r="H205" s="504">
        <v>108</v>
      </c>
      <c r="I205" s="505"/>
      <c r="J205" s="506" t="s">
        <v>59</v>
      </c>
      <c r="K205" s="506"/>
      <c r="L205" s="503" t="s">
        <v>418</v>
      </c>
      <c r="M205" s="503" t="s">
        <v>436</v>
      </c>
      <c r="N205" s="507"/>
      <c r="O205" s="507"/>
      <c r="P205" s="1734"/>
      <c r="Q205" s="503"/>
      <c r="R205" s="190"/>
      <c r="S205" s="190"/>
      <c r="T205" s="201"/>
      <c r="U205" s="201">
        <v>305</v>
      </c>
      <c r="V205" s="273">
        <f>U205/1.1023-[2]Grinder!$Q$1</f>
        <v>-24.655815113852896</v>
      </c>
      <c r="W205" s="282">
        <f t="shared" si="8"/>
        <v>549</v>
      </c>
    </row>
    <row r="206" spans="1:23" ht="14.5" hidden="1">
      <c r="A206" s="190" t="s">
        <v>744</v>
      </c>
      <c r="B206" s="190" t="s">
        <v>745</v>
      </c>
      <c r="C206" s="503" t="s">
        <v>227</v>
      </c>
      <c r="D206" s="503" t="s">
        <v>46</v>
      </c>
      <c r="E206" s="503" t="s">
        <v>747</v>
      </c>
      <c r="F206" s="504">
        <v>1</v>
      </c>
      <c r="G206" s="504">
        <v>20</v>
      </c>
      <c r="H206" s="504">
        <v>79</v>
      </c>
      <c r="I206" s="505"/>
      <c r="J206" s="506" t="s">
        <v>59</v>
      </c>
      <c r="K206" s="506"/>
      <c r="L206" s="503" t="s">
        <v>418</v>
      </c>
      <c r="M206" s="503" t="s">
        <v>436</v>
      </c>
      <c r="N206" s="507"/>
      <c r="O206" s="507"/>
      <c r="P206" s="1734"/>
      <c r="Q206" s="503"/>
      <c r="R206" s="190"/>
      <c r="S206" s="190"/>
      <c r="T206" s="201"/>
      <c r="U206" s="201">
        <v>305</v>
      </c>
      <c r="V206" s="273">
        <f>U206/1.1023-[2]Grinder!$Q$1</f>
        <v>-24.655815113852896</v>
      </c>
      <c r="W206" s="282">
        <f t="shared" ref="W206:W242" si="9">H206/60*U206*1</f>
        <v>401.58333333333331</v>
      </c>
    </row>
    <row r="207" spans="1:23" ht="14.5" hidden="1">
      <c r="A207" s="190" t="s">
        <v>744</v>
      </c>
      <c r="B207" s="190" t="s">
        <v>745</v>
      </c>
      <c r="C207" s="503" t="s">
        <v>333</v>
      </c>
      <c r="D207" s="503" t="s">
        <v>46</v>
      </c>
      <c r="E207" s="503" t="s">
        <v>757</v>
      </c>
      <c r="F207" s="504">
        <v>1</v>
      </c>
      <c r="G207" s="504">
        <v>47</v>
      </c>
      <c r="H207" s="504">
        <v>107</v>
      </c>
      <c r="I207" s="505"/>
      <c r="J207" s="506" t="s">
        <v>59</v>
      </c>
      <c r="K207" s="506"/>
      <c r="L207" s="503" t="s">
        <v>418</v>
      </c>
      <c r="M207" s="503" t="s">
        <v>436</v>
      </c>
      <c r="N207" s="507"/>
      <c r="O207" s="507"/>
      <c r="P207" s="1734"/>
      <c r="Q207" s="503"/>
      <c r="R207" s="190"/>
      <c r="S207" s="190"/>
      <c r="T207" s="201"/>
      <c r="U207" s="201">
        <v>305</v>
      </c>
      <c r="V207" s="273">
        <f>U207/1.1023-[2]Grinder!$Q$1</f>
        <v>-24.655815113852896</v>
      </c>
      <c r="W207" s="282">
        <f t="shared" si="9"/>
        <v>543.91666666666674</v>
      </c>
    </row>
    <row r="208" spans="1:23" ht="14.5" hidden="1">
      <c r="A208" s="190" t="s">
        <v>744</v>
      </c>
      <c r="B208" s="190" t="s">
        <v>745</v>
      </c>
      <c r="C208" s="503" t="s">
        <v>219</v>
      </c>
      <c r="D208" s="503" t="s">
        <v>46</v>
      </c>
      <c r="E208" s="503" t="s">
        <v>694</v>
      </c>
      <c r="F208" s="504">
        <v>0</v>
      </c>
      <c r="G208" s="504">
        <v>61</v>
      </c>
      <c r="H208" s="504">
        <v>61</v>
      </c>
      <c r="I208" s="505"/>
      <c r="J208" s="506" t="s">
        <v>59</v>
      </c>
      <c r="K208" s="506"/>
      <c r="L208" s="503" t="s">
        <v>418</v>
      </c>
      <c r="M208" s="503" t="s">
        <v>436</v>
      </c>
      <c r="N208" s="507"/>
      <c r="O208" s="507"/>
      <c r="P208" s="1734"/>
      <c r="Q208" s="503"/>
      <c r="R208" s="190"/>
      <c r="S208" s="190"/>
      <c r="T208" s="201"/>
      <c r="U208" s="201">
        <v>305</v>
      </c>
      <c r="V208" s="273">
        <f>U208/1.1023-[2]Grinder!$Q$1</f>
        <v>-24.655815113852896</v>
      </c>
      <c r="W208" s="282">
        <f t="shared" si="9"/>
        <v>310.08333333333331</v>
      </c>
    </row>
    <row r="209" spans="1:23" ht="14.5" hidden="1">
      <c r="A209" s="190" t="s">
        <v>744</v>
      </c>
      <c r="B209" s="190" t="s">
        <v>745</v>
      </c>
      <c r="C209" s="503" t="s">
        <v>228</v>
      </c>
      <c r="D209" s="503" t="s">
        <v>46</v>
      </c>
      <c r="E209" s="503" t="s">
        <v>747</v>
      </c>
      <c r="F209" s="504">
        <v>1</v>
      </c>
      <c r="G209" s="504">
        <v>23</v>
      </c>
      <c r="H209" s="504">
        <v>82</v>
      </c>
      <c r="I209" s="505"/>
      <c r="J209" s="506" t="s">
        <v>59</v>
      </c>
      <c r="K209" s="506"/>
      <c r="L209" s="503" t="s">
        <v>418</v>
      </c>
      <c r="M209" s="503" t="s">
        <v>436</v>
      </c>
      <c r="N209" s="507"/>
      <c r="O209" s="507"/>
      <c r="P209" s="1734"/>
      <c r="Q209" s="503"/>
      <c r="R209" s="190"/>
      <c r="S209" s="190"/>
      <c r="T209" s="201"/>
      <c r="U209" s="201">
        <v>305</v>
      </c>
      <c r="V209" s="273">
        <f>U209/1.1023-[2]Grinder!$Q$1</f>
        <v>-24.655815113852896</v>
      </c>
      <c r="W209" s="282">
        <f t="shared" si="9"/>
        <v>416.83333333333331</v>
      </c>
    </row>
    <row r="210" spans="1:23" ht="14.5" hidden="1">
      <c r="A210" s="190" t="s">
        <v>744</v>
      </c>
      <c r="B210" s="190" t="s">
        <v>745</v>
      </c>
      <c r="C210" s="503" t="s">
        <v>188</v>
      </c>
      <c r="D210" s="503" t="s">
        <v>46</v>
      </c>
      <c r="E210" s="503" t="s">
        <v>747</v>
      </c>
      <c r="F210" s="504">
        <v>0</v>
      </c>
      <c r="G210" s="504">
        <v>53</v>
      </c>
      <c r="H210" s="504">
        <v>53</v>
      </c>
      <c r="I210" s="505"/>
      <c r="J210" s="506" t="s">
        <v>59</v>
      </c>
      <c r="K210" s="506"/>
      <c r="L210" s="503" t="s">
        <v>418</v>
      </c>
      <c r="M210" s="503" t="s">
        <v>436</v>
      </c>
      <c r="N210" s="507"/>
      <c r="O210" s="507"/>
      <c r="P210" s="1734"/>
      <c r="Q210" s="503"/>
      <c r="R210" s="190"/>
      <c r="S210" s="190"/>
      <c r="T210" s="201"/>
      <c r="U210" s="201">
        <v>305</v>
      </c>
      <c r="V210" s="273">
        <f>U210/1.1023-[2]Grinder!$Q$1</f>
        <v>-24.655815113852896</v>
      </c>
      <c r="W210" s="282">
        <f t="shared" si="9"/>
        <v>269.41666666666669</v>
      </c>
    </row>
    <row r="211" spans="1:23" ht="14.5" hidden="1">
      <c r="A211" s="190" t="s">
        <v>744</v>
      </c>
      <c r="B211" s="190" t="s">
        <v>745</v>
      </c>
      <c r="C211" s="503" t="s">
        <v>189</v>
      </c>
      <c r="D211" s="503" t="s">
        <v>46</v>
      </c>
      <c r="E211" s="503" t="s">
        <v>682</v>
      </c>
      <c r="F211" s="504">
        <v>1</v>
      </c>
      <c r="G211" s="504">
        <v>17</v>
      </c>
      <c r="H211" s="504">
        <v>77</v>
      </c>
      <c r="I211" s="505"/>
      <c r="J211" s="506" t="s">
        <v>59</v>
      </c>
      <c r="K211" s="506"/>
      <c r="L211" s="503" t="s">
        <v>418</v>
      </c>
      <c r="M211" s="503" t="s">
        <v>436</v>
      </c>
      <c r="N211" s="507"/>
      <c r="O211" s="507"/>
      <c r="P211" s="1734"/>
      <c r="Q211" s="503"/>
      <c r="R211" s="190"/>
      <c r="S211" s="190"/>
      <c r="T211" s="201"/>
      <c r="U211" s="201">
        <v>305</v>
      </c>
      <c r="V211" s="273">
        <f>U211/1.1023-[2]Grinder!$Q$1</f>
        <v>-24.655815113852896</v>
      </c>
      <c r="W211" s="282">
        <f t="shared" si="9"/>
        <v>391.41666666666669</v>
      </c>
    </row>
    <row r="212" spans="1:23" ht="14.5" hidden="1">
      <c r="A212" s="190" t="s">
        <v>744</v>
      </c>
      <c r="B212" s="190" t="s">
        <v>745</v>
      </c>
      <c r="C212" s="503" t="s">
        <v>185</v>
      </c>
      <c r="D212" s="503" t="s">
        <v>46</v>
      </c>
      <c r="E212" s="503" t="s">
        <v>747</v>
      </c>
      <c r="F212" s="504">
        <v>0</v>
      </c>
      <c r="G212" s="504">
        <v>65</v>
      </c>
      <c r="H212" s="504">
        <v>65</v>
      </c>
      <c r="I212" s="505"/>
      <c r="J212" s="506" t="s">
        <v>59</v>
      </c>
      <c r="K212" s="506"/>
      <c r="L212" s="503" t="s">
        <v>418</v>
      </c>
      <c r="M212" s="503" t="s">
        <v>436</v>
      </c>
      <c r="N212" s="507"/>
      <c r="O212" s="507"/>
      <c r="P212" s="1734"/>
      <c r="Q212" s="503"/>
      <c r="R212" s="190"/>
      <c r="S212" s="190"/>
      <c r="T212" s="201"/>
      <c r="U212" s="201">
        <v>305</v>
      </c>
      <c r="V212" s="273">
        <f>U212/1.1023-[2]Grinder!$Q$1</f>
        <v>-24.655815113852896</v>
      </c>
      <c r="W212" s="282">
        <f t="shared" si="9"/>
        <v>330.41666666666663</v>
      </c>
    </row>
    <row r="213" spans="1:23" ht="14.5" hidden="1">
      <c r="A213" s="190" t="s">
        <v>744</v>
      </c>
      <c r="B213" s="190" t="s">
        <v>745</v>
      </c>
      <c r="C213" s="503" t="s">
        <v>186</v>
      </c>
      <c r="D213" s="503" t="s">
        <v>46</v>
      </c>
      <c r="E213" s="503" t="s">
        <v>747</v>
      </c>
      <c r="F213" s="504">
        <v>1</v>
      </c>
      <c r="G213" s="504">
        <v>23</v>
      </c>
      <c r="H213" s="504">
        <v>82</v>
      </c>
      <c r="I213" s="505"/>
      <c r="J213" s="506" t="s">
        <v>59</v>
      </c>
      <c r="K213" s="506"/>
      <c r="L213" s="503" t="s">
        <v>418</v>
      </c>
      <c r="M213" s="503" t="s">
        <v>436</v>
      </c>
      <c r="N213" s="507"/>
      <c r="O213" s="507"/>
      <c r="P213" s="1734"/>
      <c r="Q213" s="503"/>
      <c r="R213" s="190"/>
      <c r="S213" s="190"/>
      <c r="T213" s="201"/>
      <c r="U213" s="201">
        <v>305</v>
      </c>
      <c r="V213" s="273">
        <f>U213/1.1023-[2]Grinder!$Q$1</f>
        <v>-24.655815113852896</v>
      </c>
      <c r="W213" s="282">
        <f t="shared" si="9"/>
        <v>416.83333333333331</v>
      </c>
    </row>
    <row r="214" spans="1:23" ht="14.5" hidden="1">
      <c r="A214" s="190" t="s">
        <v>744</v>
      </c>
      <c r="B214" s="190" t="s">
        <v>745</v>
      </c>
      <c r="C214" s="503" t="s">
        <v>323</v>
      </c>
      <c r="D214" s="503" t="s">
        <v>46</v>
      </c>
      <c r="E214" s="503" t="s">
        <v>684</v>
      </c>
      <c r="F214" s="504">
        <v>1</v>
      </c>
      <c r="G214" s="504">
        <v>51</v>
      </c>
      <c r="H214" s="504">
        <v>110</v>
      </c>
      <c r="I214" s="505"/>
      <c r="J214" s="506" t="s">
        <v>59</v>
      </c>
      <c r="K214" s="506"/>
      <c r="L214" s="503" t="s">
        <v>418</v>
      </c>
      <c r="M214" s="503" t="s">
        <v>436</v>
      </c>
      <c r="N214" s="507"/>
      <c r="O214" s="507"/>
      <c r="P214" s="1734"/>
      <c r="Q214" s="503"/>
      <c r="R214" s="190"/>
      <c r="S214" s="190"/>
      <c r="T214" s="201"/>
      <c r="U214" s="201">
        <v>305</v>
      </c>
      <c r="V214" s="273">
        <f>U214/1.1023-[2]Grinder!$Q$1</f>
        <v>-24.655815113852896</v>
      </c>
      <c r="W214" s="282">
        <f t="shared" si="9"/>
        <v>559.16666666666663</v>
      </c>
    </row>
    <row r="215" spans="1:23" ht="14.5" hidden="1">
      <c r="A215" s="190" t="s">
        <v>744</v>
      </c>
      <c r="B215" s="190" t="s">
        <v>745</v>
      </c>
      <c r="C215" s="503" t="s">
        <v>230</v>
      </c>
      <c r="D215" s="503" t="s">
        <v>46</v>
      </c>
      <c r="E215" s="503" t="s">
        <v>696</v>
      </c>
      <c r="F215" s="504">
        <v>1</v>
      </c>
      <c r="G215" s="504">
        <v>46</v>
      </c>
      <c r="H215" s="504">
        <v>106</v>
      </c>
      <c r="I215" s="505"/>
      <c r="J215" s="506" t="s">
        <v>59</v>
      </c>
      <c r="K215" s="506"/>
      <c r="L215" s="503" t="s">
        <v>418</v>
      </c>
      <c r="M215" s="503" t="s">
        <v>436</v>
      </c>
      <c r="N215" s="507"/>
      <c r="O215" s="507"/>
      <c r="P215" s="1734"/>
      <c r="Q215" s="503"/>
      <c r="R215" s="190"/>
      <c r="S215" s="190"/>
      <c r="T215" s="201"/>
      <c r="U215" s="201">
        <v>305</v>
      </c>
      <c r="V215" s="273">
        <f>U215/1.1023-[2]Grinder!$Q$1</f>
        <v>-24.655815113852896</v>
      </c>
      <c r="W215" s="282">
        <f t="shared" si="9"/>
        <v>538.83333333333337</v>
      </c>
    </row>
    <row r="216" spans="1:23" ht="14.5" hidden="1">
      <c r="A216" s="190" t="s">
        <v>744</v>
      </c>
      <c r="B216" s="190" t="s">
        <v>745</v>
      </c>
      <c r="C216" s="503" t="s">
        <v>317</v>
      </c>
      <c r="D216" s="503" t="s">
        <v>46</v>
      </c>
      <c r="E216" s="503" t="s">
        <v>684</v>
      </c>
      <c r="F216" s="504">
        <v>1</v>
      </c>
      <c r="G216" s="504">
        <v>12</v>
      </c>
      <c r="H216" s="504">
        <v>72</v>
      </c>
      <c r="I216" s="505"/>
      <c r="J216" s="506" t="s">
        <v>59</v>
      </c>
      <c r="K216" s="506"/>
      <c r="L216" s="503" t="s">
        <v>418</v>
      </c>
      <c r="M216" s="503" t="s">
        <v>436</v>
      </c>
      <c r="N216" s="507"/>
      <c r="O216" s="507"/>
      <c r="P216" s="1734"/>
      <c r="Q216" s="503"/>
      <c r="R216" s="190"/>
      <c r="S216" s="190"/>
      <c r="T216" s="201"/>
      <c r="U216" s="201">
        <v>305</v>
      </c>
      <c r="V216" s="273">
        <f>U216/1.1023-[2]Grinder!$Q$1</f>
        <v>-24.655815113852896</v>
      </c>
      <c r="W216" s="282">
        <f t="shared" si="9"/>
        <v>366</v>
      </c>
    </row>
    <row r="217" spans="1:23" ht="14.5" hidden="1">
      <c r="A217" s="190" t="s">
        <v>744</v>
      </c>
      <c r="B217" s="190" t="s">
        <v>745</v>
      </c>
      <c r="C217" s="503" t="s">
        <v>311</v>
      </c>
      <c r="D217" s="503" t="s">
        <v>46</v>
      </c>
      <c r="E217" s="503" t="s">
        <v>358</v>
      </c>
      <c r="F217" s="504">
        <v>2</v>
      </c>
      <c r="G217" s="504">
        <v>10</v>
      </c>
      <c r="H217" s="504">
        <v>131</v>
      </c>
      <c r="I217" s="505"/>
      <c r="J217" s="506" t="s">
        <v>59</v>
      </c>
      <c r="K217" s="506"/>
      <c r="L217" s="503" t="s">
        <v>418</v>
      </c>
      <c r="M217" s="503" t="s">
        <v>436</v>
      </c>
      <c r="N217" s="507"/>
      <c r="O217" s="507"/>
      <c r="P217" s="1734"/>
      <c r="Q217" s="503"/>
      <c r="R217" s="190"/>
      <c r="S217" s="190"/>
      <c r="T217" s="201"/>
      <c r="U217" s="201">
        <v>305</v>
      </c>
      <c r="V217" s="273">
        <f>U217/1.1023-[2]Grinder!$Q$1</f>
        <v>-24.655815113852896</v>
      </c>
      <c r="W217" s="282">
        <f t="shared" si="9"/>
        <v>665.91666666666663</v>
      </c>
    </row>
    <row r="218" spans="1:23" ht="14.5" hidden="1">
      <c r="A218" s="190" t="s">
        <v>744</v>
      </c>
      <c r="B218" s="190" t="s">
        <v>745</v>
      </c>
      <c r="C218" s="503" t="s">
        <v>360</v>
      </c>
      <c r="D218" s="503" t="s">
        <v>46</v>
      </c>
      <c r="E218" s="503" t="s">
        <v>683</v>
      </c>
      <c r="F218" s="504">
        <v>1</v>
      </c>
      <c r="G218" s="504">
        <v>17</v>
      </c>
      <c r="H218" s="504">
        <v>77</v>
      </c>
      <c r="I218" s="505"/>
      <c r="J218" s="506" t="s">
        <v>59</v>
      </c>
      <c r="K218" s="506"/>
      <c r="L218" s="503" t="s">
        <v>418</v>
      </c>
      <c r="M218" s="503" t="s">
        <v>436</v>
      </c>
      <c r="N218" s="507"/>
      <c r="O218" s="507"/>
      <c r="P218" s="1734"/>
      <c r="Q218" s="503"/>
      <c r="R218" s="190"/>
      <c r="S218" s="190"/>
      <c r="T218" s="201"/>
      <c r="U218" s="201">
        <v>305</v>
      </c>
      <c r="V218" s="273">
        <f>U218/1.1023-[2]Grinder!$Q$1</f>
        <v>-24.655815113852896</v>
      </c>
      <c r="W218" s="282">
        <f t="shared" si="9"/>
        <v>391.41666666666669</v>
      </c>
    </row>
    <row r="219" spans="1:23" ht="14.5" hidden="1">
      <c r="A219" s="190" t="s">
        <v>744</v>
      </c>
      <c r="B219" s="190" t="s">
        <v>745</v>
      </c>
      <c r="C219" s="503" t="s">
        <v>208</v>
      </c>
      <c r="D219" s="503" t="s">
        <v>46</v>
      </c>
      <c r="E219" s="503" t="s">
        <v>759</v>
      </c>
      <c r="F219" s="504">
        <v>1</v>
      </c>
      <c r="G219" s="504">
        <v>23</v>
      </c>
      <c r="H219" s="504">
        <v>83</v>
      </c>
      <c r="I219" s="505"/>
      <c r="J219" s="506" t="s">
        <v>59</v>
      </c>
      <c r="K219" s="506"/>
      <c r="L219" s="503" t="s">
        <v>418</v>
      </c>
      <c r="M219" s="503" t="s">
        <v>436</v>
      </c>
      <c r="N219" s="507"/>
      <c r="O219" s="507"/>
      <c r="P219" s="1734"/>
      <c r="Q219" s="503"/>
      <c r="R219" s="190"/>
      <c r="S219" s="190"/>
      <c r="T219" s="201"/>
      <c r="U219" s="201">
        <v>305</v>
      </c>
      <c r="V219" s="273">
        <f>U219/1.1023-[2]Grinder!$Q$1</f>
        <v>-24.655815113852896</v>
      </c>
      <c r="W219" s="282">
        <f t="shared" si="9"/>
        <v>421.91666666666669</v>
      </c>
    </row>
    <row r="220" spans="1:23" ht="14.5" hidden="1">
      <c r="A220" s="190" t="s">
        <v>744</v>
      </c>
      <c r="B220" s="190" t="s">
        <v>745</v>
      </c>
      <c r="C220" s="503" t="s">
        <v>686</v>
      </c>
      <c r="D220" s="503" t="s">
        <v>46</v>
      </c>
      <c r="E220" s="503" t="s">
        <v>747</v>
      </c>
      <c r="F220" s="504">
        <v>2</v>
      </c>
      <c r="G220" s="504">
        <v>63</v>
      </c>
      <c r="H220" s="504">
        <v>183</v>
      </c>
      <c r="I220" s="505"/>
      <c r="J220" s="506" t="s">
        <v>60</v>
      </c>
      <c r="K220" s="506"/>
      <c r="L220" s="503" t="s">
        <v>418</v>
      </c>
      <c r="M220" s="503" t="s">
        <v>778</v>
      </c>
      <c r="N220" s="507"/>
      <c r="O220" s="507"/>
      <c r="P220" s="1734"/>
      <c r="Q220" s="503"/>
      <c r="R220" s="190"/>
      <c r="S220" s="190"/>
      <c r="T220" s="201"/>
      <c r="U220" s="201">
        <v>305</v>
      </c>
      <c r="V220" s="273">
        <f>U220/1.1023-[2]Grinder!$Q$1</f>
        <v>-24.655815113852896</v>
      </c>
      <c r="W220" s="282">
        <f t="shared" si="9"/>
        <v>930.25</v>
      </c>
    </row>
    <row r="221" spans="1:23" ht="14.5" hidden="1">
      <c r="A221" s="190" t="s">
        <v>744</v>
      </c>
      <c r="B221" s="190" t="s">
        <v>745</v>
      </c>
      <c r="C221" s="503" t="s">
        <v>309</v>
      </c>
      <c r="D221" s="503" t="s">
        <v>46</v>
      </c>
      <c r="E221" s="503" t="s">
        <v>684</v>
      </c>
      <c r="F221" s="504">
        <v>1</v>
      </c>
      <c r="G221" s="504">
        <v>31</v>
      </c>
      <c r="H221" s="504">
        <v>91</v>
      </c>
      <c r="I221" s="505"/>
      <c r="J221" s="506" t="s">
        <v>59</v>
      </c>
      <c r="K221" s="506"/>
      <c r="L221" s="503" t="s">
        <v>418</v>
      </c>
      <c r="M221" s="503" t="s">
        <v>436</v>
      </c>
      <c r="N221" s="507"/>
      <c r="O221" s="507"/>
      <c r="P221" s="1734"/>
      <c r="Q221" s="503"/>
      <c r="R221" s="190"/>
      <c r="S221" s="190"/>
      <c r="T221" s="201"/>
      <c r="U221" s="201">
        <v>305</v>
      </c>
      <c r="V221" s="273">
        <f>U221/1.1023-[2]Grinder!$Q$1</f>
        <v>-24.655815113852896</v>
      </c>
      <c r="W221" s="282">
        <f t="shared" si="9"/>
        <v>462.58333333333331</v>
      </c>
    </row>
    <row r="222" spans="1:23" ht="14.5" hidden="1">
      <c r="A222" s="190" t="s">
        <v>744</v>
      </c>
      <c r="B222" s="190" t="s">
        <v>745</v>
      </c>
      <c r="C222" s="503" t="s">
        <v>308</v>
      </c>
      <c r="D222" s="503" t="s">
        <v>46</v>
      </c>
      <c r="E222" s="503" t="s">
        <v>357</v>
      </c>
      <c r="F222" s="504">
        <v>2</v>
      </c>
      <c r="G222" s="504">
        <v>25</v>
      </c>
      <c r="H222" s="504">
        <v>146</v>
      </c>
      <c r="I222" s="505"/>
      <c r="J222" s="506" t="s">
        <v>60</v>
      </c>
      <c r="K222" s="506"/>
      <c r="L222" s="503" t="s">
        <v>418</v>
      </c>
      <c r="M222" s="503" t="s">
        <v>778</v>
      </c>
      <c r="N222" s="507"/>
      <c r="O222" s="507"/>
      <c r="P222" s="1734"/>
      <c r="Q222" s="503"/>
      <c r="R222" s="190"/>
      <c r="S222" s="190"/>
      <c r="T222" s="201"/>
      <c r="U222" s="201">
        <v>305</v>
      </c>
      <c r="V222" s="273">
        <f>U222/1.1023-[2]Grinder!$Q$1</f>
        <v>-24.655815113852896</v>
      </c>
      <c r="W222" s="282">
        <f t="shared" si="9"/>
        <v>742.16666666666663</v>
      </c>
    </row>
    <row r="223" spans="1:23" ht="14.5" hidden="1">
      <c r="A223" s="190" t="s">
        <v>744</v>
      </c>
      <c r="B223" s="190" t="s">
        <v>745</v>
      </c>
      <c r="C223" s="503" t="s">
        <v>306</v>
      </c>
      <c r="D223" s="503" t="s">
        <v>46</v>
      </c>
      <c r="E223" s="503" t="s">
        <v>747</v>
      </c>
      <c r="F223" s="504">
        <v>2</v>
      </c>
      <c r="G223" s="504">
        <v>32</v>
      </c>
      <c r="H223" s="504">
        <v>151</v>
      </c>
      <c r="I223" s="505"/>
      <c r="J223" s="506" t="s">
        <v>59</v>
      </c>
      <c r="K223" s="506"/>
      <c r="L223" s="503" t="s">
        <v>418</v>
      </c>
      <c r="M223" s="503" t="s">
        <v>436</v>
      </c>
      <c r="N223" s="507"/>
      <c r="O223" s="507"/>
      <c r="P223" s="1734"/>
      <c r="Q223" s="503"/>
      <c r="R223" s="190"/>
      <c r="S223" s="190"/>
      <c r="T223" s="201"/>
      <c r="U223" s="201">
        <v>305</v>
      </c>
      <c r="V223" s="273">
        <f>U223/1.1023-[2]Grinder!$Q$1</f>
        <v>-24.655815113852896</v>
      </c>
      <c r="W223" s="282">
        <f t="shared" si="9"/>
        <v>767.58333333333337</v>
      </c>
    </row>
    <row r="224" spans="1:23" ht="14.5" hidden="1">
      <c r="A224" s="190" t="s">
        <v>744</v>
      </c>
      <c r="B224" s="190" t="s">
        <v>745</v>
      </c>
      <c r="C224" s="503" t="s">
        <v>304</v>
      </c>
      <c r="D224" s="503" t="s">
        <v>46</v>
      </c>
      <c r="E224" s="503" t="s">
        <v>762</v>
      </c>
      <c r="F224" s="504">
        <v>1</v>
      </c>
      <c r="G224" s="504">
        <v>65</v>
      </c>
      <c r="H224" s="504">
        <v>125</v>
      </c>
      <c r="I224" s="505"/>
      <c r="J224" s="506" t="s">
        <v>59</v>
      </c>
      <c r="K224" s="506"/>
      <c r="L224" s="503" t="s">
        <v>418</v>
      </c>
      <c r="M224" s="503" t="s">
        <v>436</v>
      </c>
      <c r="N224" s="507"/>
      <c r="O224" s="507"/>
      <c r="P224" s="1734"/>
      <c r="Q224" s="503"/>
      <c r="R224" s="190"/>
      <c r="S224" s="190"/>
      <c r="T224" s="201"/>
      <c r="U224" s="201">
        <v>305</v>
      </c>
      <c r="V224" s="273">
        <f>U224/1.1023-[2]Grinder!$Q$1</f>
        <v>-24.655815113852896</v>
      </c>
      <c r="W224" s="282">
        <f t="shared" si="9"/>
        <v>635.41666666666674</v>
      </c>
    </row>
    <row r="225" spans="1:23" ht="14.5" hidden="1">
      <c r="A225" s="190" t="s">
        <v>744</v>
      </c>
      <c r="B225" s="190" t="s">
        <v>745</v>
      </c>
      <c r="C225" s="503" t="s">
        <v>364</v>
      </c>
      <c r="D225" s="503" t="s">
        <v>46</v>
      </c>
      <c r="E225" s="503" t="s">
        <v>361</v>
      </c>
      <c r="F225" s="504">
        <v>2</v>
      </c>
      <c r="G225" s="504">
        <v>11</v>
      </c>
      <c r="H225" s="504">
        <v>132</v>
      </c>
      <c r="I225" s="505"/>
      <c r="J225" s="506" t="s">
        <v>59</v>
      </c>
      <c r="K225" s="506"/>
      <c r="L225" s="503" t="s">
        <v>418</v>
      </c>
      <c r="M225" s="503" t="s">
        <v>436</v>
      </c>
      <c r="N225" s="507"/>
      <c r="O225" s="507"/>
      <c r="P225" s="1734"/>
      <c r="Q225" s="503"/>
      <c r="R225" s="190"/>
      <c r="S225" s="190"/>
      <c r="T225" s="201"/>
      <c r="U225" s="201">
        <v>305</v>
      </c>
      <c r="V225" s="273">
        <f>U225/1.1023-[2]Grinder!$Q$1</f>
        <v>-24.655815113852896</v>
      </c>
      <c r="W225" s="282">
        <f t="shared" si="9"/>
        <v>671</v>
      </c>
    </row>
    <row r="226" spans="1:23" ht="14.5" hidden="1">
      <c r="A226" s="190" t="s">
        <v>744</v>
      </c>
      <c r="B226" s="190" t="s">
        <v>745</v>
      </c>
      <c r="C226" s="503" t="s">
        <v>301</v>
      </c>
      <c r="D226" s="503" t="s">
        <v>46</v>
      </c>
      <c r="E226" s="503" t="s">
        <v>763</v>
      </c>
      <c r="F226" s="504">
        <v>1</v>
      </c>
      <c r="G226" s="504">
        <v>28</v>
      </c>
      <c r="H226" s="504">
        <v>88</v>
      </c>
      <c r="I226" s="505"/>
      <c r="J226" s="506" t="s">
        <v>59</v>
      </c>
      <c r="K226" s="506"/>
      <c r="L226" s="503" t="s">
        <v>418</v>
      </c>
      <c r="M226" s="503" t="s">
        <v>436</v>
      </c>
      <c r="N226" s="507"/>
      <c r="O226" s="507"/>
      <c r="P226" s="1734"/>
      <c r="Q226" s="503"/>
      <c r="R226" s="190"/>
      <c r="S226" s="190"/>
      <c r="T226" s="201"/>
      <c r="U226" s="201">
        <v>305</v>
      </c>
      <c r="V226" s="273">
        <f>U226/1.1023-[2]Grinder!$Q$1</f>
        <v>-24.655815113852896</v>
      </c>
      <c r="W226" s="282">
        <f t="shared" si="9"/>
        <v>447.33333333333331</v>
      </c>
    </row>
    <row r="227" spans="1:23" ht="14.5" hidden="1">
      <c r="A227" s="190" t="s">
        <v>744</v>
      </c>
      <c r="B227" s="190" t="s">
        <v>745</v>
      </c>
      <c r="C227" s="503" t="s">
        <v>365</v>
      </c>
      <c r="D227" s="503" t="s">
        <v>46</v>
      </c>
      <c r="E227" s="503" t="s">
        <v>764</v>
      </c>
      <c r="F227" s="504">
        <v>2</v>
      </c>
      <c r="G227" s="504">
        <v>21</v>
      </c>
      <c r="H227" s="504">
        <v>142</v>
      </c>
      <c r="I227" s="505"/>
      <c r="J227" s="506" t="s">
        <v>59</v>
      </c>
      <c r="K227" s="506"/>
      <c r="L227" s="503" t="s">
        <v>418</v>
      </c>
      <c r="M227" s="503" t="s">
        <v>436</v>
      </c>
      <c r="N227" s="507"/>
      <c r="O227" s="507"/>
      <c r="P227" s="1734"/>
      <c r="Q227" s="503"/>
      <c r="R227" s="190"/>
      <c r="S227" s="190"/>
      <c r="T227" s="201"/>
      <c r="U227" s="201">
        <v>305</v>
      </c>
      <c r="V227" s="273">
        <f>U227/1.1023-[2]Grinder!$Q$1</f>
        <v>-24.655815113852896</v>
      </c>
      <c r="W227" s="282">
        <f t="shared" si="9"/>
        <v>721.83333333333337</v>
      </c>
    </row>
    <row r="228" spans="1:23" ht="14.5" hidden="1">
      <c r="A228" s="190" t="s">
        <v>744</v>
      </c>
      <c r="B228" s="190" t="s">
        <v>745</v>
      </c>
      <c r="C228" s="503" t="s">
        <v>366</v>
      </c>
      <c r="D228" s="503" t="s">
        <v>46</v>
      </c>
      <c r="E228" s="503" t="s">
        <v>757</v>
      </c>
      <c r="F228" s="504">
        <v>1</v>
      </c>
      <c r="G228" s="504">
        <v>25</v>
      </c>
      <c r="H228" s="504">
        <v>85</v>
      </c>
      <c r="I228" s="505"/>
      <c r="J228" s="506" t="s">
        <v>59</v>
      </c>
      <c r="K228" s="506"/>
      <c r="L228" s="503" t="s">
        <v>418</v>
      </c>
      <c r="M228" s="503" t="s">
        <v>436</v>
      </c>
      <c r="N228" s="507"/>
      <c r="O228" s="507"/>
      <c r="P228" s="1734"/>
      <c r="Q228" s="503"/>
      <c r="R228" s="190"/>
      <c r="S228" s="190"/>
      <c r="T228" s="201"/>
      <c r="U228" s="201">
        <v>305</v>
      </c>
      <c r="V228" s="273">
        <f>U228/1.1023-[2]Grinder!$Q$1</f>
        <v>-24.655815113852896</v>
      </c>
      <c r="W228" s="282">
        <f t="shared" si="9"/>
        <v>432.08333333333337</v>
      </c>
    </row>
    <row r="229" spans="1:23" ht="14.5" hidden="1">
      <c r="A229" s="190" t="s">
        <v>744</v>
      </c>
      <c r="B229" s="190" t="s">
        <v>745</v>
      </c>
      <c r="C229" s="503" t="s">
        <v>298</v>
      </c>
      <c r="D229" s="503" t="s">
        <v>46</v>
      </c>
      <c r="E229" s="503" t="s">
        <v>759</v>
      </c>
      <c r="F229" s="504">
        <v>1</v>
      </c>
      <c r="G229" s="504">
        <v>11</v>
      </c>
      <c r="H229" s="504">
        <v>71</v>
      </c>
      <c r="I229" s="505"/>
      <c r="J229" s="506" t="s">
        <v>59</v>
      </c>
      <c r="K229" s="506"/>
      <c r="L229" s="503" t="s">
        <v>418</v>
      </c>
      <c r="M229" s="503" t="s">
        <v>436</v>
      </c>
      <c r="N229" s="507"/>
      <c r="O229" s="507"/>
      <c r="P229" s="1734"/>
      <c r="Q229" s="503"/>
      <c r="R229" s="190"/>
      <c r="S229" s="190"/>
      <c r="T229" s="201"/>
      <c r="U229" s="201">
        <v>305</v>
      </c>
      <c r="V229" s="273">
        <f>U229/1.1023-[2]Grinder!$Q$1</f>
        <v>-24.655815113852896</v>
      </c>
      <c r="W229" s="282">
        <f t="shared" si="9"/>
        <v>360.91666666666669</v>
      </c>
    </row>
    <row r="230" spans="1:23" ht="14.5" hidden="1">
      <c r="A230" s="190" t="s">
        <v>744</v>
      </c>
      <c r="B230" s="190" t="s">
        <v>745</v>
      </c>
      <c r="C230" s="503" t="s">
        <v>297</v>
      </c>
      <c r="D230" s="503" t="s">
        <v>46</v>
      </c>
      <c r="E230" s="503" t="s">
        <v>764</v>
      </c>
      <c r="F230" s="504">
        <v>1</v>
      </c>
      <c r="G230" s="504">
        <v>46</v>
      </c>
      <c r="H230" s="504">
        <v>106</v>
      </c>
      <c r="I230" s="505"/>
      <c r="J230" s="506" t="s">
        <v>59</v>
      </c>
      <c r="K230" s="506"/>
      <c r="L230" s="503" t="s">
        <v>418</v>
      </c>
      <c r="M230" s="503" t="s">
        <v>436</v>
      </c>
      <c r="N230" s="507"/>
      <c r="O230" s="507"/>
      <c r="P230" s="1734"/>
      <c r="Q230" s="503"/>
      <c r="R230" s="190"/>
      <c r="S230" s="190"/>
      <c r="T230" s="201"/>
      <c r="U230" s="201">
        <v>305</v>
      </c>
      <c r="V230" s="273">
        <f>U230/1.1023-[2]Grinder!$Q$1</f>
        <v>-24.655815113852896</v>
      </c>
      <c r="W230" s="282">
        <f t="shared" si="9"/>
        <v>538.83333333333337</v>
      </c>
    </row>
    <row r="231" spans="1:23" ht="14.5" hidden="1">
      <c r="A231" s="190" t="s">
        <v>744</v>
      </c>
      <c r="B231" s="190" t="s">
        <v>745</v>
      </c>
      <c r="C231" s="503" t="s">
        <v>290</v>
      </c>
      <c r="D231" s="503" t="s">
        <v>46</v>
      </c>
      <c r="E231" s="503" t="s">
        <v>683</v>
      </c>
      <c r="F231" s="504">
        <v>0</v>
      </c>
      <c r="G231" s="504">
        <v>48</v>
      </c>
      <c r="H231" s="504">
        <v>48</v>
      </c>
      <c r="I231" s="505"/>
      <c r="J231" s="506" t="s">
        <v>59</v>
      </c>
      <c r="K231" s="506"/>
      <c r="L231" s="503" t="s">
        <v>418</v>
      </c>
      <c r="M231" s="503" t="s">
        <v>436</v>
      </c>
      <c r="N231" s="507"/>
      <c r="O231" s="507"/>
      <c r="P231" s="1734"/>
      <c r="Q231" s="503"/>
      <c r="R231" s="190"/>
      <c r="S231" s="190"/>
      <c r="T231" s="201"/>
      <c r="U231" s="201">
        <v>305</v>
      </c>
      <c r="V231" s="273">
        <f>U231/1.1023-[2]Grinder!$Q$1</f>
        <v>-24.655815113852896</v>
      </c>
      <c r="W231" s="282">
        <f t="shared" si="9"/>
        <v>244</v>
      </c>
    </row>
    <row r="232" spans="1:23" ht="14.5" hidden="1">
      <c r="A232" s="190" t="s">
        <v>744</v>
      </c>
      <c r="B232" s="190" t="s">
        <v>745</v>
      </c>
      <c r="C232" s="503" t="s">
        <v>289</v>
      </c>
      <c r="D232" s="503" t="s">
        <v>46</v>
      </c>
      <c r="E232" s="503" t="s">
        <v>758</v>
      </c>
      <c r="F232" s="504">
        <v>2</v>
      </c>
      <c r="G232" s="504">
        <v>15</v>
      </c>
      <c r="H232" s="504">
        <v>135</v>
      </c>
      <c r="I232" s="505"/>
      <c r="J232" s="506" t="s">
        <v>59</v>
      </c>
      <c r="K232" s="506"/>
      <c r="L232" s="503" t="s">
        <v>418</v>
      </c>
      <c r="M232" s="503" t="s">
        <v>436</v>
      </c>
      <c r="N232" s="507"/>
      <c r="O232" s="507"/>
      <c r="P232" s="1734"/>
      <c r="Q232" s="503"/>
      <c r="R232" s="190"/>
      <c r="S232" s="190"/>
      <c r="T232" s="201"/>
      <c r="U232" s="201">
        <v>305</v>
      </c>
      <c r="V232" s="273">
        <f>U232/1.1023-[2]Grinder!$Q$1</f>
        <v>-24.655815113852896</v>
      </c>
      <c r="W232" s="282">
        <f t="shared" si="9"/>
        <v>686.25</v>
      </c>
    </row>
    <row r="233" spans="1:23" ht="14.5" hidden="1">
      <c r="A233" s="190" t="s">
        <v>744</v>
      </c>
      <c r="B233" s="190" t="s">
        <v>745</v>
      </c>
      <c r="C233" s="503" t="s">
        <v>790</v>
      </c>
      <c r="D233" s="503" t="s">
        <v>46</v>
      </c>
      <c r="E233" s="503" t="s">
        <v>791</v>
      </c>
      <c r="F233" s="504">
        <v>0</v>
      </c>
      <c r="G233" s="504">
        <v>65</v>
      </c>
      <c r="H233" s="504">
        <v>65</v>
      </c>
      <c r="I233" s="505"/>
      <c r="J233" s="506" t="s">
        <v>59</v>
      </c>
      <c r="K233" s="506"/>
      <c r="L233" s="503" t="s">
        <v>418</v>
      </c>
      <c r="M233" s="503" t="s">
        <v>436</v>
      </c>
      <c r="N233" s="507"/>
      <c r="O233" s="507"/>
      <c r="P233" s="1734"/>
      <c r="Q233" s="503"/>
      <c r="R233" s="190"/>
      <c r="S233" s="190"/>
      <c r="T233" s="201"/>
      <c r="U233" s="201">
        <v>305</v>
      </c>
      <c r="V233" s="273">
        <f>U233/1.1023-[2]Grinder!$Q$1</f>
        <v>-24.655815113852896</v>
      </c>
      <c r="W233" s="282">
        <f t="shared" si="9"/>
        <v>330.41666666666663</v>
      </c>
    </row>
    <row r="234" spans="1:23" ht="14.5" hidden="1">
      <c r="A234" s="190" t="s">
        <v>744</v>
      </c>
      <c r="B234" s="190" t="s">
        <v>745</v>
      </c>
      <c r="C234" s="503" t="s">
        <v>210</v>
      </c>
      <c r="D234" s="503" t="s">
        <v>46</v>
      </c>
      <c r="E234" s="503" t="s">
        <v>353</v>
      </c>
      <c r="F234" s="504">
        <v>1</v>
      </c>
      <c r="G234" s="504">
        <v>55</v>
      </c>
      <c r="H234" s="504">
        <v>115</v>
      </c>
      <c r="I234" s="505"/>
      <c r="J234" s="506" t="s">
        <v>59</v>
      </c>
      <c r="K234" s="506"/>
      <c r="L234" s="503" t="s">
        <v>418</v>
      </c>
      <c r="M234" s="503" t="s">
        <v>436</v>
      </c>
      <c r="N234" s="507"/>
      <c r="O234" s="507"/>
      <c r="P234" s="1734"/>
      <c r="Q234" s="503"/>
      <c r="R234" s="190"/>
      <c r="S234" s="190"/>
      <c r="T234" s="201"/>
      <c r="U234" s="201">
        <v>305</v>
      </c>
      <c r="V234" s="273">
        <f>U234/1.1023-[2]Grinder!$Q$1</f>
        <v>-24.655815113852896</v>
      </c>
      <c r="W234" s="282">
        <f t="shared" si="9"/>
        <v>584.58333333333337</v>
      </c>
    </row>
    <row r="235" spans="1:23" ht="14.5" hidden="1">
      <c r="A235" s="190" t="s">
        <v>744</v>
      </c>
      <c r="B235" s="190" t="s">
        <v>745</v>
      </c>
      <c r="C235" s="503" t="s">
        <v>274</v>
      </c>
      <c r="D235" s="503" t="s">
        <v>46</v>
      </c>
      <c r="E235" s="503" t="s">
        <v>765</v>
      </c>
      <c r="F235" s="504">
        <v>3</v>
      </c>
      <c r="G235" s="504">
        <v>31</v>
      </c>
      <c r="H235" s="504">
        <v>212</v>
      </c>
      <c r="I235" s="505"/>
      <c r="J235" s="506" t="s">
        <v>59</v>
      </c>
      <c r="K235" s="506"/>
      <c r="L235" s="503" t="s">
        <v>418</v>
      </c>
      <c r="M235" s="503" t="s">
        <v>436</v>
      </c>
      <c r="N235" s="507"/>
      <c r="O235" s="507"/>
      <c r="P235" s="1734"/>
      <c r="Q235" s="503"/>
      <c r="R235" s="190"/>
      <c r="S235" s="190"/>
      <c r="T235" s="201"/>
      <c r="U235" s="201">
        <v>305</v>
      </c>
      <c r="V235" s="273">
        <f>U235/1.1023-[2]Grinder!$Q$1</f>
        <v>-24.655815113852896</v>
      </c>
      <c r="W235" s="282">
        <f t="shared" si="9"/>
        <v>1077.6666666666667</v>
      </c>
    </row>
    <row r="236" spans="1:23" ht="14.5" hidden="1">
      <c r="A236" s="190" t="s">
        <v>744</v>
      </c>
      <c r="B236" s="190" t="s">
        <v>745</v>
      </c>
      <c r="C236" s="503" t="s">
        <v>688</v>
      </c>
      <c r="D236" s="503" t="s">
        <v>46</v>
      </c>
      <c r="E236" s="503" t="s">
        <v>700</v>
      </c>
      <c r="F236" s="504">
        <v>2</v>
      </c>
      <c r="G236" s="504">
        <v>26</v>
      </c>
      <c r="H236" s="504">
        <v>144</v>
      </c>
      <c r="I236" s="505"/>
      <c r="J236" s="506" t="s">
        <v>60</v>
      </c>
      <c r="K236" s="506"/>
      <c r="L236" s="503" t="s">
        <v>418</v>
      </c>
      <c r="M236" s="503" t="s">
        <v>778</v>
      </c>
      <c r="N236" s="507"/>
      <c r="O236" s="507"/>
      <c r="P236" s="1734"/>
      <c r="Q236" s="503"/>
      <c r="R236" s="190"/>
      <c r="S236" s="190"/>
      <c r="T236" s="201"/>
      <c r="U236" s="201">
        <v>305</v>
      </c>
      <c r="V236" s="273">
        <f>U236/1.1023-[2]Grinder!$Q$1</f>
        <v>-24.655815113852896</v>
      </c>
      <c r="W236" s="282">
        <f t="shared" si="9"/>
        <v>732</v>
      </c>
    </row>
    <row r="237" spans="1:23" ht="14.5" hidden="1">
      <c r="A237" s="190" t="s">
        <v>744</v>
      </c>
      <c r="B237" s="190" t="s">
        <v>745</v>
      </c>
      <c r="C237" s="503" t="s">
        <v>368</v>
      </c>
      <c r="D237" s="503" t="s">
        <v>46</v>
      </c>
      <c r="E237" s="503" t="s">
        <v>766</v>
      </c>
      <c r="F237" s="504">
        <v>2</v>
      </c>
      <c r="G237" s="504">
        <v>34</v>
      </c>
      <c r="H237" s="504">
        <v>155</v>
      </c>
      <c r="I237" s="505"/>
      <c r="J237" s="506" t="s">
        <v>59</v>
      </c>
      <c r="K237" s="506"/>
      <c r="L237" s="503" t="s">
        <v>418</v>
      </c>
      <c r="M237" s="503" t="s">
        <v>436</v>
      </c>
      <c r="N237" s="507"/>
      <c r="O237" s="507"/>
      <c r="P237" s="1734"/>
      <c r="Q237" s="503"/>
      <c r="R237" s="190"/>
      <c r="S237" s="190"/>
      <c r="T237" s="201"/>
      <c r="U237" s="201">
        <v>305</v>
      </c>
      <c r="V237" s="273">
        <f>U237/1.1023-[2]Grinder!$Q$1</f>
        <v>-24.655815113852896</v>
      </c>
      <c r="W237" s="282">
        <f t="shared" si="9"/>
        <v>787.91666666666674</v>
      </c>
    </row>
    <row r="238" spans="1:23" ht="14.5" hidden="1">
      <c r="A238" s="190" t="s">
        <v>744</v>
      </c>
      <c r="B238" s="190" t="s">
        <v>745</v>
      </c>
      <c r="C238" s="503" t="s">
        <v>695</v>
      </c>
      <c r="D238" s="503" t="s">
        <v>46</v>
      </c>
      <c r="E238" s="503" t="s">
        <v>757</v>
      </c>
      <c r="F238" s="504">
        <v>2</v>
      </c>
      <c r="G238" s="504">
        <v>42</v>
      </c>
      <c r="H238" s="504">
        <v>162</v>
      </c>
      <c r="I238" s="505"/>
      <c r="J238" s="506" t="s">
        <v>60</v>
      </c>
      <c r="K238" s="506"/>
      <c r="L238" s="503" t="s">
        <v>418</v>
      </c>
      <c r="M238" s="503" t="s">
        <v>778</v>
      </c>
      <c r="N238" s="507"/>
      <c r="O238" s="507"/>
      <c r="P238" s="1734"/>
      <c r="Q238" s="503"/>
      <c r="R238" s="190"/>
      <c r="S238" s="190"/>
      <c r="T238" s="201"/>
      <c r="U238" s="201">
        <v>305</v>
      </c>
      <c r="V238" s="273">
        <f>U238/1.1023-[2]Grinder!$Q$1</f>
        <v>-24.655815113852896</v>
      </c>
      <c r="W238" s="282">
        <f t="shared" si="9"/>
        <v>823.5</v>
      </c>
    </row>
    <row r="239" spans="1:23" ht="14.5" hidden="1">
      <c r="A239" s="190" t="s">
        <v>744</v>
      </c>
      <c r="B239" s="190" t="s">
        <v>745</v>
      </c>
      <c r="C239" s="503" t="s">
        <v>750</v>
      </c>
      <c r="D239" s="503" t="s">
        <v>46</v>
      </c>
      <c r="E239" s="503" t="s">
        <v>747</v>
      </c>
      <c r="F239" s="504">
        <v>0</v>
      </c>
      <c r="G239" s="504">
        <v>34</v>
      </c>
      <c r="H239" s="504">
        <v>34</v>
      </c>
      <c r="I239" s="505"/>
      <c r="J239" s="506" t="s">
        <v>60</v>
      </c>
      <c r="K239" s="506"/>
      <c r="L239" s="503" t="s">
        <v>418</v>
      </c>
      <c r="M239" s="503" t="s">
        <v>778</v>
      </c>
      <c r="N239" s="507"/>
      <c r="O239" s="507"/>
      <c r="P239" s="1734"/>
      <c r="Q239" s="503"/>
      <c r="R239" s="190"/>
      <c r="S239" s="190"/>
      <c r="T239" s="201"/>
      <c r="U239" s="201">
        <v>305</v>
      </c>
      <c r="V239" s="273">
        <f>U239/1.1023-[2]Grinder!$Q$1</f>
        <v>-24.655815113852896</v>
      </c>
      <c r="W239" s="282">
        <f t="shared" si="9"/>
        <v>172.83333333333334</v>
      </c>
    </row>
    <row r="240" spans="1:23" ht="14.5" hidden="1">
      <c r="A240" s="190" t="s">
        <v>744</v>
      </c>
      <c r="B240" s="190" t="s">
        <v>745</v>
      </c>
      <c r="C240" s="503" t="s">
        <v>748</v>
      </c>
      <c r="D240" s="503" t="s">
        <v>46</v>
      </c>
      <c r="E240" s="503" t="s">
        <v>747</v>
      </c>
      <c r="F240" s="504">
        <v>0</v>
      </c>
      <c r="G240" s="504">
        <v>47</v>
      </c>
      <c r="H240" s="504">
        <v>47</v>
      </c>
      <c r="I240" s="505"/>
      <c r="J240" s="506" t="s">
        <v>60</v>
      </c>
      <c r="K240" s="506"/>
      <c r="L240" s="503" t="s">
        <v>418</v>
      </c>
      <c r="M240" s="503" t="s">
        <v>778</v>
      </c>
      <c r="N240" s="507"/>
      <c r="O240" s="507"/>
      <c r="P240" s="1734"/>
      <c r="Q240" s="503"/>
      <c r="R240" s="190"/>
      <c r="S240" s="190"/>
      <c r="T240" s="201"/>
      <c r="U240" s="201">
        <v>305</v>
      </c>
      <c r="V240" s="273">
        <f>U240/1.1023-[2]Grinder!$Q$1</f>
        <v>-24.655815113852896</v>
      </c>
      <c r="W240" s="282">
        <f t="shared" si="9"/>
        <v>238.91666666666666</v>
      </c>
    </row>
    <row r="241" spans="1:23" ht="14.5" hidden="1">
      <c r="A241" s="190" t="s">
        <v>744</v>
      </c>
      <c r="B241" s="190" t="s">
        <v>745</v>
      </c>
      <c r="C241" s="503" t="s">
        <v>746</v>
      </c>
      <c r="D241" s="503" t="s">
        <v>46</v>
      </c>
      <c r="E241" s="503" t="s">
        <v>747</v>
      </c>
      <c r="F241" s="504">
        <v>0</v>
      </c>
      <c r="G241" s="504">
        <v>64</v>
      </c>
      <c r="H241" s="504">
        <v>64</v>
      </c>
      <c r="I241" s="505"/>
      <c r="J241" s="506" t="s">
        <v>59</v>
      </c>
      <c r="K241" s="506"/>
      <c r="L241" s="503" t="s">
        <v>418</v>
      </c>
      <c r="M241" s="503" t="s">
        <v>436</v>
      </c>
      <c r="N241" s="507"/>
      <c r="O241" s="507"/>
      <c r="P241" s="1734"/>
      <c r="Q241" s="503"/>
      <c r="R241" s="190"/>
      <c r="S241" s="190"/>
      <c r="T241" s="201"/>
      <c r="U241" s="201">
        <v>305</v>
      </c>
      <c r="V241" s="273">
        <f>U241/1.1023-[2]Grinder!$Q$1</f>
        <v>-24.655815113852896</v>
      </c>
      <c r="W241" s="282">
        <f t="shared" si="9"/>
        <v>325.33333333333331</v>
      </c>
    </row>
    <row r="242" spans="1:23" ht="14.5" hidden="1">
      <c r="A242" s="190" t="s">
        <v>744</v>
      </c>
      <c r="B242" s="190" t="s">
        <v>745</v>
      </c>
      <c r="C242" s="503" t="s">
        <v>771</v>
      </c>
      <c r="D242" s="503" t="s">
        <v>46</v>
      </c>
      <c r="E242" s="503" t="s">
        <v>772</v>
      </c>
      <c r="F242" s="504">
        <v>0</v>
      </c>
      <c r="G242" s="504">
        <v>47</v>
      </c>
      <c r="H242" s="504">
        <v>47</v>
      </c>
      <c r="I242" s="505"/>
      <c r="J242" s="506" t="s">
        <v>60</v>
      </c>
      <c r="K242" s="506"/>
      <c r="L242" s="503" t="s">
        <v>418</v>
      </c>
      <c r="M242" s="503" t="s">
        <v>778</v>
      </c>
      <c r="N242" s="507"/>
      <c r="O242" s="507"/>
      <c r="P242" s="1735"/>
      <c r="Q242" s="503"/>
      <c r="R242" s="190"/>
      <c r="S242" s="190"/>
      <c r="T242" s="201"/>
      <c r="U242" s="201">
        <v>305</v>
      </c>
      <c r="V242" s="273">
        <f>U242/1.1023-[2]Grinder!$Q$1</f>
        <v>-24.655815113852896</v>
      </c>
      <c r="W242" s="282">
        <f t="shared" si="9"/>
        <v>238.91666666666666</v>
      </c>
    </row>
    <row r="243" spans="1:23" hidden="1">
      <c r="W243" s="274">
        <f>SUM(W2:W242)</f>
        <v>227298.75</v>
      </c>
    </row>
  </sheetData>
  <autoFilter ref="A1:X243" xr:uid="{B95E56D9-87E3-4EC6-933A-F574A7D8A4D8}">
    <filterColumn colId="11">
      <filters>
        <filter val="FAQ"/>
      </filters>
    </filterColumn>
  </autoFilter>
  <mergeCells count="4">
    <mergeCell ref="P102:P111"/>
    <mergeCell ref="P112:P182"/>
    <mergeCell ref="P183:P242"/>
    <mergeCell ref="P17:P77"/>
  </mergeCells>
  <conditionalFormatting sqref="U78:U91 U93:U101">
    <cfRule type="duplicateValues" dxfId="4" priority="2"/>
  </conditionalFormatting>
  <conditionalFormatting sqref="U182 U177:U179 U175 U172 U152 U150 U140 U115">
    <cfRule type="duplicateValues" dxfId="3" priority="1"/>
  </conditionalFormatting>
  <conditionalFormatting sqref="U243:U1048576 U1:U16">
    <cfRule type="duplicateValues" dxfId="2" priority="3"/>
  </conditionalFormatting>
  <pageMargins left="0.7" right="0.7" top="0.75" bottom="0.75" header="0.3" footer="0.3"/>
  <pageSetup scale="26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E63B-7F0D-41B7-9E30-AB82E7DFCDD7}">
  <sheetPr filterMode="1">
    <tabColor theme="7" tint="0.79998168889431442"/>
    <pageSetUpPr fitToPage="1"/>
  </sheetPr>
  <dimension ref="A1:AA65"/>
  <sheetViews>
    <sheetView topLeftCell="E1" zoomScale="110" zoomScaleNormal="110" workbookViewId="0">
      <selection activeCell="H30" sqref="A1:AA65"/>
    </sheetView>
  </sheetViews>
  <sheetFormatPr defaultRowHeight="13"/>
  <cols>
    <col min="1" max="1" width="19.54296875" style="740" customWidth="1"/>
    <col min="2" max="2" width="8.81640625" style="740"/>
    <col min="3" max="3" width="14.54296875" style="740" customWidth="1"/>
    <col min="4" max="4" width="8.81640625" style="740"/>
    <col min="5" max="5" width="19.54296875" style="740" customWidth="1"/>
    <col min="6" max="7" width="8.81640625" style="740"/>
    <col min="8" max="8" width="8.90625" style="740"/>
    <col min="9" max="9" width="17.90625" style="740" bestFit="1" customWidth="1"/>
    <col min="10" max="10" width="12.90625" style="740" bestFit="1" customWidth="1"/>
    <col min="11" max="11" width="13.36328125" style="740" bestFit="1" customWidth="1"/>
    <col min="12" max="12" width="12.1796875" style="740" customWidth="1"/>
    <col min="13" max="13" width="14.54296875" style="740" customWidth="1"/>
    <col min="14" max="14" width="18.453125" style="740" customWidth="1"/>
    <col min="15" max="15" width="14.54296875" style="740" customWidth="1"/>
    <col min="16" max="21" width="18.453125" style="759" customWidth="1"/>
    <col min="22" max="22" width="21" style="740" customWidth="1"/>
    <col min="23" max="23" width="8.81640625" style="740"/>
    <col min="24" max="24" width="17.453125" style="760" customWidth="1"/>
    <col min="25" max="25" width="13.81640625" style="740" customWidth="1"/>
    <col min="26" max="26" width="8.81640625" style="740"/>
    <col min="27" max="27" width="18.54296875" style="863" customWidth="1"/>
    <col min="28" max="261" width="8.81640625" style="740"/>
    <col min="262" max="262" width="13.453125" style="740" customWidth="1"/>
    <col min="263" max="263" width="8.81640625" style="740"/>
    <col min="264" max="264" width="10.453125" style="740" customWidth="1"/>
    <col min="265" max="265" width="8.81640625" style="740"/>
    <col min="266" max="266" width="6.1796875" style="740" customWidth="1"/>
    <col min="267" max="267" width="14.54296875" style="740" customWidth="1"/>
    <col min="268" max="268" width="8.81640625" style="740"/>
    <col min="269" max="269" width="26.1796875" style="740" bestFit="1" customWidth="1"/>
    <col min="270" max="274" width="8.81640625" style="740"/>
    <col min="275" max="275" width="14.54296875" style="740" customWidth="1"/>
    <col min="276" max="276" width="8.81640625" style="740"/>
    <col min="277" max="277" width="13.453125" style="740" bestFit="1" customWidth="1"/>
    <col min="278" max="517" width="8.81640625" style="740"/>
    <col min="518" max="518" width="13.453125" style="740" customWidth="1"/>
    <col min="519" max="519" width="8.81640625" style="740"/>
    <col min="520" max="520" width="10.453125" style="740" customWidth="1"/>
    <col min="521" max="521" width="8.81640625" style="740"/>
    <col min="522" max="522" width="6.1796875" style="740" customWidth="1"/>
    <col min="523" max="523" width="14.54296875" style="740" customWidth="1"/>
    <col min="524" max="524" width="8.81640625" style="740"/>
    <col min="525" max="525" width="26.1796875" style="740" bestFit="1" customWidth="1"/>
    <col min="526" max="530" width="8.81640625" style="740"/>
    <col min="531" max="531" width="14.54296875" style="740" customWidth="1"/>
    <col min="532" max="532" width="8.81640625" style="740"/>
    <col min="533" max="533" width="13.453125" style="740" bestFit="1" customWidth="1"/>
    <col min="534" max="773" width="8.81640625" style="740"/>
    <col min="774" max="774" width="13.453125" style="740" customWidth="1"/>
    <col min="775" max="775" width="8.81640625" style="740"/>
    <col min="776" max="776" width="10.453125" style="740" customWidth="1"/>
    <col min="777" max="777" width="8.81640625" style="740"/>
    <col min="778" max="778" width="6.1796875" style="740" customWidth="1"/>
    <col min="779" max="779" width="14.54296875" style="740" customWidth="1"/>
    <col min="780" max="780" width="8.81640625" style="740"/>
    <col min="781" max="781" width="26.1796875" style="740" bestFit="1" customWidth="1"/>
    <col min="782" max="786" width="8.81640625" style="740"/>
    <col min="787" max="787" width="14.54296875" style="740" customWidth="1"/>
    <col min="788" max="788" width="8.81640625" style="740"/>
    <col min="789" max="789" width="13.453125" style="740" bestFit="1" customWidth="1"/>
    <col min="790" max="1029" width="8.81640625" style="740"/>
    <col min="1030" max="1030" width="13.453125" style="740" customWidth="1"/>
    <col min="1031" max="1031" width="8.81640625" style="740"/>
    <col min="1032" max="1032" width="10.453125" style="740" customWidth="1"/>
    <col min="1033" max="1033" width="8.81640625" style="740"/>
    <col min="1034" max="1034" width="6.1796875" style="740" customWidth="1"/>
    <col min="1035" max="1035" width="14.54296875" style="740" customWidth="1"/>
    <col min="1036" max="1036" width="8.81640625" style="740"/>
    <col min="1037" max="1037" width="26.1796875" style="740" bestFit="1" customWidth="1"/>
    <col min="1038" max="1042" width="8.81640625" style="740"/>
    <col min="1043" max="1043" width="14.54296875" style="740" customWidth="1"/>
    <col min="1044" max="1044" width="8.81640625" style="740"/>
    <col min="1045" max="1045" width="13.453125" style="740" bestFit="1" customWidth="1"/>
    <col min="1046" max="1285" width="8.81640625" style="740"/>
    <col min="1286" max="1286" width="13.453125" style="740" customWidth="1"/>
    <col min="1287" max="1287" width="8.81640625" style="740"/>
    <col min="1288" max="1288" width="10.453125" style="740" customWidth="1"/>
    <col min="1289" max="1289" width="8.81640625" style="740"/>
    <col min="1290" max="1290" width="6.1796875" style="740" customWidth="1"/>
    <col min="1291" max="1291" width="14.54296875" style="740" customWidth="1"/>
    <col min="1292" max="1292" width="8.81640625" style="740"/>
    <col min="1293" max="1293" width="26.1796875" style="740" bestFit="1" customWidth="1"/>
    <col min="1294" max="1298" width="8.81640625" style="740"/>
    <col min="1299" max="1299" width="14.54296875" style="740" customWidth="1"/>
    <col min="1300" max="1300" width="8.81640625" style="740"/>
    <col min="1301" max="1301" width="13.453125" style="740" bestFit="1" customWidth="1"/>
    <col min="1302" max="1541" width="8.81640625" style="740"/>
    <col min="1542" max="1542" width="13.453125" style="740" customWidth="1"/>
    <col min="1543" max="1543" width="8.81640625" style="740"/>
    <col min="1544" max="1544" width="10.453125" style="740" customWidth="1"/>
    <col min="1545" max="1545" width="8.81640625" style="740"/>
    <col min="1546" max="1546" width="6.1796875" style="740" customWidth="1"/>
    <col min="1547" max="1547" width="14.54296875" style="740" customWidth="1"/>
    <col min="1548" max="1548" width="8.81640625" style="740"/>
    <col min="1549" max="1549" width="26.1796875" style="740" bestFit="1" customWidth="1"/>
    <col min="1550" max="1554" width="8.81640625" style="740"/>
    <col min="1555" max="1555" width="14.54296875" style="740" customWidth="1"/>
    <col min="1556" max="1556" width="8.81640625" style="740"/>
    <col min="1557" max="1557" width="13.453125" style="740" bestFit="1" customWidth="1"/>
    <col min="1558" max="1797" width="8.81640625" style="740"/>
    <col min="1798" max="1798" width="13.453125" style="740" customWidth="1"/>
    <col min="1799" max="1799" width="8.81640625" style="740"/>
    <col min="1800" max="1800" width="10.453125" style="740" customWidth="1"/>
    <col min="1801" max="1801" width="8.81640625" style="740"/>
    <col min="1802" max="1802" width="6.1796875" style="740" customWidth="1"/>
    <col min="1803" max="1803" width="14.54296875" style="740" customWidth="1"/>
    <col min="1804" max="1804" width="8.81640625" style="740"/>
    <col min="1805" max="1805" width="26.1796875" style="740" bestFit="1" customWidth="1"/>
    <col min="1806" max="1810" width="8.81640625" style="740"/>
    <col min="1811" max="1811" width="14.54296875" style="740" customWidth="1"/>
    <col min="1812" max="1812" width="8.81640625" style="740"/>
    <col min="1813" max="1813" width="13.453125" style="740" bestFit="1" customWidth="1"/>
    <col min="1814" max="2053" width="8.81640625" style="740"/>
    <col min="2054" max="2054" width="13.453125" style="740" customWidth="1"/>
    <col min="2055" max="2055" width="8.81640625" style="740"/>
    <col min="2056" max="2056" width="10.453125" style="740" customWidth="1"/>
    <col min="2057" max="2057" width="8.81640625" style="740"/>
    <col min="2058" max="2058" width="6.1796875" style="740" customWidth="1"/>
    <col min="2059" max="2059" width="14.54296875" style="740" customWidth="1"/>
    <col min="2060" max="2060" width="8.81640625" style="740"/>
    <col min="2061" max="2061" width="26.1796875" style="740" bestFit="1" customWidth="1"/>
    <col min="2062" max="2066" width="8.81640625" style="740"/>
    <col min="2067" max="2067" width="14.54296875" style="740" customWidth="1"/>
    <col min="2068" max="2068" width="8.81640625" style="740"/>
    <col min="2069" max="2069" width="13.453125" style="740" bestFit="1" customWidth="1"/>
    <col min="2070" max="2309" width="8.81640625" style="740"/>
    <col min="2310" max="2310" width="13.453125" style="740" customWidth="1"/>
    <col min="2311" max="2311" width="8.81640625" style="740"/>
    <col min="2312" max="2312" width="10.453125" style="740" customWidth="1"/>
    <col min="2313" max="2313" width="8.81640625" style="740"/>
    <col min="2314" max="2314" width="6.1796875" style="740" customWidth="1"/>
    <col min="2315" max="2315" width="14.54296875" style="740" customWidth="1"/>
    <col min="2316" max="2316" width="8.81640625" style="740"/>
    <col min="2317" max="2317" width="26.1796875" style="740" bestFit="1" customWidth="1"/>
    <col min="2318" max="2322" width="8.81640625" style="740"/>
    <col min="2323" max="2323" width="14.54296875" style="740" customWidth="1"/>
    <col min="2324" max="2324" width="8.81640625" style="740"/>
    <col min="2325" max="2325" width="13.453125" style="740" bestFit="1" customWidth="1"/>
    <col min="2326" max="2565" width="8.81640625" style="740"/>
    <col min="2566" max="2566" width="13.453125" style="740" customWidth="1"/>
    <col min="2567" max="2567" width="8.81640625" style="740"/>
    <col min="2568" max="2568" width="10.453125" style="740" customWidth="1"/>
    <col min="2569" max="2569" width="8.81640625" style="740"/>
    <col min="2570" max="2570" width="6.1796875" style="740" customWidth="1"/>
    <col min="2571" max="2571" width="14.54296875" style="740" customWidth="1"/>
    <col min="2572" max="2572" width="8.81640625" style="740"/>
    <col min="2573" max="2573" width="26.1796875" style="740" bestFit="1" customWidth="1"/>
    <col min="2574" max="2578" width="8.81640625" style="740"/>
    <col min="2579" max="2579" width="14.54296875" style="740" customWidth="1"/>
    <col min="2580" max="2580" width="8.81640625" style="740"/>
    <col min="2581" max="2581" width="13.453125" style="740" bestFit="1" customWidth="1"/>
    <col min="2582" max="2821" width="8.81640625" style="740"/>
    <col min="2822" max="2822" width="13.453125" style="740" customWidth="1"/>
    <col min="2823" max="2823" width="8.81640625" style="740"/>
    <col min="2824" max="2824" width="10.453125" style="740" customWidth="1"/>
    <col min="2825" max="2825" width="8.81640625" style="740"/>
    <col min="2826" max="2826" width="6.1796875" style="740" customWidth="1"/>
    <col min="2827" max="2827" width="14.54296875" style="740" customWidth="1"/>
    <col min="2828" max="2828" width="8.81640625" style="740"/>
    <col min="2829" max="2829" width="26.1796875" style="740" bestFit="1" customWidth="1"/>
    <col min="2830" max="2834" width="8.81640625" style="740"/>
    <col min="2835" max="2835" width="14.54296875" style="740" customWidth="1"/>
    <col min="2836" max="2836" width="8.81640625" style="740"/>
    <col min="2837" max="2837" width="13.453125" style="740" bestFit="1" customWidth="1"/>
    <col min="2838" max="3077" width="8.81640625" style="740"/>
    <col min="3078" max="3078" width="13.453125" style="740" customWidth="1"/>
    <col min="3079" max="3079" width="8.81640625" style="740"/>
    <col min="3080" max="3080" width="10.453125" style="740" customWidth="1"/>
    <col min="3081" max="3081" width="8.81640625" style="740"/>
    <col min="3082" max="3082" width="6.1796875" style="740" customWidth="1"/>
    <col min="3083" max="3083" width="14.54296875" style="740" customWidth="1"/>
    <col min="3084" max="3084" width="8.81640625" style="740"/>
    <col min="3085" max="3085" width="26.1796875" style="740" bestFit="1" customWidth="1"/>
    <col min="3086" max="3090" width="8.81640625" style="740"/>
    <col min="3091" max="3091" width="14.54296875" style="740" customWidth="1"/>
    <col min="3092" max="3092" width="8.81640625" style="740"/>
    <col min="3093" max="3093" width="13.453125" style="740" bestFit="1" customWidth="1"/>
    <col min="3094" max="3333" width="8.81640625" style="740"/>
    <col min="3334" max="3334" width="13.453125" style="740" customWidth="1"/>
    <col min="3335" max="3335" width="8.81640625" style="740"/>
    <col min="3336" max="3336" width="10.453125" style="740" customWidth="1"/>
    <col min="3337" max="3337" width="8.81640625" style="740"/>
    <col min="3338" max="3338" width="6.1796875" style="740" customWidth="1"/>
    <col min="3339" max="3339" width="14.54296875" style="740" customWidth="1"/>
    <col min="3340" max="3340" width="8.81640625" style="740"/>
    <col min="3341" max="3341" width="26.1796875" style="740" bestFit="1" customWidth="1"/>
    <col min="3342" max="3346" width="8.81640625" style="740"/>
    <col min="3347" max="3347" width="14.54296875" style="740" customWidth="1"/>
    <col min="3348" max="3348" width="8.81640625" style="740"/>
    <col min="3349" max="3349" width="13.453125" style="740" bestFit="1" customWidth="1"/>
    <col min="3350" max="3589" width="8.81640625" style="740"/>
    <col min="3590" max="3590" width="13.453125" style="740" customWidth="1"/>
    <col min="3591" max="3591" width="8.81640625" style="740"/>
    <col min="3592" max="3592" width="10.453125" style="740" customWidth="1"/>
    <col min="3593" max="3593" width="8.81640625" style="740"/>
    <col min="3594" max="3594" width="6.1796875" style="740" customWidth="1"/>
    <col min="3595" max="3595" width="14.54296875" style="740" customWidth="1"/>
    <col min="3596" max="3596" width="8.81640625" style="740"/>
    <col min="3597" max="3597" width="26.1796875" style="740" bestFit="1" customWidth="1"/>
    <col min="3598" max="3602" width="8.81640625" style="740"/>
    <col min="3603" max="3603" width="14.54296875" style="740" customWidth="1"/>
    <col min="3604" max="3604" width="8.81640625" style="740"/>
    <col min="3605" max="3605" width="13.453125" style="740" bestFit="1" customWidth="1"/>
    <col min="3606" max="3845" width="8.81640625" style="740"/>
    <col min="3846" max="3846" width="13.453125" style="740" customWidth="1"/>
    <col min="3847" max="3847" width="8.81640625" style="740"/>
    <col min="3848" max="3848" width="10.453125" style="740" customWidth="1"/>
    <col min="3849" max="3849" width="8.81640625" style="740"/>
    <col min="3850" max="3850" width="6.1796875" style="740" customWidth="1"/>
    <col min="3851" max="3851" width="14.54296875" style="740" customWidth="1"/>
    <col min="3852" max="3852" width="8.81640625" style="740"/>
    <col min="3853" max="3853" width="26.1796875" style="740" bestFit="1" customWidth="1"/>
    <col min="3854" max="3858" width="8.81640625" style="740"/>
    <col min="3859" max="3859" width="14.54296875" style="740" customWidth="1"/>
    <col min="3860" max="3860" width="8.81640625" style="740"/>
    <col min="3861" max="3861" width="13.453125" style="740" bestFit="1" customWidth="1"/>
    <col min="3862" max="4101" width="8.81640625" style="740"/>
    <col min="4102" max="4102" width="13.453125" style="740" customWidth="1"/>
    <col min="4103" max="4103" width="8.81640625" style="740"/>
    <col min="4104" max="4104" width="10.453125" style="740" customWidth="1"/>
    <col min="4105" max="4105" width="8.81640625" style="740"/>
    <col min="4106" max="4106" width="6.1796875" style="740" customWidth="1"/>
    <col min="4107" max="4107" width="14.54296875" style="740" customWidth="1"/>
    <col min="4108" max="4108" width="8.81640625" style="740"/>
    <col min="4109" max="4109" width="26.1796875" style="740" bestFit="1" customWidth="1"/>
    <col min="4110" max="4114" width="8.81640625" style="740"/>
    <col min="4115" max="4115" width="14.54296875" style="740" customWidth="1"/>
    <col min="4116" max="4116" width="8.81640625" style="740"/>
    <col min="4117" max="4117" width="13.453125" style="740" bestFit="1" customWidth="1"/>
    <col min="4118" max="4357" width="8.81640625" style="740"/>
    <col min="4358" max="4358" width="13.453125" style="740" customWidth="1"/>
    <col min="4359" max="4359" width="8.81640625" style="740"/>
    <col min="4360" max="4360" width="10.453125" style="740" customWidth="1"/>
    <col min="4361" max="4361" width="8.81640625" style="740"/>
    <col min="4362" max="4362" width="6.1796875" style="740" customWidth="1"/>
    <col min="4363" max="4363" width="14.54296875" style="740" customWidth="1"/>
    <col min="4364" max="4364" width="8.81640625" style="740"/>
    <col min="4365" max="4365" width="26.1796875" style="740" bestFit="1" customWidth="1"/>
    <col min="4366" max="4370" width="8.81640625" style="740"/>
    <col min="4371" max="4371" width="14.54296875" style="740" customWidth="1"/>
    <col min="4372" max="4372" width="8.81640625" style="740"/>
    <col min="4373" max="4373" width="13.453125" style="740" bestFit="1" customWidth="1"/>
    <col min="4374" max="4613" width="8.81640625" style="740"/>
    <col min="4614" max="4614" width="13.453125" style="740" customWidth="1"/>
    <col min="4615" max="4615" width="8.81640625" style="740"/>
    <col min="4616" max="4616" width="10.453125" style="740" customWidth="1"/>
    <col min="4617" max="4617" width="8.81640625" style="740"/>
    <col min="4618" max="4618" width="6.1796875" style="740" customWidth="1"/>
    <col min="4619" max="4619" width="14.54296875" style="740" customWidth="1"/>
    <col min="4620" max="4620" width="8.81640625" style="740"/>
    <col min="4621" max="4621" width="26.1796875" style="740" bestFit="1" customWidth="1"/>
    <col min="4622" max="4626" width="8.81640625" style="740"/>
    <col min="4627" max="4627" width="14.54296875" style="740" customWidth="1"/>
    <col min="4628" max="4628" width="8.81640625" style="740"/>
    <col min="4629" max="4629" width="13.453125" style="740" bestFit="1" customWidth="1"/>
    <col min="4630" max="4869" width="8.81640625" style="740"/>
    <col min="4870" max="4870" width="13.453125" style="740" customWidth="1"/>
    <col min="4871" max="4871" width="8.81640625" style="740"/>
    <col min="4872" max="4872" width="10.453125" style="740" customWidth="1"/>
    <col min="4873" max="4873" width="8.81640625" style="740"/>
    <col min="4874" max="4874" width="6.1796875" style="740" customWidth="1"/>
    <col min="4875" max="4875" width="14.54296875" style="740" customWidth="1"/>
    <col min="4876" max="4876" width="8.81640625" style="740"/>
    <col min="4877" max="4877" width="26.1796875" style="740" bestFit="1" customWidth="1"/>
    <col min="4878" max="4882" width="8.81640625" style="740"/>
    <col min="4883" max="4883" width="14.54296875" style="740" customWidth="1"/>
    <col min="4884" max="4884" width="8.81640625" style="740"/>
    <col min="4885" max="4885" width="13.453125" style="740" bestFit="1" customWidth="1"/>
    <col min="4886" max="5125" width="8.81640625" style="740"/>
    <col min="5126" max="5126" width="13.453125" style="740" customWidth="1"/>
    <col min="5127" max="5127" width="8.81640625" style="740"/>
    <col min="5128" max="5128" width="10.453125" style="740" customWidth="1"/>
    <col min="5129" max="5129" width="8.81640625" style="740"/>
    <col min="5130" max="5130" width="6.1796875" style="740" customWidth="1"/>
    <col min="5131" max="5131" width="14.54296875" style="740" customWidth="1"/>
    <col min="5132" max="5132" width="8.81640625" style="740"/>
    <col min="5133" max="5133" width="26.1796875" style="740" bestFit="1" customWidth="1"/>
    <col min="5134" max="5138" width="8.81640625" style="740"/>
    <col min="5139" max="5139" width="14.54296875" style="740" customWidth="1"/>
    <col min="5140" max="5140" width="8.81640625" style="740"/>
    <col min="5141" max="5141" width="13.453125" style="740" bestFit="1" customWidth="1"/>
    <col min="5142" max="5381" width="8.81640625" style="740"/>
    <col min="5382" max="5382" width="13.453125" style="740" customWidth="1"/>
    <col min="5383" max="5383" width="8.81640625" style="740"/>
    <col min="5384" max="5384" width="10.453125" style="740" customWidth="1"/>
    <col min="5385" max="5385" width="8.81640625" style="740"/>
    <col min="5386" max="5386" width="6.1796875" style="740" customWidth="1"/>
    <col min="5387" max="5387" width="14.54296875" style="740" customWidth="1"/>
    <col min="5388" max="5388" width="8.81640625" style="740"/>
    <col min="5389" max="5389" width="26.1796875" style="740" bestFit="1" customWidth="1"/>
    <col min="5390" max="5394" width="8.81640625" style="740"/>
    <col min="5395" max="5395" width="14.54296875" style="740" customWidth="1"/>
    <col min="5396" max="5396" width="8.81640625" style="740"/>
    <col min="5397" max="5397" width="13.453125" style="740" bestFit="1" customWidth="1"/>
    <col min="5398" max="5637" width="8.81640625" style="740"/>
    <col min="5638" max="5638" width="13.453125" style="740" customWidth="1"/>
    <col min="5639" max="5639" width="8.81640625" style="740"/>
    <col min="5640" max="5640" width="10.453125" style="740" customWidth="1"/>
    <col min="5641" max="5641" width="8.81640625" style="740"/>
    <col min="5642" max="5642" width="6.1796875" style="740" customWidth="1"/>
    <col min="5643" max="5643" width="14.54296875" style="740" customWidth="1"/>
    <col min="5644" max="5644" width="8.81640625" style="740"/>
    <col min="5645" max="5645" width="26.1796875" style="740" bestFit="1" customWidth="1"/>
    <col min="5646" max="5650" width="8.81640625" style="740"/>
    <col min="5651" max="5651" width="14.54296875" style="740" customWidth="1"/>
    <col min="5652" max="5652" width="8.81640625" style="740"/>
    <col min="5653" max="5653" width="13.453125" style="740" bestFit="1" customWidth="1"/>
    <col min="5654" max="5893" width="8.81640625" style="740"/>
    <col min="5894" max="5894" width="13.453125" style="740" customWidth="1"/>
    <col min="5895" max="5895" width="8.81640625" style="740"/>
    <col min="5896" max="5896" width="10.453125" style="740" customWidth="1"/>
    <col min="5897" max="5897" width="8.81640625" style="740"/>
    <col min="5898" max="5898" width="6.1796875" style="740" customWidth="1"/>
    <col min="5899" max="5899" width="14.54296875" style="740" customWidth="1"/>
    <col min="5900" max="5900" width="8.81640625" style="740"/>
    <col min="5901" max="5901" width="26.1796875" style="740" bestFit="1" customWidth="1"/>
    <col min="5902" max="5906" width="8.81640625" style="740"/>
    <col min="5907" max="5907" width="14.54296875" style="740" customWidth="1"/>
    <col min="5908" max="5908" width="8.81640625" style="740"/>
    <col min="5909" max="5909" width="13.453125" style="740" bestFit="1" customWidth="1"/>
    <col min="5910" max="6149" width="8.81640625" style="740"/>
    <col min="6150" max="6150" width="13.453125" style="740" customWidth="1"/>
    <col min="6151" max="6151" width="8.81640625" style="740"/>
    <col min="6152" max="6152" width="10.453125" style="740" customWidth="1"/>
    <col min="6153" max="6153" width="8.81640625" style="740"/>
    <col min="6154" max="6154" width="6.1796875" style="740" customWidth="1"/>
    <col min="6155" max="6155" width="14.54296875" style="740" customWidth="1"/>
    <col min="6156" max="6156" width="8.81640625" style="740"/>
    <col min="6157" max="6157" width="26.1796875" style="740" bestFit="1" customWidth="1"/>
    <col min="6158" max="6162" width="8.81640625" style="740"/>
    <col min="6163" max="6163" width="14.54296875" style="740" customWidth="1"/>
    <col min="6164" max="6164" width="8.81640625" style="740"/>
    <col min="6165" max="6165" width="13.453125" style="740" bestFit="1" customWidth="1"/>
    <col min="6166" max="6405" width="8.81640625" style="740"/>
    <col min="6406" max="6406" width="13.453125" style="740" customWidth="1"/>
    <col min="6407" max="6407" width="8.81640625" style="740"/>
    <col min="6408" max="6408" width="10.453125" style="740" customWidth="1"/>
    <col min="6409" max="6409" width="8.81640625" style="740"/>
    <col min="6410" max="6410" width="6.1796875" style="740" customWidth="1"/>
    <col min="6411" max="6411" width="14.54296875" style="740" customWidth="1"/>
    <col min="6412" max="6412" width="8.81640625" style="740"/>
    <col min="6413" max="6413" width="26.1796875" style="740" bestFit="1" customWidth="1"/>
    <col min="6414" max="6418" width="8.81640625" style="740"/>
    <col min="6419" max="6419" width="14.54296875" style="740" customWidth="1"/>
    <col min="6420" max="6420" width="8.81640625" style="740"/>
    <col min="6421" max="6421" width="13.453125" style="740" bestFit="1" customWidth="1"/>
    <col min="6422" max="6661" width="8.81640625" style="740"/>
    <col min="6662" max="6662" width="13.453125" style="740" customWidth="1"/>
    <col min="6663" max="6663" width="8.81640625" style="740"/>
    <col min="6664" max="6664" width="10.453125" style="740" customWidth="1"/>
    <col min="6665" max="6665" width="8.81640625" style="740"/>
    <col min="6666" max="6666" width="6.1796875" style="740" customWidth="1"/>
    <col min="6667" max="6667" width="14.54296875" style="740" customWidth="1"/>
    <col min="6668" max="6668" width="8.81640625" style="740"/>
    <col min="6669" max="6669" width="26.1796875" style="740" bestFit="1" customWidth="1"/>
    <col min="6670" max="6674" width="8.81640625" style="740"/>
    <col min="6675" max="6675" width="14.54296875" style="740" customWidth="1"/>
    <col min="6676" max="6676" width="8.81640625" style="740"/>
    <col min="6677" max="6677" width="13.453125" style="740" bestFit="1" customWidth="1"/>
    <col min="6678" max="6917" width="8.81640625" style="740"/>
    <col min="6918" max="6918" width="13.453125" style="740" customWidth="1"/>
    <col min="6919" max="6919" width="8.81640625" style="740"/>
    <col min="6920" max="6920" width="10.453125" style="740" customWidth="1"/>
    <col min="6921" max="6921" width="8.81640625" style="740"/>
    <col min="6922" max="6922" width="6.1796875" style="740" customWidth="1"/>
    <col min="6923" max="6923" width="14.54296875" style="740" customWidth="1"/>
    <col min="6924" max="6924" width="8.81640625" style="740"/>
    <col min="6925" max="6925" width="26.1796875" style="740" bestFit="1" customWidth="1"/>
    <col min="6926" max="6930" width="8.81640625" style="740"/>
    <col min="6931" max="6931" width="14.54296875" style="740" customWidth="1"/>
    <col min="6932" max="6932" width="8.81640625" style="740"/>
    <col min="6933" max="6933" width="13.453125" style="740" bestFit="1" customWidth="1"/>
    <col min="6934" max="7173" width="8.81640625" style="740"/>
    <col min="7174" max="7174" width="13.453125" style="740" customWidth="1"/>
    <col min="7175" max="7175" width="8.81640625" style="740"/>
    <col min="7176" max="7176" width="10.453125" style="740" customWidth="1"/>
    <col min="7177" max="7177" width="8.81640625" style="740"/>
    <col min="7178" max="7178" width="6.1796875" style="740" customWidth="1"/>
    <col min="7179" max="7179" width="14.54296875" style="740" customWidth="1"/>
    <col min="7180" max="7180" width="8.81640625" style="740"/>
    <col min="7181" max="7181" width="26.1796875" style="740" bestFit="1" customWidth="1"/>
    <col min="7182" max="7186" width="8.81640625" style="740"/>
    <col min="7187" max="7187" width="14.54296875" style="740" customWidth="1"/>
    <col min="7188" max="7188" width="8.81640625" style="740"/>
    <col min="7189" max="7189" width="13.453125" style="740" bestFit="1" customWidth="1"/>
    <col min="7190" max="7429" width="8.81640625" style="740"/>
    <col min="7430" max="7430" width="13.453125" style="740" customWidth="1"/>
    <col min="7431" max="7431" width="8.81640625" style="740"/>
    <col min="7432" max="7432" width="10.453125" style="740" customWidth="1"/>
    <col min="7433" max="7433" width="8.81640625" style="740"/>
    <col min="7434" max="7434" width="6.1796875" style="740" customWidth="1"/>
    <col min="7435" max="7435" width="14.54296875" style="740" customWidth="1"/>
    <col min="7436" max="7436" width="8.81640625" style="740"/>
    <col min="7437" max="7437" width="26.1796875" style="740" bestFit="1" customWidth="1"/>
    <col min="7438" max="7442" width="8.81640625" style="740"/>
    <col min="7443" max="7443" width="14.54296875" style="740" customWidth="1"/>
    <col min="7444" max="7444" width="8.81640625" style="740"/>
    <col min="7445" max="7445" width="13.453125" style="740" bestFit="1" customWidth="1"/>
    <col min="7446" max="7685" width="8.81640625" style="740"/>
    <col min="7686" max="7686" width="13.453125" style="740" customWidth="1"/>
    <col min="7687" max="7687" width="8.81640625" style="740"/>
    <col min="7688" max="7688" width="10.453125" style="740" customWidth="1"/>
    <col min="7689" max="7689" width="8.81640625" style="740"/>
    <col min="7690" max="7690" width="6.1796875" style="740" customWidth="1"/>
    <col min="7691" max="7691" width="14.54296875" style="740" customWidth="1"/>
    <col min="7692" max="7692" width="8.81640625" style="740"/>
    <col min="7693" max="7693" width="26.1796875" style="740" bestFit="1" customWidth="1"/>
    <col min="7694" max="7698" width="8.81640625" style="740"/>
    <col min="7699" max="7699" width="14.54296875" style="740" customWidth="1"/>
    <col min="7700" max="7700" width="8.81640625" style="740"/>
    <col min="7701" max="7701" width="13.453125" style="740" bestFit="1" customWidth="1"/>
    <col min="7702" max="7941" width="8.81640625" style="740"/>
    <col min="7942" max="7942" width="13.453125" style="740" customWidth="1"/>
    <col min="7943" max="7943" width="8.81640625" style="740"/>
    <col min="7944" max="7944" width="10.453125" style="740" customWidth="1"/>
    <col min="7945" max="7945" width="8.81640625" style="740"/>
    <col min="7946" max="7946" width="6.1796875" style="740" customWidth="1"/>
    <col min="7947" max="7947" width="14.54296875" style="740" customWidth="1"/>
    <col min="7948" max="7948" width="8.81640625" style="740"/>
    <col min="7949" max="7949" width="26.1796875" style="740" bestFit="1" customWidth="1"/>
    <col min="7950" max="7954" width="8.81640625" style="740"/>
    <col min="7955" max="7955" width="14.54296875" style="740" customWidth="1"/>
    <col min="7956" max="7956" width="8.81640625" style="740"/>
    <col min="7957" max="7957" width="13.453125" style="740" bestFit="1" customWidth="1"/>
    <col min="7958" max="8197" width="8.81640625" style="740"/>
    <col min="8198" max="8198" width="13.453125" style="740" customWidth="1"/>
    <col min="8199" max="8199" width="8.81640625" style="740"/>
    <col min="8200" max="8200" width="10.453125" style="740" customWidth="1"/>
    <col min="8201" max="8201" width="8.81640625" style="740"/>
    <col min="8202" max="8202" width="6.1796875" style="740" customWidth="1"/>
    <col min="8203" max="8203" width="14.54296875" style="740" customWidth="1"/>
    <col min="8204" max="8204" width="8.81640625" style="740"/>
    <col min="8205" max="8205" width="26.1796875" style="740" bestFit="1" customWidth="1"/>
    <col min="8206" max="8210" width="8.81640625" style="740"/>
    <col min="8211" max="8211" width="14.54296875" style="740" customWidth="1"/>
    <col min="8212" max="8212" width="8.81640625" style="740"/>
    <col min="8213" max="8213" width="13.453125" style="740" bestFit="1" customWidth="1"/>
    <col min="8214" max="8453" width="8.81640625" style="740"/>
    <col min="8454" max="8454" width="13.453125" style="740" customWidth="1"/>
    <col min="8455" max="8455" width="8.81640625" style="740"/>
    <col min="8456" max="8456" width="10.453125" style="740" customWidth="1"/>
    <col min="8457" max="8457" width="8.81640625" style="740"/>
    <col min="8458" max="8458" width="6.1796875" style="740" customWidth="1"/>
    <col min="8459" max="8459" width="14.54296875" style="740" customWidth="1"/>
    <col min="8460" max="8460" width="8.81640625" style="740"/>
    <col min="8461" max="8461" width="26.1796875" style="740" bestFit="1" customWidth="1"/>
    <col min="8462" max="8466" width="8.81640625" style="740"/>
    <col min="8467" max="8467" width="14.54296875" style="740" customWidth="1"/>
    <col min="8468" max="8468" width="8.81640625" style="740"/>
    <col min="8469" max="8469" width="13.453125" style="740" bestFit="1" customWidth="1"/>
    <col min="8470" max="8709" width="8.81640625" style="740"/>
    <col min="8710" max="8710" width="13.453125" style="740" customWidth="1"/>
    <col min="8711" max="8711" width="8.81640625" style="740"/>
    <col min="8712" max="8712" width="10.453125" style="740" customWidth="1"/>
    <col min="8713" max="8713" width="8.81640625" style="740"/>
    <col min="8714" max="8714" width="6.1796875" style="740" customWidth="1"/>
    <col min="8715" max="8715" width="14.54296875" style="740" customWidth="1"/>
    <col min="8716" max="8716" width="8.81640625" style="740"/>
    <col min="8717" max="8717" width="26.1796875" style="740" bestFit="1" customWidth="1"/>
    <col min="8718" max="8722" width="8.81640625" style="740"/>
    <col min="8723" max="8723" width="14.54296875" style="740" customWidth="1"/>
    <col min="8724" max="8724" width="8.81640625" style="740"/>
    <col min="8725" max="8725" width="13.453125" style="740" bestFit="1" customWidth="1"/>
    <col min="8726" max="8965" width="8.81640625" style="740"/>
    <col min="8966" max="8966" width="13.453125" style="740" customWidth="1"/>
    <col min="8967" max="8967" width="8.81640625" style="740"/>
    <col min="8968" max="8968" width="10.453125" style="740" customWidth="1"/>
    <col min="8969" max="8969" width="8.81640625" style="740"/>
    <col min="8970" max="8970" width="6.1796875" style="740" customWidth="1"/>
    <col min="8971" max="8971" width="14.54296875" style="740" customWidth="1"/>
    <col min="8972" max="8972" width="8.81640625" style="740"/>
    <col min="8973" max="8973" width="26.1796875" style="740" bestFit="1" customWidth="1"/>
    <col min="8974" max="8978" width="8.81640625" style="740"/>
    <col min="8979" max="8979" width="14.54296875" style="740" customWidth="1"/>
    <col min="8980" max="8980" width="8.81640625" style="740"/>
    <col min="8981" max="8981" width="13.453125" style="740" bestFit="1" customWidth="1"/>
    <col min="8982" max="9221" width="8.81640625" style="740"/>
    <col min="9222" max="9222" width="13.453125" style="740" customWidth="1"/>
    <col min="9223" max="9223" width="8.81640625" style="740"/>
    <col min="9224" max="9224" width="10.453125" style="740" customWidth="1"/>
    <col min="9225" max="9225" width="8.81640625" style="740"/>
    <col min="9226" max="9226" width="6.1796875" style="740" customWidth="1"/>
    <col min="9227" max="9227" width="14.54296875" style="740" customWidth="1"/>
    <col min="9228" max="9228" width="8.81640625" style="740"/>
    <col min="9229" max="9229" width="26.1796875" style="740" bestFit="1" customWidth="1"/>
    <col min="9230" max="9234" width="8.81640625" style="740"/>
    <col min="9235" max="9235" width="14.54296875" style="740" customWidth="1"/>
    <col min="9236" max="9236" width="8.81640625" style="740"/>
    <col min="9237" max="9237" width="13.453125" style="740" bestFit="1" customWidth="1"/>
    <col min="9238" max="9477" width="8.81640625" style="740"/>
    <col min="9478" max="9478" width="13.453125" style="740" customWidth="1"/>
    <col min="9479" max="9479" width="8.81640625" style="740"/>
    <col min="9480" max="9480" width="10.453125" style="740" customWidth="1"/>
    <col min="9481" max="9481" width="8.81640625" style="740"/>
    <col min="9482" max="9482" width="6.1796875" style="740" customWidth="1"/>
    <col min="9483" max="9483" width="14.54296875" style="740" customWidth="1"/>
    <col min="9484" max="9484" width="8.81640625" style="740"/>
    <col min="9485" max="9485" width="26.1796875" style="740" bestFit="1" customWidth="1"/>
    <col min="9486" max="9490" width="8.81640625" style="740"/>
    <col min="9491" max="9491" width="14.54296875" style="740" customWidth="1"/>
    <col min="9492" max="9492" width="8.81640625" style="740"/>
    <col min="9493" max="9493" width="13.453125" style="740" bestFit="1" customWidth="1"/>
    <col min="9494" max="9733" width="8.81640625" style="740"/>
    <col min="9734" max="9734" width="13.453125" style="740" customWidth="1"/>
    <col min="9735" max="9735" width="8.81640625" style="740"/>
    <col min="9736" max="9736" width="10.453125" style="740" customWidth="1"/>
    <col min="9737" max="9737" width="8.81640625" style="740"/>
    <col min="9738" max="9738" width="6.1796875" style="740" customWidth="1"/>
    <col min="9739" max="9739" width="14.54296875" style="740" customWidth="1"/>
    <col min="9740" max="9740" width="8.81640625" style="740"/>
    <col min="9741" max="9741" width="26.1796875" style="740" bestFit="1" customWidth="1"/>
    <col min="9742" max="9746" width="8.81640625" style="740"/>
    <col min="9747" max="9747" width="14.54296875" style="740" customWidth="1"/>
    <col min="9748" max="9748" width="8.81640625" style="740"/>
    <col min="9749" max="9749" width="13.453125" style="740" bestFit="1" customWidth="1"/>
    <col min="9750" max="9989" width="8.81640625" style="740"/>
    <col min="9990" max="9990" width="13.453125" style="740" customWidth="1"/>
    <col min="9991" max="9991" width="8.81640625" style="740"/>
    <col min="9992" max="9992" width="10.453125" style="740" customWidth="1"/>
    <col min="9993" max="9993" width="8.81640625" style="740"/>
    <col min="9994" max="9994" width="6.1796875" style="740" customWidth="1"/>
    <col min="9995" max="9995" width="14.54296875" style="740" customWidth="1"/>
    <col min="9996" max="9996" width="8.81640625" style="740"/>
    <col min="9997" max="9997" width="26.1796875" style="740" bestFit="1" customWidth="1"/>
    <col min="9998" max="10002" width="8.81640625" style="740"/>
    <col min="10003" max="10003" width="14.54296875" style="740" customWidth="1"/>
    <col min="10004" max="10004" width="8.81640625" style="740"/>
    <col min="10005" max="10005" width="13.453125" style="740" bestFit="1" customWidth="1"/>
    <col min="10006" max="10245" width="8.81640625" style="740"/>
    <col min="10246" max="10246" width="13.453125" style="740" customWidth="1"/>
    <col min="10247" max="10247" width="8.81640625" style="740"/>
    <col min="10248" max="10248" width="10.453125" style="740" customWidth="1"/>
    <col min="10249" max="10249" width="8.81640625" style="740"/>
    <col min="10250" max="10250" width="6.1796875" style="740" customWidth="1"/>
    <col min="10251" max="10251" width="14.54296875" style="740" customWidth="1"/>
    <col min="10252" max="10252" width="8.81640625" style="740"/>
    <col min="10253" max="10253" width="26.1796875" style="740" bestFit="1" customWidth="1"/>
    <col min="10254" max="10258" width="8.81640625" style="740"/>
    <col min="10259" max="10259" width="14.54296875" style="740" customWidth="1"/>
    <col min="10260" max="10260" width="8.81640625" style="740"/>
    <col min="10261" max="10261" width="13.453125" style="740" bestFit="1" customWidth="1"/>
    <col min="10262" max="10501" width="8.81640625" style="740"/>
    <col min="10502" max="10502" width="13.453125" style="740" customWidth="1"/>
    <col min="10503" max="10503" width="8.81640625" style="740"/>
    <col min="10504" max="10504" width="10.453125" style="740" customWidth="1"/>
    <col min="10505" max="10505" width="8.81640625" style="740"/>
    <col min="10506" max="10506" width="6.1796875" style="740" customWidth="1"/>
    <col min="10507" max="10507" width="14.54296875" style="740" customWidth="1"/>
    <col min="10508" max="10508" width="8.81640625" style="740"/>
    <col min="10509" max="10509" width="26.1796875" style="740" bestFit="1" customWidth="1"/>
    <col min="10510" max="10514" width="8.81640625" style="740"/>
    <col min="10515" max="10515" width="14.54296875" style="740" customWidth="1"/>
    <col min="10516" max="10516" width="8.81640625" style="740"/>
    <col min="10517" max="10517" width="13.453125" style="740" bestFit="1" customWidth="1"/>
    <col min="10518" max="10757" width="8.81640625" style="740"/>
    <col min="10758" max="10758" width="13.453125" style="740" customWidth="1"/>
    <col min="10759" max="10759" width="8.81640625" style="740"/>
    <col min="10760" max="10760" width="10.453125" style="740" customWidth="1"/>
    <col min="10761" max="10761" width="8.81640625" style="740"/>
    <col min="10762" max="10762" width="6.1796875" style="740" customWidth="1"/>
    <col min="10763" max="10763" width="14.54296875" style="740" customWidth="1"/>
    <col min="10764" max="10764" width="8.81640625" style="740"/>
    <col min="10765" max="10765" width="26.1796875" style="740" bestFit="1" customWidth="1"/>
    <col min="10766" max="10770" width="8.81640625" style="740"/>
    <col min="10771" max="10771" width="14.54296875" style="740" customWidth="1"/>
    <col min="10772" max="10772" width="8.81640625" style="740"/>
    <col min="10773" max="10773" width="13.453125" style="740" bestFit="1" customWidth="1"/>
    <col min="10774" max="11013" width="8.81640625" style="740"/>
    <col min="11014" max="11014" width="13.453125" style="740" customWidth="1"/>
    <col min="11015" max="11015" width="8.81640625" style="740"/>
    <col min="11016" max="11016" width="10.453125" style="740" customWidth="1"/>
    <col min="11017" max="11017" width="8.81640625" style="740"/>
    <col min="11018" max="11018" width="6.1796875" style="740" customWidth="1"/>
    <col min="11019" max="11019" width="14.54296875" style="740" customWidth="1"/>
    <col min="11020" max="11020" width="8.81640625" style="740"/>
    <col min="11021" max="11021" width="26.1796875" style="740" bestFit="1" customWidth="1"/>
    <col min="11022" max="11026" width="8.81640625" style="740"/>
    <col min="11027" max="11027" width="14.54296875" style="740" customWidth="1"/>
    <col min="11028" max="11028" width="8.81640625" style="740"/>
    <col min="11029" max="11029" width="13.453125" style="740" bestFit="1" customWidth="1"/>
    <col min="11030" max="11269" width="8.81640625" style="740"/>
    <col min="11270" max="11270" width="13.453125" style="740" customWidth="1"/>
    <col min="11271" max="11271" width="8.81640625" style="740"/>
    <col min="11272" max="11272" width="10.453125" style="740" customWidth="1"/>
    <col min="11273" max="11273" width="8.81640625" style="740"/>
    <col min="11274" max="11274" width="6.1796875" style="740" customWidth="1"/>
    <col min="11275" max="11275" width="14.54296875" style="740" customWidth="1"/>
    <col min="11276" max="11276" width="8.81640625" style="740"/>
    <col min="11277" max="11277" width="26.1796875" style="740" bestFit="1" customWidth="1"/>
    <col min="11278" max="11282" width="8.81640625" style="740"/>
    <col min="11283" max="11283" width="14.54296875" style="740" customWidth="1"/>
    <col min="11284" max="11284" width="8.81640625" style="740"/>
    <col min="11285" max="11285" width="13.453125" style="740" bestFit="1" customWidth="1"/>
    <col min="11286" max="11525" width="8.81640625" style="740"/>
    <col min="11526" max="11526" width="13.453125" style="740" customWidth="1"/>
    <col min="11527" max="11527" width="8.81640625" style="740"/>
    <col min="11528" max="11528" width="10.453125" style="740" customWidth="1"/>
    <col min="11529" max="11529" width="8.81640625" style="740"/>
    <col min="11530" max="11530" width="6.1796875" style="740" customWidth="1"/>
    <col min="11531" max="11531" width="14.54296875" style="740" customWidth="1"/>
    <col min="11532" max="11532" width="8.81640625" style="740"/>
    <col min="11533" max="11533" width="26.1796875" style="740" bestFit="1" customWidth="1"/>
    <col min="11534" max="11538" width="8.81640625" style="740"/>
    <col min="11539" max="11539" width="14.54296875" style="740" customWidth="1"/>
    <col min="11540" max="11540" width="8.81640625" style="740"/>
    <col min="11541" max="11541" width="13.453125" style="740" bestFit="1" customWidth="1"/>
    <col min="11542" max="11781" width="8.81640625" style="740"/>
    <col min="11782" max="11782" width="13.453125" style="740" customWidth="1"/>
    <col min="11783" max="11783" width="8.81640625" style="740"/>
    <col min="11784" max="11784" width="10.453125" style="740" customWidth="1"/>
    <col min="11785" max="11785" width="8.81640625" style="740"/>
    <col min="11786" max="11786" width="6.1796875" style="740" customWidth="1"/>
    <col min="11787" max="11787" width="14.54296875" style="740" customWidth="1"/>
    <col min="11788" max="11788" width="8.81640625" style="740"/>
    <col min="11789" max="11789" width="26.1796875" style="740" bestFit="1" customWidth="1"/>
    <col min="11790" max="11794" width="8.81640625" style="740"/>
    <col min="11795" max="11795" width="14.54296875" style="740" customWidth="1"/>
    <col min="11796" max="11796" width="8.81640625" style="740"/>
    <col min="11797" max="11797" width="13.453125" style="740" bestFit="1" customWidth="1"/>
    <col min="11798" max="12037" width="8.81640625" style="740"/>
    <col min="12038" max="12038" width="13.453125" style="740" customWidth="1"/>
    <col min="12039" max="12039" width="8.81640625" style="740"/>
    <col min="12040" max="12040" width="10.453125" style="740" customWidth="1"/>
    <col min="12041" max="12041" width="8.81640625" style="740"/>
    <col min="12042" max="12042" width="6.1796875" style="740" customWidth="1"/>
    <col min="12043" max="12043" width="14.54296875" style="740" customWidth="1"/>
    <col min="12044" max="12044" width="8.81640625" style="740"/>
    <col min="12045" max="12045" width="26.1796875" style="740" bestFit="1" customWidth="1"/>
    <col min="12046" max="12050" width="8.81640625" style="740"/>
    <col min="12051" max="12051" width="14.54296875" style="740" customWidth="1"/>
    <col min="12052" max="12052" width="8.81640625" style="740"/>
    <col min="12053" max="12053" width="13.453125" style="740" bestFit="1" customWidth="1"/>
    <col min="12054" max="12293" width="8.81640625" style="740"/>
    <col min="12294" max="12294" width="13.453125" style="740" customWidth="1"/>
    <col min="12295" max="12295" width="8.81640625" style="740"/>
    <col min="12296" max="12296" width="10.453125" style="740" customWidth="1"/>
    <col min="12297" max="12297" width="8.81640625" style="740"/>
    <col min="12298" max="12298" width="6.1796875" style="740" customWidth="1"/>
    <col min="12299" max="12299" width="14.54296875" style="740" customWidth="1"/>
    <col min="12300" max="12300" width="8.81640625" style="740"/>
    <col min="12301" max="12301" width="26.1796875" style="740" bestFit="1" customWidth="1"/>
    <col min="12302" max="12306" width="8.81640625" style="740"/>
    <col min="12307" max="12307" width="14.54296875" style="740" customWidth="1"/>
    <col min="12308" max="12308" width="8.81640625" style="740"/>
    <col min="12309" max="12309" width="13.453125" style="740" bestFit="1" customWidth="1"/>
    <col min="12310" max="12549" width="8.81640625" style="740"/>
    <col min="12550" max="12550" width="13.453125" style="740" customWidth="1"/>
    <col min="12551" max="12551" width="8.81640625" style="740"/>
    <col min="12552" max="12552" width="10.453125" style="740" customWidth="1"/>
    <col min="12553" max="12553" width="8.81640625" style="740"/>
    <col min="12554" max="12554" width="6.1796875" style="740" customWidth="1"/>
    <col min="12555" max="12555" width="14.54296875" style="740" customWidth="1"/>
    <col min="12556" max="12556" width="8.81640625" style="740"/>
    <col min="12557" max="12557" width="26.1796875" style="740" bestFit="1" customWidth="1"/>
    <col min="12558" max="12562" width="8.81640625" style="740"/>
    <col min="12563" max="12563" width="14.54296875" style="740" customWidth="1"/>
    <col min="12564" max="12564" width="8.81640625" style="740"/>
    <col min="12565" max="12565" width="13.453125" style="740" bestFit="1" customWidth="1"/>
    <col min="12566" max="12805" width="8.81640625" style="740"/>
    <col min="12806" max="12806" width="13.453125" style="740" customWidth="1"/>
    <col min="12807" max="12807" width="8.81640625" style="740"/>
    <col min="12808" max="12808" width="10.453125" style="740" customWidth="1"/>
    <col min="12809" max="12809" width="8.81640625" style="740"/>
    <col min="12810" max="12810" width="6.1796875" style="740" customWidth="1"/>
    <col min="12811" max="12811" width="14.54296875" style="740" customWidth="1"/>
    <col min="12812" max="12812" width="8.81640625" style="740"/>
    <col min="12813" max="12813" width="26.1796875" style="740" bestFit="1" customWidth="1"/>
    <col min="12814" max="12818" width="8.81640625" style="740"/>
    <col min="12819" max="12819" width="14.54296875" style="740" customWidth="1"/>
    <col min="12820" max="12820" width="8.81640625" style="740"/>
    <col min="12821" max="12821" width="13.453125" style="740" bestFit="1" customWidth="1"/>
    <col min="12822" max="13061" width="8.81640625" style="740"/>
    <col min="13062" max="13062" width="13.453125" style="740" customWidth="1"/>
    <col min="13063" max="13063" width="8.81640625" style="740"/>
    <col min="13064" max="13064" width="10.453125" style="740" customWidth="1"/>
    <col min="13065" max="13065" width="8.81640625" style="740"/>
    <col min="13066" max="13066" width="6.1796875" style="740" customWidth="1"/>
    <col min="13067" max="13067" width="14.54296875" style="740" customWidth="1"/>
    <col min="13068" max="13068" width="8.81640625" style="740"/>
    <col min="13069" max="13069" width="26.1796875" style="740" bestFit="1" customWidth="1"/>
    <col min="13070" max="13074" width="8.81640625" style="740"/>
    <col min="13075" max="13075" width="14.54296875" style="740" customWidth="1"/>
    <col min="13076" max="13076" width="8.81640625" style="740"/>
    <col min="13077" max="13077" width="13.453125" style="740" bestFit="1" customWidth="1"/>
    <col min="13078" max="13317" width="8.81640625" style="740"/>
    <col min="13318" max="13318" width="13.453125" style="740" customWidth="1"/>
    <col min="13319" max="13319" width="8.81640625" style="740"/>
    <col min="13320" max="13320" width="10.453125" style="740" customWidth="1"/>
    <col min="13321" max="13321" width="8.81640625" style="740"/>
    <col min="13322" max="13322" width="6.1796875" style="740" customWidth="1"/>
    <col min="13323" max="13323" width="14.54296875" style="740" customWidth="1"/>
    <col min="13324" max="13324" width="8.81640625" style="740"/>
    <col min="13325" max="13325" width="26.1796875" style="740" bestFit="1" customWidth="1"/>
    <col min="13326" max="13330" width="8.81640625" style="740"/>
    <col min="13331" max="13331" width="14.54296875" style="740" customWidth="1"/>
    <col min="13332" max="13332" width="8.81640625" style="740"/>
    <col min="13333" max="13333" width="13.453125" style="740" bestFit="1" customWidth="1"/>
    <col min="13334" max="13573" width="8.81640625" style="740"/>
    <col min="13574" max="13574" width="13.453125" style="740" customWidth="1"/>
    <col min="13575" max="13575" width="8.81640625" style="740"/>
    <col min="13576" max="13576" width="10.453125" style="740" customWidth="1"/>
    <col min="13577" max="13577" width="8.81640625" style="740"/>
    <col min="13578" max="13578" width="6.1796875" style="740" customWidth="1"/>
    <col min="13579" max="13579" width="14.54296875" style="740" customWidth="1"/>
    <col min="13580" max="13580" width="8.81640625" style="740"/>
    <col min="13581" max="13581" width="26.1796875" style="740" bestFit="1" customWidth="1"/>
    <col min="13582" max="13586" width="8.81640625" style="740"/>
    <col min="13587" max="13587" width="14.54296875" style="740" customWidth="1"/>
    <col min="13588" max="13588" width="8.81640625" style="740"/>
    <col min="13589" max="13589" width="13.453125" style="740" bestFit="1" customWidth="1"/>
    <col min="13590" max="13829" width="8.81640625" style="740"/>
    <col min="13830" max="13830" width="13.453125" style="740" customWidth="1"/>
    <col min="13831" max="13831" width="8.81640625" style="740"/>
    <col min="13832" max="13832" width="10.453125" style="740" customWidth="1"/>
    <col min="13833" max="13833" width="8.81640625" style="740"/>
    <col min="13834" max="13834" width="6.1796875" style="740" customWidth="1"/>
    <col min="13835" max="13835" width="14.54296875" style="740" customWidth="1"/>
    <col min="13836" max="13836" width="8.81640625" style="740"/>
    <col min="13837" max="13837" width="26.1796875" style="740" bestFit="1" customWidth="1"/>
    <col min="13838" max="13842" width="8.81640625" style="740"/>
    <col min="13843" max="13843" width="14.54296875" style="740" customWidth="1"/>
    <col min="13844" max="13844" width="8.81640625" style="740"/>
    <col min="13845" max="13845" width="13.453125" style="740" bestFit="1" customWidth="1"/>
    <col min="13846" max="14085" width="8.81640625" style="740"/>
    <col min="14086" max="14086" width="13.453125" style="740" customWidth="1"/>
    <col min="14087" max="14087" width="8.81640625" style="740"/>
    <col min="14088" max="14088" width="10.453125" style="740" customWidth="1"/>
    <col min="14089" max="14089" width="8.81640625" style="740"/>
    <col min="14090" max="14090" width="6.1796875" style="740" customWidth="1"/>
    <col min="14091" max="14091" width="14.54296875" style="740" customWidth="1"/>
    <col min="14092" max="14092" width="8.81640625" style="740"/>
    <col min="14093" max="14093" width="26.1796875" style="740" bestFit="1" customWidth="1"/>
    <col min="14094" max="14098" width="8.81640625" style="740"/>
    <col min="14099" max="14099" width="14.54296875" style="740" customWidth="1"/>
    <col min="14100" max="14100" width="8.81640625" style="740"/>
    <col min="14101" max="14101" width="13.453125" style="740" bestFit="1" customWidth="1"/>
    <col min="14102" max="14341" width="8.81640625" style="740"/>
    <col min="14342" max="14342" width="13.453125" style="740" customWidth="1"/>
    <col min="14343" max="14343" width="8.81640625" style="740"/>
    <col min="14344" max="14344" width="10.453125" style="740" customWidth="1"/>
    <col min="14345" max="14345" width="8.81640625" style="740"/>
    <col min="14346" max="14346" width="6.1796875" style="740" customWidth="1"/>
    <col min="14347" max="14347" width="14.54296875" style="740" customWidth="1"/>
    <col min="14348" max="14348" width="8.81640625" style="740"/>
    <col min="14349" max="14349" width="26.1796875" style="740" bestFit="1" customWidth="1"/>
    <col min="14350" max="14354" width="8.81640625" style="740"/>
    <col min="14355" max="14355" width="14.54296875" style="740" customWidth="1"/>
    <col min="14356" max="14356" width="8.81640625" style="740"/>
    <col min="14357" max="14357" width="13.453125" style="740" bestFit="1" customWidth="1"/>
    <col min="14358" max="14597" width="8.81640625" style="740"/>
    <col min="14598" max="14598" width="13.453125" style="740" customWidth="1"/>
    <col min="14599" max="14599" width="8.81640625" style="740"/>
    <col min="14600" max="14600" width="10.453125" style="740" customWidth="1"/>
    <col min="14601" max="14601" width="8.81640625" style="740"/>
    <col min="14602" max="14602" width="6.1796875" style="740" customWidth="1"/>
    <col min="14603" max="14603" width="14.54296875" style="740" customWidth="1"/>
    <col min="14604" max="14604" width="8.81640625" style="740"/>
    <col min="14605" max="14605" width="26.1796875" style="740" bestFit="1" customWidth="1"/>
    <col min="14606" max="14610" width="8.81640625" style="740"/>
    <col min="14611" max="14611" width="14.54296875" style="740" customWidth="1"/>
    <col min="14612" max="14612" width="8.81640625" style="740"/>
    <col min="14613" max="14613" width="13.453125" style="740" bestFit="1" customWidth="1"/>
    <col min="14614" max="14853" width="8.81640625" style="740"/>
    <col min="14854" max="14854" width="13.453125" style="740" customWidth="1"/>
    <col min="14855" max="14855" width="8.81640625" style="740"/>
    <col min="14856" max="14856" width="10.453125" style="740" customWidth="1"/>
    <col min="14857" max="14857" width="8.81640625" style="740"/>
    <col min="14858" max="14858" width="6.1796875" style="740" customWidth="1"/>
    <col min="14859" max="14859" width="14.54296875" style="740" customWidth="1"/>
    <col min="14860" max="14860" width="8.81640625" style="740"/>
    <col min="14861" max="14861" width="26.1796875" style="740" bestFit="1" customWidth="1"/>
    <col min="14862" max="14866" width="8.81640625" style="740"/>
    <col min="14867" max="14867" width="14.54296875" style="740" customWidth="1"/>
    <col min="14868" max="14868" width="8.81640625" style="740"/>
    <col min="14869" max="14869" width="13.453125" style="740" bestFit="1" customWidth="1"/>
    <col min="14870" max="15109" width="8.81640625" style="740"/>
    <col min="15110" max="15110" width="13.453125" style="740" customWidth="1"/>
    <col min="15111" max="15111" width="8.81640625" style="740"/>
    <col min="15112" max="15112" width="10.453125" style="740" customWidth="1"/>
    <col min="15113" max="15113" width="8.81640625" style="740"/>
    <col min="15114" max="15114" width="6.1796875" style="740" customWidth="1"/>
    <col min="15115" max="15115" width="14.54296875" style="740" customWidth="1"/>
    <col min="15116" max="15116" width="8.81640625" style="740"/>
    <col min="15117" max="15117" width="26.1796875" style="740" bestFit="1" customWidth="1"/>
    <col min="15118" max="15122" width="8.81640625" style="740"/>
    <col min="15123" max="15123" width="14.54296875" style="740" customWidth="1"/>
    <col min="15124" max="15124" width="8.81640625" style="740"/>
    <col min="15125" max="15125" width="13.453125" style="740" bestFit="1" customWidth="1"/>
    <col min="15126" max="15365" width="8.81640625" style="740"/>
    <col min="15366" max="15366" width="13.453125" style="740" customWidth="1"/>
    <col min="15367" max="15367" width="8.81640625" style="740"/>
    <col min="15368" max="15368" width="10.453125" style="740" customWidth="1"/>
    <col min="15369" max="15369" width="8.81640625" style="740"/>
    <col min="15370" max="15370" width="6.1796875" style="740" customWidth="1"/>
    <col min="15371" max="15371" width="14.54296875" style="740" customWidth="1"/>
    <col min="15372" max="15372" width="8.81640625" style="740"/>
    <col min="15373" max="15373" width="26.1796875" style="740" bestFit="1" customWidth="1"/>
    <col min="15374" max="15378" width="8.81640625" style="740"/>
    <col min="15379" max="15379" width="14.54296875" style="740" customWidth="1"/>
    <col min="15380" max="15380" width="8.81640625" style="740"/>
    <col min="15381" max="15381" width="13.453125" style="740" bestFit="1" customWidth="1"/>
    <col min="15382" max="15621" width="8.81640625" style="740"/>
    <col min="15622" max="15622" width="13.453125" style="740" customWidth="1"/>
    <col min="15623" max="15623" width="8.81640625" style="740"/>
    <col min="15624" max="15624" width="10.453125" style="740" customWidth="1"/>
    <col min="15625" max="15625" width="8.81640625" style="740"/>
    <col min="15626" max="15626" width="6.1796875" style="740" customWidth="1"/>
    <col min="15627" max="15627" width="14.54296875" style="740" customWidth="1"/>
    <col min="15628" max="15628" width="8.81640625" style="740"/>
    <col min="15629" max="15629" width="26.1796875" style="740" bestFit="1" customWidth="1"/>
    <col min="15630" max="15634" width="8.81640625" style="740"/>
    <col min="15635" max="15635" width="14.54296875" style="740" customWidth="1"/>
    <col min="15636" max="15636" width="8.81640625" style="740"/>
    <col min="15637" max="15637" width="13.453125" style="740" bestFit="1" customWidth="1"/>
    <col min="15638" max="15877" width="8.81640625" style="740"/>
    <col min="15878" max="15878" width="13.453125" style="740" customWidth="1"/>
    <col min="15879" max="15879" width="8.81640625" style="740"/>
    <col min="15880" max="15880" width="10.453125" style="740" customWidth="1"/>
    <col min="15881" max="15881" width="8.81640625" style="740"/>
    <col min="15882" max="15882" width="6.1796875" style="740" customWidth="1"/>
    <col min="15883" max="15883" width="14.54296875" style="740" customWidth="1"/>
    <col min="15884" max="15884" width="8.81640625" style="740"/>
    <col min="15885" max="15885" width="26.1796875" style="740" bestFit="1" customWidth="1"/>
    <col min="15886" max="15890" width="8.81640625" style="740"/>
    <col min="15891" max="15891" width="14.54296875" style="740" customWidth="1"/>
    <col min="15892" max="15892" width="8.81640625" style="740"/>
    <col min="15893" max="15893" width="13.453125" style="740" bestFit="1" customWidth="1"/>
    <col min="15894" max="16133" width="8.81640625" style="740"/>
    <col min="16134" max="16134" width="13.453125" style="740" customWidth="1"/>
    <col min="16135" max="16135" width="8.81640625" style="740"/>
    <col min="16136" max="16136" width="10.453125" style="740" customWidth="1"/>
    <col min="16137" max="16137" width="8.81640625" style="740"/>
    <col min="16138" max="16138" width="6.1796875" style="740" customWidth="1"/>
    <col min="16139" max="16139" width="14.54296875" style="740" customWidth="1"/>
    <col min="16140" max="16140" width="8.81640625" style="740"/>
    <col min="16141" max="16141" width="26.1796875" style="740" bestFit="1" customWidth="1"/>
    <col min="16142" max="16146" width="8.81640625" style="740"/>
    <col min="16147" max="16147" width="14.54296875" style="740" customWidth="1"/>
    <col min="16148" max="16148" width="8.81640625" style="740"/>
    <col min="16149" max="16149" width="13.453125" style="740" bestFit="1" customWidth="1"/>
    <col min="16150" max="16384" width="8.81640625" style="740"/>
  </cols>
  <sheetData>
    <row r="1" spans="1:27" ht="26">
      <c r="A1" s="735" t="s">
        <v>738</v>
      </c>
      <c r="B1" s="735" t="s">
        <v>739</v>
      </c>
      <c r="C1" s="735" t="s">
        <v>80</v>
      </c>
      <c r="D1" s="735" t="s">
        <v>81</v>
      </c>
      <c r="E1" s="735" t="s">
        <v>740</v>
      </c>
      <c r="F1" s="735" t="s">
        <v>741</v>
      </c>
      <c r="G1" s="735" t="s">
        <v>742</v>
      </c>
      <c r="H1" s="735"/>
      <c r="I1" s="735" t="s">
        <v>413</v>
      </c>
      <c r="J1" s="735" t="s">
        <v>743</v>
      </c>
      <c r="K1" s="735" t="s">
        <v>26</v>
      </c>
      <c r="L1" s="736" t="s">
        <v>1205</v>
      </c>
      <c r="M1" s="736" t="s">
        <v>414</v>
      </c>
      <c r="N1" s="736" t="s">
        <v>163</v>
      </c>
      <c r="O1" s="736" t="s">
        <v>1118</v>
      </c>
      <c r="P1" s="737" t="s">
        <v>405</v>
      </c>
      <c r="Q1" s="737" t="s">
        <v>406</v>
      </c>
      <c r="R1" s="841" t="s">
        <v>705</v>
      </c>
      <c r="S1" s="841" t="s">
        <v>703</v>
      </c>
      <c r="T1" s="841" t="s">
        <v>704</v>
      </c>
      <c r="U1" s="841" t="s">
        <v>157</v>
      </c>
      <c r="V1" s="736" t="s">
        <v>348</v>
      </c>
      <c r="W1" s="424" t="s">
        <v>250</v>
      </c>
      <c r="X1" s="738" t="s">
        <v>396</v>
      </c>
      <c r="Y1" s="739" t="s">
        <v>407</v>
      </c>
      <c r="Z1" s="739">
        <v>301.35000000000002</v>
      </c>
      <c r="AA1" s="865" t="s">
        <v>1192</v>
      </c>
    </row>
    <row r="2" spans="1:27">
      <c r="A2" s="432" t="s">
        <v>744</v>
      </c>
      <c r="B2" s="432" t="s">
        <v>745</v>
      </c>
      <c r="C2" s="264" t="s">
        <v>327</v>
      </c>
      <c r="D2" s="265" t="s">
        <v>43</v>
      </c>
      <c r="E2" s="741" t="s">
        <v>240</v>
      </c>
      <c r="F2" s="267">
        <v>23</v>
      </c>
      <c r="G2" s="268">
        <v>46</v>
      </c>
      <c r="H2" s="268"/>
      <c r="I2" s="269">
        <f t="shared" ref="I2:I3" si="0">F2*60+G2</f>
        <v>1426</v>
      </c>
      <c r="J2" s="269"/>
      <c r="K2" s="745" t="s">
        <v>45</v>
      </c>
      <c r="L2" s="952" t="s">
        <v>1208</v>
      </c>
      <c r="M2" s="762" t="s">
        <v>354</v>
      </c>
      <c r="N2" s="762" t="s">
        <v>697</v>
      </c>
      <c r="O2" s="762"/>
      <c r="P2" s="763">
        <v>69998</v>
      </c>
      <c r="Q2" s="763">
        <v>1426.7</v>
      </c>
      <c r="R2" s="770">
        <v>24</v>
      </c>
      <c r="S2" s="847">
        <v>23</v>
      </c>
      <c r="T2" s="847">
        <v>54.4</v>
      </c>
      <c r="U2" s="847">
        <v>1434.4</v>
      </c>
      <c r="V2" s="764"/>
      <c r="W2" s="742">
        <v>330</v>
      </c>
      <c r="X2" s="743">
        <f>W2/1.1023-$Z$1</f>
        <v>-1.9759638936769193</v>
      </c>
      <c r="Y2" s="744">
        <f>Q2/60*W2*1.2</f>
        <v>9416.2199999999993</v>
      </c>
      <c r="AA2" s="863">
        <f>U2-Q2</f>
        <v>7.7000000000000455</v>
      </c>
    </row>
    <row r="3" spans="1:27">
      <c r="A3" s="432" t="s">
        <v>744</v>
      </c>
      <c r="B3" s="432" t="s">
        <v>745</v>
      </c>
      <c r="C3" s="264" t="s">
        <v>309</v>
      </c>
      <c r="D3" s="745" t="s">
        <v>42</v>
      </c>
      <c r="E3" s="276" t="s">
        <v>273</v>
      </c>
      <c r="F3" s="267">
        <v>50</v>
      </c>
      <c r="G3" s="268">
        <v>53</v>
      </c>
      <c r="H3" s="268"/>
      <c r="I3" s="269">
        <f t="shared" si="0"/>
        <v>3053</v>
      </c>
      <c r="J3" s="746"/>
      <c r="K3" s="745" t="s">
        <v>245</v>
      </c>
      <c r="L3" s="952" t="s">
        <v>1208</v>
      </c>
      <c r="M3" s="762" t="s">
        <v>354</v>
      </c>
      <c r="N3" s="740" t="s">
        <v>434</v>
      </c>
      <c r="P3" s="747">
        <v>70022</v>
      </c>
      <c r="Q3" s="747">
        <v>3053.2</v>
      </c>
      <c r="R3" s="770">
        <v>51</v>
      </c>
      <c r="S3" s="848">
        <v>51</v>
      </c>
      <c r="T3" s="848">
        <v>24.1</v>
      </c>
      <c r="U3" s="848">
        <v>3084.1</v>
      </c>
      <c r="V3" s="764"/>
      <c r="W3" s="742">
        <v>350</v>
      </c>
      <c r="X3" s="743">
        <f t="shared" ref="X3:X17" si="1">W3/1.1023-$Z$1</f>
        <v>16.167917082463873</v>
      </c>
      <c r="Y3" s="744">
        <f t="shared" ref="Y3:Y43" si="2">Q3/60*W3*1.2</f>
        <v>21372.399999999998</v>
      </c>
      <c r="AA3" s="863">
        <f t="shared" ref="AA3:AA39" si="3">U3-Q3</f>
        <v>30.900000000000091</v>
      </c>
    </row>
    <row r="4" spans="1:27" ht="14.25" customHeight="1">
      <c r="A4" s="432" t="s">
        <v>744</v>
      </c>
      <c r="B4" s="432" t="s">
        <v>745</v>
      </c>
      <c r="C4" s="432" t="s">
        <v>746</v>
      </c>
      <c r="D4" s="432" t="s">
        <v>42</v>
      </c>
      <c r="E4" s="432" t="s">
        <v>747</v>
      </c>
      <c r="F4" s="765">
        <v>10</v>
      </c>
      <c r="G4" s="765">
        <v>62</v>
      </c>
      <c r="H4" s="765"/>
      <c r="I4" s="765">
        <v>659</v>
      </c>
      <c r="J4" s="766">
        <v>11</v>
      </c>
      <c r="K4" s="432" t="s">
        <v>54</v>
      </c>
      <c r="L4" s="952" t="s">
        <v>1208</v>
      </c>
      <c r="M4" s="762" t="s">
        <v>354</v>
      </c>
      <c r="N4" s="762" t="s">
        <v>434</v>
      </c>
      <c r="O4" s="762"/>
      <c r="P4" s="763">
        <v>70481</v>
      </c>
      <c r="Q4" s="763">
        <v>659.6</v>
      </c>
      <c r="R4" s="770">
        <v>11</v>
      </c>
      <c r="S4" s="847">
        <v>11</v>
      </c>
      <c r="T4" s="847">
        <v>1.1000000000000001</v>
      </c>
      <c r="U4" s="847">
        <v>661.1</v>
      </c>
      <c r="V4" s="742"/>
      <c r="W4" s="742">
        <v>330</v>
      </c>
      <c r="X4" s="743">
        <f t="shared" si="1"/>
        <v>-1.9759638936769193</v>
      </c>
      <c r="Y4" s="744">
        <f t="shared" si="2"/>
        <v>4353.3599999999997</v>
      </c>
      <c r="AA4" s="863">
        <f t="shared" si="3"/>
        <v>1.5</v>
      </c>
    </row>
    <row r="5" spans="1:27" s="749" customFormat="1" ht="14.25" customHeight="1">
      <c r="A5" s="432" t="s">
        <v>744</v>
      </c>
      <c r="B5" s="432" t="s">
        <v>745</v>
      </c>
      <c r="C5" s="432" t="s">
        <v>746</v>
      </c>
      <c r="D5" s="432" t="s">
        <v>43</v>
      </c>
      <c r="E5" s="432" t="s">
        <v>747</v>
      </c>
      <c r="F5" s="765">
        <v>24</v>
      </c>
      <c r="G5" s="765">
        <v>14</v>
      </c>
      <c r="H5" s="765"/>
      <c r="I5" s="765">
        <v>1453</v>
      </c>
      <c r="J5" s="766">
        <v>11</v>
      </c>
      <c r="K5" s="432" t="s">
        <v>54</v>
      </c>
      <c r="L5" s="952" t="s">
        <v>1208</v>
      </c>
      <c r="M5" s="762" t="s">
        <v>354</v>
      </c>
      <c r="N5" s="762" t="s">
        <v>697</v>
      </c>
      <c r="O5" s="762"/>
      <c r="P5" s="763">
        <v>70485</v>
      </c>
      <c r="Q5" s="763">
        <v>1453</v>
      </c>
      <c r="R5" s="770">
        <v>25</v>
      </c>
      <c r="S5" s="847">
        <v>24</v>
      </c>
      <c r="T5" s="847">
        <v>16.5</v>
      </c>
      <c r="U5" s="847">
        <v>1456.5</v>
      </c>
      <c r="V5" s="748"/>
      <c r="W5" s="748">
        <v>320</v>
      </c>
      <c r="X5" s="743">
        <f t="shared" si="1"/>
        <v>-11.047904381747287</v>
      </c>
      <c r="Y5" s="744">
        <f t="shared" si="2"/>
        <v>9299.1999999999989</v>
      </c>
      <c r="AA5" s="863">
        <f t="shared" si="3"/>
        <v>3.5</v>
      </c>
    </row>
    <row r="6" spans="1:27" ht="15" customHeight="1">
      <c r="A6" s="432" t="s">
        <v>744</v>
      </c>
      <c r="B6" s="432" t="s">
        <v>745</v>
      </c>
      <c r="C6" s="432" t="s">
        <v>746</v>
      </c>
      <c r="D6" s="432" t="s">
        <v>45</v>
      </c>
      <c r="E6" s="432" t="s">
        <v>747</v>
      </c>
      <c r="F6" s="765">
        <v>10</v>
      </c>
      <c r="G6" s="765">
        <v>18</v>
      </c>
      <c r="H6" s="765"/>
      <c r="I6" s="765">
        <v>616</v>
      </c>
      <c r="J6" s="766">
        <v>10</v>
      </c>
      <c r="K6" s="432" t="s">
        <v>54</v>
      </c>
      <c r="L6" s="952" t="s">
        <v>1208</v>
      </c>
      <c r="M6" s="762" t="s">
        <v>354</v>
      </c>
      <c r="N6" s="432" t="s">
        <v>435</v>
      </c>
      <c r="O6" s="432"/>
      <c r="P6" s="767">
        <v>70489</v>
      </c>
      <c r="Q6" s="767">
        <v>616.79999999999995</v>
      </c>
      <c r="R6" s="770">
        <v>11</v>
      </c>
      <c r="S6" s="849">
        <v>10</v>
      </c>
      <c r="T6" s="849">
        <v>18.100000000000001</v>
      </c>
      <c r="U6" s="849">
        <v>618.1</v>
      </c>
      <c r="V6" s="742"/>
      <c r="W6" s="742">
        <v>275</v>
      </c>
      <c r="X6" s="743">
        <f t="shared" si="1"/>
        <v>-51.871636578064084</v>
      </c>
      <c r="Y6" s="744">
        <f t="shared" si="2"/>
        <v>3392.4</v>
      </c>
      <c r="AA6" s="863">
        <f t="shared" si="3"/>
        <v>1.3000000000000682</v>
      </c>
    </row>
    <row r="7" spans="1:27" ht="13.75" customHeight="1">
      <c r="A7" s="432" t="s">
        <v>744</v>
      </c>
      <c r="B7" s="432" t="s">
        <v>745</v>
      </c>
      <c r="C7" s="432" t="s">
        <v>746</v>
      </c>
      <c r="D7" s="432" t="s">
        <v>44</v>
      </c>
      <c r="E7" s="432" t="s">
        <v>747</v>
      </c>
      <c r="F7" s="765">
        <v>3</v>
      </c>
      <c r="G7" s="765">
        <v>12</v>
      </c>
      <c r="H7" s="765"/>
      <c r="I7" s="765">
        <v>191</v>
      </c>
      <c r="J7" s="766">
        <v>10</v>
      </c>
      <c r="K7" s="432" t="s">
        <v>54</v>
      </c>
      <c r="L7" s="952" t="s">
        <v>1208</v>
      </c>
      <c r="M7" s="762" t="s">
        <v>354</v>
      </c>
      <c r="N7" s="762" t="s">
        <v>697</v>
      </c>
      <c r="O7" s="762"/>
      <c r="P7" s="763">
        <v>70493</v>
      </c>
      <c r="Q7" s="763">
        <v>191.3</v>
      </c>
      <c r="R7" s="770">
        <v>4</v>
      </c>
      <c r="S7" s="847">
        <v>3</v>
      </c>
      <c r="T7" s="847">
        <v>11.4</v>
      </c>
      <c r="U7" s="847">
        <v>191.4</v>
      </c>
      <c r="V7" s="742"/>
      <c r="W7" s="748">
        <v>320</v>
      </c>
      <c r="X7" s="743">
        <f t="shared" si="1"/>
        <v>-11.047904381747287</v>
      </c>
      <c r="Y7" s="744">
        <f t="shared" si="2"/>
        <v>1224.32</v>
      </c>
      <c r="AA7" s="863">
        <f t="shared" si="3"/>
        <v>9.9999999999994316E-2</v>
      </c>
    </row>
    <row r="8" spans="1:27" ht="17.5" customHeight="1">
      <c r="A8" s="432" t="s">
        <v>744</v>
      </c>
      <c r="B8" s="432" t="s">
        <v>745</v>
      </c>
      <c r="C8" s="432" t="s">
        <v>748</v>
      </c>
      <c r="D8" s="432" t="s">
        <v>42</v>
      </c>
      <c r="E8" s="432" t="s">
        <v>747</v>
      </c>
      <c r="F8" s="765">
        <v>4</v>
      </c>
      <c r="G8" s="765">
        <v>65</v>
      </c>
      <c r="H8" s="765"/>
      <c r="I8" s="765">
        <v>304</v>
      </c>
      <c r="J8" s="766">
        <v>10</v>
      </c>
      <c r="K8" s="432" t="s">
        <v>54</v>
      </c>
      <c r="L8" s="952" t="s">
        <v>1208</v>
      </c>
      <c r="M8" s="762" t="s">
        <v>354</v>
      </c>
      <c r="N8" s="762" t="s">
        <v>434</v>
      </c>
      <c r="O8" s="762"/>
      <c r="P8" s="763">
        <v>70482</v>
      </c>
      <c r="Q8" s="763">
        <v>304</v>
      </c>
      <c r="R8" s="770">
        <v>5</v>
      </c>
      <c r="S8" s="847">
        <v>5</v>
      </c>
      <c r="T8" s="847">
        <v>3.5</v>
      </c>
      <c r="U8" s="847">
        <v>303.5</v>
      </c>
      <c r="V8" s="742"/>
      <c r="W8" s="742">
        <v>350</v>
      </c>
      <c r="X8" s="743">
        <f t="shared" si="1"/>
        <v>16.167917082463873</v>
      </c>
      <c r="Y8" s="744">
        <f t="shared" si="2"/>
        <v>2128</v>
      </c>
      <c r="AA8" s="863">
        <f t="shared" si="3"/>
        <v>-0.5</v>
      </c>
    </row>
    <row r="9" spans="1:27" ht="15" customHeight="1">
      <c r="A9" s="432" t="s">
        <v>744</v>
      </c>
      <c r="B9" s="432" t="s">
        <v>745</v>
      </c>
      <c r="C9" s="432" t="s">
        <v>748</v>
      </c>
      <c r="D9" s="432" t="s">
        <v>43</v>
      </c>
      <c r="E9" s="432" t="s">
        <v>747</v>
      </c>
      <c r="F9" s="765">
        <v>10</v>
      </c>
      <c r="G9" s="765"/>
      <c r="H9" s="765"/>
      <c r="I9" s="765">
        <v>599</v>
      </c>
      <c r="J9" s="766">
        <v>10</v>
      </c>
      <c r="K9" s="432" t="s">
        <v>54</v>
      </c>
      <c r="L9" s="952" t="s">
        <v>1208</v>
      </c>
      <c r="M9" s="762" t="s">
        <v>354</v>
      </c>
      <c r="N9" s="762" t="s">
        <v>697</v>
      </c>
      <c r="O9" s="762"/>
      <c r="P9" s="763">
        <v>70486</v>
      </c>
      <c r="Q9" s="763">
        <v>599.79999999999995</v>
      </c>
      <c r="R9" s="770">
        <v>10</v>
      </c>
      <c r="S9" s="847">
        <v>9</v>
      </c>
      <c r="T9" s="847">
        <v>59</v>
      </c>
      <c r="U9" s="847">
        <v>599</v>
      </c>
      <c r="V9" s="742"/>
      <c r="W9" s="748">
        <v>320</v>
      </c>
      <c r="X9" s="743">
        <f t="shared" si="1"/>
        <v>-11.047904381747287</v>
      </c>
      <c r="Y9" s="744">
        <f t="shared" si="2"/>
        <v>3838.72</v>
      </c>
      <c r="AA9" s="863">
        <f t="shared" si="3"/>
        <v>-0.79999999999995453</v>
      </c>
    </row>
    <row r="10" spans="1:27" s="749" customFormat="1" ht="12.65" customHeight="1">
      <c r="A10" s="432" t="s">
        <v>744</v>
      </c>
      <c r="B10" s="432" t="s">
        <v>745</v>
      </c>
      <c r="C10" s="432" t="s">
        <v>748</v>
      </c>
      <c r="D10" s="432" t="s">
        <v>45</v>
      </c>
      <c r="E10" s="432" t="s">
        <v>747</v>
      </c>
      <c r="F10" s="765">
        <v>3</v>
      </c>
      <c r="G10" s="765">
        <v>10</v>
      </c>
      <c r="H10" s="765"/>
      <c r="I10" s="765">
        <v>189</v>
      </c>
      <c r="J10" s="766">
        <v>10</v>
      </c>
      <c r="K10" s="432" t="s">
        <v>56</v>
      </c>
      <c r="L10" s="952" t="s">
        <v>1208</v>
      </c>
      <c r="M10" s="762" t="s">
        <v>354</v>
      </c>
      <c r="N10" s="432" t="s">
        <v>427</v>
      </c>
      <c r="O10" s="432"/>
      <c r="P10" s="767">
        <v>70490</v>
      </c>
      <c r="Q10" s="767">
        <v>189.7</v>
      </c>
      <c r="R10" s="770">
        <v>4</v>
      </c>
      <c r="S10" s="849">
        <v>3</v>
      </c>
      <c r="T10" s="849">
        <v>9.4</v>
      </c>
      <c r="U10" s="849">
        <v>189.4</v>
      </c>
      <c r="V10" s="748"/>
      <c r="W10" s="748">
        <v>270</v>
      </c>
      <c r="X10" s="743">
        <f t="shared" si="1"/>
        <v>-56.407606822099297</v>
      </c>
      <c r="Y10" s="744">
        <f t="shared" si="2"/>
        <v>1024.3799999999999</v>
      </c>
      <c r="AA10" s="863">
        <f t="shared" si="3"/>
        <v>-0.29999999999998295</v>
      </c>
    </row>
    <row r="11" spans="1:27" ht="14.25" customHeight="1">
      <c r="A11" s="432" t="s">
        <v>744</v>
      </c>
      <c r="B11" s="432" t="s">
        <v>745</v>
      </c>
      <c r="C11" s="432" t="s">
        <v>748</v>
      </c>
      <c r="D11" s="432" t="s">
        <v>44</v>
      </c>
      <c r="E11" s="432" t="s">
        <v>747</v>
      </c>
      <c r="F11" s="765">
        <v>1</v>
      </c>
      <c r="G11" s="765">
        <v>26</v>
      </c>
      <c r="H11" s="765"/>
      <c r="I11" s="765">
        <v>85</v>
      </c>
      <c r="J11" s="766">
        <v>10</v>
      </c>
      <c r="K11" s="432" t="s">
        <v>56</v>
      </c>
      <c r="L11" s="952" t="s">
        <v>1208</v>
      </c>
      <c r="M11" s="762" t="s">
        <v>354</v>
      </c>
      <c r="N11" s="432" t="s">
        <v>749</v>
      </c>
      <c r="O11" s="432"/>
      <c r="P11" s="767">
        <v>70494</v>
      </c>
      <c r="Q11" s="767">
        <v>85.9</v>
      </c>
      <c r="R11" s="770">
        <v>2</v>
      </c>
      <c r="S11" s="849">
        <v>1</v>
      </c>
      <c r="T11" s="849">
        <v>35.200000000000003</v>
      </c>
      <c r="U11" s="849">
        <v>95.2</v>
      </c>
      <c r="V11" s="742"/>
      <c r="W11" s="742">
        <v>300</v>
      </c>
      <c r="X11" s="743">
        <f t="shared" si="1"/>
        <v>-29.191785357888079</v>
      </c>
      <c r="Y11" s="744">
        <f t="shared" si="2"/>
        <v>515.40000000000009</v>
      </c>
      <c r="AA11" s="863">
        <f t="shared" si="3"/>
        <v>9.2999999999999972</v>
      </c>
    </row>
    <row r="12" spans="1:27" ht="14.25" customHeight="1">
      <c r="A12" s="432" t="s">
        <v>744</v>
      </c>
      <c r="B12" s="432" t="s">
        <v>745</v>
      </c>
      <c r="C12" s="432" t="s">
        <v>750</v>
      </c>
      <c r="D12" s="432" t="s">
        <v>42</v>
      </c>
      <c r="E12" s="432" t="s">
        <v>747</v>
      </c>
      <c r="F12" s="765">
        <v>3</v>
      </c>
      <c r="G12" s="765">
        <v>63</v>
      </c>
      <c r="H12" s="765"/>
      <c r="I12" s="765">
        <v>243</v>
      </c>
      <c r="J12" s="766">
        <v>10</v>
      </c>
      <c r="K12" s="432" t="s">
        <v>356</v>
      </c>
      <c r="L12" s="952" t="s">
        <v>1208</v>
      </c>
      <c r="M12" s="762" t="s">
        <v>354</v>
      </c>
      <c r="N12" s="432" t="s">
        <v>426</v>
      </c>
      <c r="O12" s="432"/>
      <c r="P12" s="767">
        <v>70483</v>
      </c>
      <c r="Q12" s="767">
        <v>243.1</v>
      </c>
      <c r="R12" s="770">
        <v>4</v>
      </c>
      <c r="S12" s="849">
        <v>4</v>
      </c>
      <c r="T12" s="849">
        <v>3.4</v>
      </c>
      <c r="U12" s="849">
        <v>243.4</v>
      </c>
      <c r="V12" s="742"/>
      <c r="W12" s="742">
        <v>350</v>
      </c>
      <c r="X12" s="743">
        <f t="shared" si="1"/>
        <v>16.167917082463873</v>
      </c>
      <c r="Y12" s="744">
        <f t="shared" si="2"/>
        <v>1701.6999999999998</v>
      </c>
      <c r="AA12" s="863">
        <f t="shared" si="3"/>
        <v>0.30000000000001137</v>
      </c>
    </row>
    <row r="13" spans="1:27">
      <c r="A13" s="432" t="s">
        <v>744</v>
      </c>
      <c r="B13" s="432" t="s">
        <v>745</v>
      </c>
      <c r="C13" s="432" t="s">
        <v>750</v>
      </c>
      <c r="D13" s="432" t="s">
        <v>43</v>
      </c>
      <c r="E13" s="432" t="s">
        <v>747</v>
      </c>
      <c r="F13" s="765">
        <v>4</v>
      </c>
      <c r="G13" s="765">
        <v>61</v>
      </c>
      <c r="H13" s="765"/>
      <c r="I13" s="765">
        <v>300</v>
      </c>
      <c r="J13" s="766">
        <v>10</v>
      </c>
      <c r="K13" s="432" t="s">
        <v>356</v>
      </c>
      <c r="L13" s="952" t="s">
        <v>1208</v>
      </c>
      <c r="M13" s="762" t="s">
        <v>354</v>
      </c>
      <c r="N13" s="432" t="s">
        <v>749</v>
      </c>
      <c r="O13" s="432"/>
      <c r="P13" s="767">
        <v>70487</v>
      </c>
      <c r="Q13" s="767">
        <v>300.8</v>
      </c>
      <c r="R13" s="770">
        <v>5</v>
      </c>
      <c r="S13" s="849">
        <v>5</v>
      </c>
      <c r="T13" s="849">
        <v>2.5</v>
      </c>
      <c r="U13" s="849">
        <f>SUM(U3:U12)</f>
        <v>7441.6999999999989</v>
      </c>
      <c r="V13" s="742"/>
      <c r="W13" s="742">
        <v>310</v>
      </c>
      <c r="X13" s="743">
        <f t="shared" si="1"/>
        <v>-20.119844869817712</v>
      </c>
      <c r="Y13" s="744">
        <f t="shared" si="2"/>
        <v>1864.96</v>
      </c>
      <c r="AA13" s="863">
        <f t="shared" si="3"/>
        <v>7140.8999999999987</v>
      </c>
    </row>
    <row r="14" spans="1:27" ht="14.25" customHeight="1">
      <c r="A14" s="432" t="s">
        <v>744</v>
      </c>
      <c r="B14" s="432" t="s">
        <v>745</v>
      </c>
      <c r="C14" s="432" t="s">
        <v>750</v>
      </c>
      <c r="D14" s="432" t="s">
        <v>45</v>
      </c>
      <c r="E14" s="432" t="s">
        <v>747</v>
      </c>
      <c r="F14" s="765">
        <v>3</v>
      </c>
      <c r="G14" s="765">
        <v>23</v>
      </c>
      <c r="H14" s="765"/>
      <c r="I14" s="765">
        <v>202</v>
      </c>
      <c r="J14" s="766">
        <v>10</v>
      </c>
      <c r="K14" s="432" t="s">
        <v>356</v>
      </c>
      <c r="L14" s="952" t="s">
        <v>1208</v>
      </c>
      <c r="M14" s="762" t="s">
        <v>354</v>
      </c>
      <c r="N14" s="432" t="s">
        <v>427</v>
      </c>
      <c r="O14" s="432"/>
      <c r="P14" s="767">
        <v>70491</v>
      </c>
      <c r="Q14" s="767">
        <v>202.7</v>
      </c>
      <c r="R14" s="770">
        <v>4</v>
      </c>
      <c r="S14" s="849">
        <v>3</v>
      </c>
      <c r="T14" s="849">
        <v>22.4</v>
      </c>
      <c r="U14" s="849">
        <v>202.4</v>
      </c>
      <c r="V14" s="742"/>
      <c r="W14" s="742">
        <v>265</v>
      </c>
      <c r="X14" s="743">
        <f t="shared" si="1"/>
        <v>-60.94357706613448</v>
      </c>
      <c r="Y14" s="744">
        <f t="shared" si="2"/>
        <v>1074.3099999999997</v>
      </c>
      <c r="AA14" s="863">
        <f t="shared" si="3"/>
        <v>-0.29999999999998295</v>
      </c>
    </row>
    <row r="15" spans="1:27" s="749" customFormat="1" ht="14.25" customHeight="1">
      <c r="A15" s="432" t="s">
        <v>744</v>
      </c>
      <c r="B15" s="432" t="s">
        <v>745</v>
      </c>
      <c r="C15" s="432" t="s">
        <v>750</v>
      </c>
      <c r="D15" s="432" t="s">
        <v>44</v>
      </c>
      <c r="E15" s="432" t="s">
        <v>747</v>
      </c>
      <c r="F15" s="765">
        <v>1</v>
      </c>
      <c r="G15" s="765">
        <v>35</v>
      </c>
      <c r="H15" s="765"/>
      <c r="I15" s="765">
        <v>94</v>
      </c>
      <c r="J15" s="766">
        <v>10</v>
      </c>
      <c r="K15" s="432" t="s">
        <v>356</v>
      </c>
      <c r="L15" s="952" t="s">
        <v>1208</v>
      </c>
      <c r="M15" s="762" t="s">
        <v>354</v>
      </c>
      <c r="N15" s="432" t="s">
        <v>749</v>
      </c>
      <c r="O15" s="432"/>
      <c r="P15" s="767">
        <v>70495</v>
      </c>
      <c r="Q15" s="767">
        <v>94.7</v>
      </c>
      <c r="R15" s="770">
        <v>2</v>
      </c>
      <c r="S15" s="849">
        <v>1</v>
      </c>
      <c r="T15" s="849">
        <v>24.2</v>
      </c>
      <c r="U15" s="849">
        <v>84.2</v>
      </c>
      <c r="V15" s="748"/>
      <c r="W15" s="748">
        <v>320</v>
      </c>
      <c r="X15" s="743">
        <f t="shared" si="1"/>
        <v>-11.047904381747287</v>
      </c>
      <c r="Y15" s="744">
        <f t="shared" si="2"/>
        <v>606.07999999999993</v>
      </c>
      <c r="AA15" s="863">
        <f t="shared" si="3"/>
        <v>-10.5</v>
      </c>
    </row>
    <row r="16" spans="1:27" ht="14.25" customHeight="1">
      <c r="A16" s="432" t="s">
        <v>744</v>
      </c>
      <c r="B16" s="432" t="s">
        <v>745</v>
      </c>
      <c r="C16" s="432" t="s">
        <v>363</v>
      </c>
      <c r="D16" s="432" t="s">
        <v>44</v>
      </c>
      <c r="E16" s="432" t="s">
        <v>747</v>
      </c>
      <c r="F16" s="765">
        <v>1</v>
      </c>
      <c r="G16" s="765">
        <v>62</v>
      </c>
      <c r="H16" s="765"/>
      <c r="I16" s="765">
        <v>121</v>
      </c>
      <c r="J16" s="766">
        <v>11</v>
      </c>
      <c r="K16" s="432" t="s">
        <v>356</v>
      </c>
      <c r="L16" s="952" t="s">
        <v>1208</v>
      </c>
      <c r="M16" s="762" t="s">
        <v>354</v>
      </c>
      <c r="N16" s="432" t="s">
        <v>749</v>
      </c>
      <c r="O16" s="432"/>
      <c r="P16" s="767">
        <v>70496</v>
      </c>
      <c r="Q16" s="767">
        <v>121.9</v>
      </c>
      <c r="R16" s="770">
        <v>2</v>
      </c>
      <c r="S16" s="849">
        <v>2</v>
      </c>
      <c r="T16" s="849">
        <v>0.2</v>
      </c>
      <c r="U16" s="849">
        <f>SUM(U14:U15)</f>
        <v>286.60000000000002</v>
      </c>
      <c r="V16" s="742"/>
      <c r="W16" s="742"/>
      <c r="X16" s="743">
        <f t="shared" si="1"/>
        <v>-301.35000000000002</v>
      </c>
      <c r="Y16" s="744">
        <f t="shared" si="2"/>
        <v>0</v>
      </c>
      <c r="AA16" s="863">
        <f t="shared" si="3"/>
        <v>164.70000000000002</v>
      </c>
    </row>
    <row r="17" spans="1:27">
      <c r="A17" s="441" t="s">
        <v>744</v>
      </c>
      <c r="B17" s="441" t="s">
        <v>745</v>
      </c>
      <c r="C17" s="440" t="s">
        <v>1089</v>
      </c>
      <c r="D17" s="441" t="s">
        <v>60</v>
      </c>
      <c r="E17" s="441" t="s">
        <v>1119</v>
      </c>
      <c r="F17" s="768">
        <v>97</v>
      </c>
      <c r="G17" s="768">
        <v>44</v>
      </c>
      <c r="H17" s="768"/>
      <c r="I17" s="768">
        <v>5864</v>
      </c>
      <c r="J17" s="750"/>
      <c r="K17" s="440" t="s">
        <v>356</v>
      </c>
      <c r="L17" s="952" t="s">
        <v>1208</v>
      </c>
      <c r="M17" s="769" t="s">
        <v>354</v>
      </c>
      <c r="N17" s="751" t="s">
        <v>749</v>
      </c>
      <c r="O17" s="752"/>
      <c r="P17" s="753">
        <v>70518</v>
      </c>
      <c r="Q17" s="753">
        <v>5864</v>
      </c>
      <c r="R17" s="770">
        <v>98</v>
      </c>
      <c r="S17" s="848">
        <v>98</v>
      </c>
      <c r="T17" s="848">
        <v>4.8</v>
      </c>
      <c r="U17" s="848">
        <v>5884.8</v>
      </c>
      <c r="V17" s="750"/>
      <c r="W17" s="750">
        <v>279.26</v>
      </c>
      <c r="X17" s="743">
        <f t="shared" si="1"/>
        <v>-48.006989930146091</v>
      </c>
      <c r="Y17" s="744">
        <f t="shared" si="2"/>
        <v>32751.612799999995</v>
      </c>
      <c r="AA17" s="863">
        <f t="shared" si="3"/>
        <v>20.800000000000182</v>
      </c>
    </row>
    <row r="18" spans="1:27" ht="14.5" customHeight="1">
      <c r="A18" s="441" t="s">
        <v>744</v>
      </c>
      <c r="B18" s="441" t="s">
        <v>745</v>
      </c>
      <c r="C18" s="441" t="s">
        <v>767</v>
      </c>
      <c r="D18" s="441" t="s">
        <v>51</v>
      </c>
      <c r="E18" s="441" t="s">
        <v>747</v>
      </c>
      <c r="F18" s="768">
        <v>33</v>
      </c>
      <c r="G18" s="768">
        <v>41</v>
      </c>
      <c r="H18" s="768"/>
      <c r="I18" s="768">
        <v>2022</v>
      </c>
      <c r="J18" s="771">
        <v>11</v>
      </c>
      <c r="K18" s="441" t="s">
        <v>59</v>
      </c>
      <c r="L18" s="953" t="s">
        <v>1207</v>
      </c>
      <c r="M18" s="441" t="s">
        <v>418</v>
      </c>
      <c r="N18" s="441" t="s">
        <v>436</v>
      </c>
      <c r="O18" s="441"/>
      <c r="P18" s="772">
        <v>70497</v>
      </c>
      <c r="Q18" s="772">
        <v>2022.9</v>
      </c>
      <c r="R18" s="770">
        <v>34</v>
      </c>
      <c r="S18" s="849">
        <v>33</v>
      </c>
      <c r="T18" s="849">
        <v>46.4</v>
      </c>
      <c r="U18" s="849">
        <v>2026.4</v>
      </c>
      <c r="V18" s="750"/>
      <c r="W18" s="750">
        <v>275</v>
      </c>
      <c r="X18" s="743">
        <f>W18/1.1023-[2]Grinder!$Q$1</f>
        <v>-51.871636578064084</v>
      </c>
      <c r="Y18" s="744">
        <f t="shared" si="2"/>
        <v>11125.950000000003</v>
      </c>
      <c r="AA18" s="863">
        <f t="shared" si="3"/>
        <v>3.5</v>
      </c>
    </row>
    <row r="19" spans="1:27" ht="14.5" customHeight="1">
      <c r="A19" s="441" t="s">
        <v>744</v>
      </c>
      <c r="B19" s="441" t="s">
        <v>745</v>
      </c>
      <c r="C19" s="441" t="s">
        <v>767</v>
      </c>
      <c r="D19" s="441" t="s">
        <v>52</v>
      </c>
      <c r="E19" s="441" t="s">
        <v>747</v>
      </c>
      <c r="F19" s="768">
        <v>1</v>
      </c>
      <c r="G19" s="768">
        <v>8</v>
      </c>
      <c r="H19" s="768"/>
      <c r="I19" s="768"/>
      <c r="J19" s="771">
        <v>10</v>
      </c>
      <c r="K19" s="441" t="s">
        <v>355</v>
      </c>
      <c r="L19" s="953" t="s">
        <v>1207</v>
      </c>
      <c r="M19" s="441" t="s">
        <v>418</v>
      </c>
      <c r="N19" s="441" t="s">
        <v>1062</v>
      </c>
      <c r="O19" s="441"/>
      <c r="P19" s="772">
        <v>70506</v>
      </c>
      <c r="Q19" s="772">
        <v>67.900000000000006</v>
      </c>
      <c r="R19" s="770">
        <v>2</v>
      </c>
      <c r="S19" s="849">
        <v>1</v>
      </c>
      <c r="T19" s="849">
        <v>7.2</v>
      </c>
      <c r="U19" s="849">
        <v>67.2</v>
      </c>
      <c r="V19" s="750"/>
      <c r="W19" s="754">
        <v>130</v>
      </c>
      <c r="X19" s="743">
        <f>W19/1.1023-[2]Grinder!$Q$1</f>
        <v>-183.41477365508484</v>
      </c>
      <c r="Y19" s="744">
        <f t="shared" si="2"/>
        <v>176.54</v>
      </c>
      <c r="AA19" s="863">
        <f t="shared" si="3"/>
        <v>-0.70000000000000284</v>
      </c>
    </row>
    <row r="20" spans="1:27" ht="14.5" customHeight="1">
      <c r="A20" s="441" t="s">
        <v>744</v>
      </c>
      <c r="B20" s="441" t="s">
        <v>745</v>
      </c>
      <c r="C20" s="441" t="s">
        <v>768</v>
      </c>
      <c r="D20" s="441" t="s">
        <v>51</v>
      </c>
      <c r="E20" s="441" t="s">
        <v>769</v>
      </c>
      <c r="F20" s="768">
        <v>27</v>
      </c>
      <c r="G20" s="768">
        <v>16</v>
      </c>
      <c r="H20" s="768"/>
      <c r="I20" s="768"/>
      <c r="J20" s="771">
        <v>11</v>
      </c>
      <c r="K20" s="441" t="s">
        <v>59</v>
      </c>
      <c r="L20" s="953" t="s">
        <v>1207</v>
      </c>
      <c r="M20" s="441" t="s">
        <v>418</v>
      </c>
      <c r="N20" s="441" t="s">
        <v>436</v>
      </c>
      <c r="O20" s="441"/>
      <c r="P20" s="772">
        <v>70498</v>
      </c>
      <c r="Q20" s="772">
        <v>1632.9</v>
      </c>
      <c r="R20" s="770">
        <v>28</v>
      </c>
      <c r="S20" s="849">
        <v>27</v>
      </c>
      <c r="T20" s="849">
        <v>10.8</v>
      </c>
      <c r="U20" s="849">
        <v>1630.8</v>
      </c>
      <c r="V20" s="750" t="s">
        <v>770</v>
      </c>
      <c r="W20" s="750">
        <v>275</v>
      </c>
      <c r="X20" s="743">
        <f>W20/1.1023-[2]Grinder!$Q$1</f>
        <v>-51.871636578064084</v>
      </c>
      <c r="Y20" s="744">
        <f t="shared" si="2"/>
        <v>8980.9499999999989</v>
      </c>
      <c r="AA20" s="863">
        <f t="shared" si="3"/>
        <v>-2.1000000000001364</v>
      </c>
    </row>
    <row r="21" spans="1:27" ht="14.5" customHeight="1">
      <c r="A21" s="441" t="s">
        <v>744</v>
      </c>
      <c r="B21" s="441" t="s">
        <v>745</v>
      </c>
      <c r="C21" s="441" t="s">
        <v>768</v>
      </c>
      <c r="D21" s="441" t="s">
        <v>52</v>
      </c>
      <c r="E21" s="441" t="s">
        <v>769</v>
      </c>
      <c r="F21" s="768">
        <v>0</v>
      </c>
      <c r="G21" s="768">
        <v>62</v>
      </c>
      <c r="H21" s="768"/>
      <c r="I21" s="768">
        <v>62</v>
      </c>
      <c r="J21" s="771">
        <v>11</v>
      </c>
      <c r="K21" s="441" t="s">
        <v>355</v>
      </c>
      <c r="L21" s="953" t="s">
        <v>1207</v>
      </c>
      <c r="M21" s="441" t="s">
        <v>418</v>
      </c>
      <c r="N21" s="441" t="s">
        <v>1062</v>
      </c>
      <c r="O21" s="441"/>
      <c r="P21" s="772">
        <v>70507</v>
      </c>
      <c r="Q21" s="772">
        <v>62</v>
      </c>
      <c r="R21" s="770">
        <v>1</v>
      </c>
      <c r="S21" s="849">
        <v>1</v>
      </c>
      <c r="T21" s="849">
        <v>1.1000000000000001</v>
      </c>
      <c r="U21" s="849">
        <v>61.1</v>
      </c>
      <c r="V21" s="754" t="s">
        <v>421</v>
      </c>
      <c r="W21" s="754">
        <v>130</v>
      </c>
      <c r="X21" s="743">
        <f>W21/1.1023-[2]Grinder!$Q$1</f>
        <v>-183.41477365508484</v>
      </c>
      <c r="Y21" s="744">
        <f t="shared" si="2"/>
        <v>161.20000000000002</v>
      </c>
      <c r="AA21" s="863">
        <f t="shared" si="3"/>
        <v>-0.89999999999999858</v>
      </c>
    </row>
    <row r="22" spans="1:27" ht="14.5" customHeight="1">
      <c r="A22" s="755" t="s">
        <v>744</v>
      </c>
      <c r="B22" s="755" t="s">
        <v>745</v>
      </c>
      <c r="C22" s="755" t="s">
        <v>771</v>
      </c>
      <c r="D22" s="755" t="s">
        <v>42</v>
      </c>
      <c r="E22" s="755" t="s">
        <v>772</v>
      </c>
      <c r="F22" s="756">
        <v>10</v>
      </c>
      <c r="G22" s="756">
        <v>15</v>
      </c>
      <c r="H22" s="756"/>
      <c r="I22" s="756">
        <v>613</v>
      </c>
      <c r="J22" s="757">
        <v>11</v>
      </c>
      <c r="K22" s="755" t="s">
        <v>421</v>
      </c>
      <c r="L22" s="953" t="s">
        <v>1207</v>
      </c>
      <c r="M22" s="441" t="s">
        <v>418</v>
      </c>
      <c r="N22" s="441" t="s">
        <v>1062</v>
      </c>
      <c r="O22" s="441"/>
      <c r="P22" s="772">
        <v>70480</v>
      </c>
      <c r="Q22" s="772">
        <v>613.79999999999995</v>
      </c>
      <c r="R22" s="770">
        <v>11</v>
      </c>
      <c r="S22" s="849">
        <v>10</v>
      </c>
      <c r="T22" s="849">
        <v>17.100000000000001</v>
      </c>
      <c r="U22" s="849">
        <v>617.1</v>
      </c>
      <c r="V22" s="754" t="s">
        <v>421</v>
      </c>
      <c r="W22" s="750">
        <v>150</v>
      </c>
      <c r="X22" s="743">
        <f>W22/1.1023-[2]Grinder!$Q$1</f>
        <v>-165.27089267894405</v>
      </c>
      <c r="Y22" s="744">
        <f t="shared" si="2"/>
        <v>1841.3999999999996</v>
      </c>
      <c r="AA22" s="863">
        <f t="shared" si="3"/>
        <v>3.3000000000000682</v>
      </c>
    </row>
    <row r="23" spans="1:27" ht="14.5" customHeight="1">
      <c r="A23" s="755" t="s">
        <v>744</v>
      </c>
      <c r="B23" s="755" t="s">
        <v>745</v>
      </c>
      <c r="C23" s="755" t="s">
        <v>771</v>
      </c>
      <c r="D23" s="755" t="s">
        <v>43</v>
      </c>
      <c r="E23" s="755" t="s">
        <v>772</v>
      </c>
      <c r="F23" s="756">
        <v>12</v>
      </c>
      <c r="G23" s="756"/>
      <c r="H23" s="756" t="s">
        <v>1375</v>
      </c>
      <c r="I23" s="756">
        <v>718</v>
      </c>
      <c r="J23" s="757">
        <v>10</v>
      </c>
      <c r="K23" s="755" t="s">
        <v>421</v>
      </c>
      <c r="L23" s="953" t="s">
        <v>1207</v>
      </c>
      <c r="M23" s="441" t="s">
        <v>418</v>
      </c>
      <c r="N23" s="441" t="s">
        <v>1062</v>
      </c>
      <c r="O23" s="441"/>
      <c r="P23" s="772">
        <v>70484</v>
      </c>
      <c r="Q23" s="772">
        <v>718.8</v>
      </c>
      <c r="R23" s="770">
        <v>12</v>
      </c>
      <c r="S23" s="849">
        <v>12</v>
      </c>
      <c r="T23" s="849">
        <v>1.2</v>
      </c>
      <c r="U23" s="849">
        <v>721.2</v>
      </c>
      <c r="V23" s="754" t="s">
        <v>421</v>
      </c>
      <c r="W23" s="750">
        <v>150</v>
      </c>
      <c r="X23" s="743">
        <f>W23/1.1023-[2]Grinder!$Q$1</f>
        <v>-165.27089267894405</v>
      </c>
      <c r="Y23" s="744">
        <f t="shared" si="2"/>
        <v>2156.3999999999996</v>
      </c>
      <c r="AA23" s="863">
        <f t="shared" si="3"/>
        <v>2.4000000000000909</v>
      </c>
    </row>
    <row r="24" spans="1:27" ht="14.5" customHeight="1">
      <c r="A24" s="755" t="s">
        <v>744</v>
      </c>
      <c r="B24" s="755" t="s">
        <v>745</v>
      </c>
      <c r="C24" s="755" t="s">
        <v>771</v>
      </c>
      <c r="D24" s="755" t="s">
        <v>45</v>
      </c>
      <c r="E24" s="755" t="s">
        <v>772</v>
      </c>
      <c r="F24" s="756">
        <v>3</v>
      </c>
      <c r="G24" s="756">
        <v>57</v>
      </c>
      <c r="H24" s="762">
        <v>350</v>
      </c>
      <c r="I24" s="756">
        <v>237</v>
      </c>
      <c r="J24" s="757">
        <v>10</v>
      </c>
      <c r="K24" s="755" t="s">
        <v>421</v>
      </c>
      <c r="L24" s="953" t="s">
        <v>1207</v>
      </c>
      <c r="M24" s="441" t="s">
        <v>418</v>
      </c>
      <c r="N24" s="441" t="s">
        <v>1062</v>
      </c>
      <c r="O24" s="441"/>
      <c r="P24" s="772">
        <v>70488</v>
      </c>
      <c r="Q24" s="772">
        <v>237.1</v>
      </c>
      <c r="R24" s="770">
        <v>4</v>
      </c>
      <c r="S24" s="849">
        <v>3</v>
      </c>
      <c r="T24" s="849">
        <v>58.4</v>
      </c>
      <c r="U24" s="849">
        <v>238.4</v>
      </c>
      <c r="V24" s="754" t="s">
        <v>421</v>
      </c>
      <c r="W24" s="750">
        <v>140</v>
      </c>
      <c r="X24" s="743">
        <f>W24/1.1023-[2]Grinder!$Q$1</f>
        <v>-174.34283316701445</v>
      </c>
      <c r="Y24" s="744">
        <f t="shared" si="2"/>
        <v>663.88</v>
      </c>
      <c r="AA24" s="863">
        <f t="shared" si="3"/>
        <v>1.3000000000000114</v>
      </c>
    </row>
    <row r="25" spans="1:27" ht="14.5" customHeight="1">
      <c r="A25" s="755" t="s">
        <v>744</v>
      </c>
      <c r="B25" s="755" t="s">
        <v>745</v>
      </c>
      <c r="C25" s="755" t="s">
        <v>771</v>
      </c>
      <c r="D25" s="755" t="s">
        <v>44</v>
      </c>
      <c r="E25" s="755" t="s">
        <v>772</v>
      </c>
      <c r="F25" s="756">
        <v>1</v>
      </c>
      <c r="G25" s="756">
        <v>41</v>
      </c>
      <c r="H25" s="762" t="s">
        <v>354</v>
      </c>
      <c r="I25" s="756">
        <v>101</v>
      </c>
      <c r="J25" s="757">
        <v>10</v>
      </c>
      <c r="K25" s="755" t="s">
        <v>421</v>
      </c>
      <c r="L25" s="953" t="s">
        <v>1207</v>
      </c>
      <c r="M25" s="441" t="s">
        <v>418</v>
      </c>
      <c r="N25" s="441" t="s">
        <v>1062</v>
      </c>
      <c r="O25" s="441"/>
      <c r="P25" s="772">
        <v>70492</v>
      </c>
      <c r="Q25" s="772">
        <v>101</v>
      </c>
      <c r="R25" s="770">
        <v>2</v>
      </c>
      <c r="S25" s="849">
        <v>1</v>
      </c>
      <c r="T25" s="849">
        <v>41.2</v>
      </c>
      <c r="U25" s="849">
        <v>101.2</v>
      </c>
      <c r="V25" s="754" t="s">
        <v>421</v>
      </c>
      <c r="W25" s="750">
        <v>140</v>
      </c>
      <c r="X25" s="743">
        <f>W25/1.1023-[2]Grinder!$Q$1</f>
        <v>-174.34283316701445</v>
      </c>
      <c r="Y25" s="744">
        <f t="shared" si="2"/>
        <v>282.79999999999995</v>
      </c>
      <c r="AA25" s="863">
        <f t="shared" si="3"/>
        <v>0.20000000000000284</v>
      </c>
    </row>
    <row r="26" spans="1:27" ht="14.5" customHeight="1">
      <c r="A26" s="441" t="s">
        <v>744</v>
      </c>
      <c r="B26" s="441" t="s">
        <v>745</v>
      </c>
      <c r="C26" s="441" t="s">
        <v>773</v>
      </c>
      <c r="D26" s="441" t="s">
        <v>51</v>
      </c>
      <c r="E26" s="441" t="s">
        <v>747</v>
      </c>
      <c r="F26" s="768">
        <v>32</v>
      </c>
      <c r="G26" s="768">
        <v>8</v>
      </c>
      <c r="H26" s="768"/>
      <c r="I26" s="768">
        <v>1923</v>
      </c>
      <c r="J26" s="771">
        <v>11</v>
      </c>
      <c r="K26" s="441" t="s">
        <v>59</v>
      </c>
      <c r="L26" s="953" t="s">
        <v>1207</v>
      </c>
      <c r="M26" s="441" t="s">
        <v>418</v>
      </c>
      <c r="N26" s="441" t="s">
        <v>436</v>
      </c>
      <c r="O26" s="441"/>
      <c r="P26" s="772">
        <v>70499</v>
      </c>
      <c r="Q26" s="772">
        <v>1923.2</v>
      </c>
      <c r="R26" s="770">
        <v>33</v>
      </c>
      <c r="S26" s="849">
        <v>32</v>
      </c>
      <c r="T26" s="849">
        <v>4.3</v>
      </c>
      <c r="U26" s="849">
        <v>1924.3</v>
      </c>
      <c r="V26" s="750"/>
      <c r="W26" s="750">
        <v>280</v>
      </c>
      <c r="X26" s="743">
        <f>W26/1.1023-[2]Grinder!$Q$1</f>
        <v>-47.335666334028872</v>
      </c>
      <c r="Y26" s="744">
        <f t="shared" si="2"/>
        <v>10769.92</v>
      </c>
      <c r="AA26" s="863">
        <f t="shared" si="3"/>
        <v>1.0999999999999091</v>
      </c>
    </row>
    <row r="27" spans="1:27" ht="14.5" customHeight="1">
      <c r="A27" s="441" t="s">
        <v>744</v>
      </c>
      <c r="B27" s="441" t="s">
        <v>745</v>
      </c>
      <c r="C27" s="441" t="s">
        <v>773</v>
      </c>
      <c r="D27" s="441" t="s">
        <v>52</v>
      </c>
      <c r="E27" s="441" t="s">
        <v>747</v>
      </c>
      <c r="F27" s="768">
        <v>2</v>
      </c>
      <c r="G27" s="768">
        <v>44</v>
      </c>
      <c r="H27" s="1124" t="s">
        <v>354</v>
      </c>
      <c r="I27" s="768">
        <v>163</v>
      </c>
      <c r="J27" s="771">
        <v>11</v>
      </c>
      <c r="K27" s="441" t="s">
        <v>355</v>
      </c>
      <c r="L27" s="953" t="s">
        <v>1207</v>
      </c>
      <c r="M27" s="441" t="s">
        <v>418</v>
      </c>
      <c r="N27" s="441" t="s">
        <v>1062</v>
      </c>
      <c r="O27" s="441"/>
      <c r="P27" s="772">
        <v>70508</v>
      </c>
      <c r="Q27" s="772">
        <v>163.4</v>
      </c>
      <c r="R27" s="770">
        <v>3</v>
      </c>
      <c r="S27" s="849">
        <v>2</v>
      </c>
      <c r="T27" s="849">
        <v>43.3</v>
      </c>
      <c r="U27" s="849">
        <v>163.30000000000001</v>
      </c>
      <c r="V27" s="750"/>
      <c r="W27" s="754">
        <v>130</v>
      </c>
      <c r="X27" s="743">
        <f>W27/1.1023-[2]Grinder!$Q$1</f>
        <v>-183.41477365508484</v>
      </c>
      <c r="Y27" s="744">
        <f t="shared" si="2"/>
        <v>424.84000000000003</v>
      </c>
      <c r="AA27" s="863">
        <f t="shared" si="3"/>
        <v>-9.9999999999994316E-2</v>
      </c>
    </row>
    <row r="28" spans="1:27" ht="14.5" customHeight="1">
      <c r="A28" s="755" t="s">
        <v>744</v>
      </c>
      <c r="B28" s="755" t="s">
        <v>745</v>
      </c>
      <c r="C28" s="755" t="s">
        <v>774</v>
      </c>
      <c r="D28" s="755" t="s">
        <v>51</v>
      </c>
      <c r="E28" s="755" t="s">
        <v>352</v>
      </c>
      <c r="F28" s="756">
        <v>21</v>
      </c>
      <c r="G28" s="756">
        <v>45</v>
      </c>
      <c r="H28" s="1128" t="s">
        <v>354</v>
      </c>
      <c r="I28" s="756">
        <v>1302</v>
      </c>
      <c r="J28" s="757">
        <v>11</v>
      </c>
      <c r="K28" s="755" t="s">
        <v>775</v>
      </c>
      <c r="L28" s="953" t="s">
        <v>1207</v>
      </c>
      <c r="M28" s="441" t="s">
        <v>418</v>
      </c>
      <c r="N28" s="441" t="s">
        <v>1062</v>
      </c>
      <c r="O28" s="441"/>
      <c r="P28" s="772">
        <v>70500</v>
      </c>
      <c r="Q28" s="772">
        <v>1302.9000000000001</v>
      </c>
      <c r="R28" s="770">
        <v>22</v>
      </c>
      <c r="S28" s="849">
        <v>21</v>
      </c>
      <c r="T28" s="849">
        <v>45.2</v>
      </c>
      <c r="U28" s="849">
        <v>1305.2</v>
      </c>
      <c r="V28" s="754" t="s">
        <v>775</v>
      </c>
      <c r="W28" s="754">
        <v>130</v>
      </c>
      <c r="X28" s="743">
        <f>W28/1.1023-[2]Grinder!$Q$1</f>
        <v>-183.41477365508484</v>
      </c>
      <c r="Y28" s="744">
        <f t="shared" si="2"/>
        <v>3387.5399999999995</v>
      </c>
      <c r="AA28" s="863">
        <f t="shared" si="3"/>
        <v>2.2999999999999545</v>
      </c>
    </row>
    <row r="29" spans="1:27" ht="14.5" customHeight="1">
      <c r="A29" s="755" t="s">
        <v>744</v>
      </c>
      <c r="B29" s="755" t="s">
        <v>745</v>
      </c>
      <c r="C29" s="755" t="s">
        <v>774</v>
      </c>
      <c r="D29" s="755" t="s">
        <v>52</v>
      </c>
      <c r="E29" s="755" t="s">
        <v>352</v>
      </c>
      <c r="F29" s="756">
        <v>1</v>
      </c>
      <c r="G29" s="756"/>
      <c r="H29" s="1128" t="s">
        <v>354</v>
      </c>
      <c r="I29" s="756">
        <v>60</v>
      </c>
      <c r="J29" s="757">
        <v>11</v>
      </c>
      <c r="K29" s="755" t="s">
        <v>775</v>
      </c>
      <c r="L29" s="953" t="s">
        <v>1207</v>
      </c>
      <c r="M29" s="441" t="s">
        <v>418</v>
      </c>
      <c r="N29" s="441" t="s">
        <v>1062</v>
      </c>
      <c r="O29" s="441"/>
      <c r="P29" s="772">
        <v>70509</v>
      </c>
      <c r="Q29" s="772">
        <v>60.1</v>
      </c>
      <c r="R29" s="770">
        <v>1</v>
      </c>
      <c r="S29" s="849">
        <v>0</v>
      </c>
      <c r="T29" s="849">
        <v>59.1</v>
      </c>
      <c r="U29" s="849">
        <v>59.1</v>
      </c>
      <c r="V29" s="754" t="s">
        <v>775</v>
      </c>
      <c r="W29" s="754">
        <v>130</v>
      </c>
      <c r="X29" s="743">
        <f>W29/1.1023-[2]Grinder!$Q$1</f>
        <v>-183.41477365508484</v>
      </c>
      <c r="Y29" s="744">
        <f t="shared" si="2"/>
        <v>156.26</v>
      </c>
      <c r="AA29" s="863">
        <f t="shared" si="3"/>
        <v>-1</v>
      </c>
    </row>
    <row r="30" spans="1:27" ht="14.5" customHeight="1">
      <c r="A30" s="755" t="s">
        <v>744</v>
      </c>
      <c r="B30" s="755" t="s">
        <v>745</v>
      </c>
      <c r="C30" s="755" t="s">
        <v>776</v>
      </c>
      <c r="D30" s="755" t="s">
        <v>51</v>
      </c>
      <c r="E30" s="755" t="s">
        <v>683</v>
      </c>
      <c r="F30" s="756">
        <v>43</v>
      </c>
      <c r="G30" s="756">
        <v>7</v>
      </c>
      <c r="H30" s="756"/>
      <c r="I30" s="756">
        <v>2581</v>
      </c>
      <c r="J30" s="757">
        <v>11</v>
      </c>
      <c r="K30" s="755" t="s">
        <v>421</v>
      </c>
      <c r="L30" s="953" t="s">
        <v>1207</v>
      </c>
      <c r="M30" s="441" t="s">
        <v>418</v>
      </c>
      <c r="N30" s="441" t="s">
        <v>1062</v>
      </c>
      <c r="O30" s="441"/>
      <c r="P30" s="772">
        <v>70501</v>
      </c>
      <c r="Q30" s="772">
        <v>2581.9</v>
      </c>
      <c r="R30" s="770">
        <v>44</v>
      </c>
      <c r="S30" s="849">
        <v>43</v>
      </c>
      <c r="T30" s="849">
        <v>1.4</v>
      </c>
      <c r="U30" s="849">
        <v>2581.4</v>
      </c>
      <c r="V30" s="754" t="s">
        <v>421</v>
      </c>
      <c r="W30" s="754">
        <v>130</v>
      </c>
      <c r="X30" s="743">
        <f>W30/1.1023-[2]Grinder!$Q$1</f>
        <v>-183.41477365508484</v>
      </c>
      <c r="Y30" s="744">
        <f t="shared" si="2"/>
        <v>6712.94</v>
      </c>
      <c r="AA30" s="863">
        <f t="shared" si="3"/>
        <v>-0.5</v>
      </c>
    </row>
    <row r="31" spans="1:27" ht="14.5" customHeight="1">
      <c r="A31" s="441" t="s">
        <v>744</v>
      </c>
      <c r="B31" s="441" t="s">
        <v>745</v>
      </c>
      <c r="C31" s="441" t="s">
        <v>776</v>
      </c>
      <c r="D31" s="441" t="s">
        <v>52</v>
      </c>
      <c r="E31" s="441" t="s">
        <v>683</v>
      </c>
      <c r="F31" s="768">
        <v>2</v>
      </c>
      <c r="G31" s="768">
        <v>14</v>
      </c>
      <c r="H31" s="768"/>
      <c r="I31" s="768">
        <v>133</v>
      </c>
      <c r="J31" s="771">
        <v>11</v>
      </c>
      <c r="K31" s="441" t="s">
        <v>355</v>
      </c>
      <c r="L31" s="953" t="s">
        <v>1207</v>
      </c>
      <c r="M31" s="441" t="s">
        <v>418</v>
      </c>
      <c r="N31" s="441" t="s">
        <v>1062</v>
      </c>
      <c r="O31" s="441"/>
      <c r="P31" s="772">
        <v>70510</v>
      </c>
      <c r="Q31" s="772">
        <v>133.80000000000001</v>
      </c>
      <c r="R31" s="770">
        <v>3</v>
      </c>
      <c r="S31" s="849">
        <v>2</v>
      </c>
      <c r="T31" s="849">
        <v>14.3</v>
      </c>
      <c r="U31" s="849">
        <v>134.30000000000001</v>
      </c>
      <c r="V31" s="750"/>
      <c r="W31" s="754">
        <v>130</v>
      </c>
      <c r="X31" s="743">
        <f>W31/1.1023-[2]Grinder!$Q$1</f>
        <v>-183.41477365508484</v>
      </c>
      <c r="Y31" s="744">
        <f t="shared" si="2"/>
        <v>347.87999999999994</v>
      </c>
      <c r="AA31" s="863">
        <f t="shared" si="3"/>
        <v>0.5</v>
      </c>
    </row>
    <row r="32" spans="1:27" ht="14.5" customHeight="1">
      <c r="A32" s="441" t="s">
        <v>744</v>
      </c>
      <c r="B32" s="441" t="s">
        <v>745</v>
      </c>
      <c r="C32" s="441" t="s">
        <v>777</v>
      </c>
      <c r="D32" s="441" t="s">
        <v>51</v>
      </c>
      <c r="E32" s="441" t="s">
        <v>752</v>
      </c>
      <c r="F32" s="768">
        <v>75</v>
      </c>
      <c r="G32" s="768">
        <v>11</v>
      </c>
      <c r="H32" s="768"/>
      <c r="I32" s="768">
        <v>4515</v>
      </c>
      <c r="J32" s="771">
        <v>11</v>
      </c>
      <c r="K32" s="441" t="s">
        <v>60</v>
      </c>
      <c r="L32" s="953" t="s">
        <v>1207</v>
      </c>
      <c r="M32" s="441" t="s">
        <v>418</v>
      </c>
      <c r="N32" s="441" t="s">
        <v>778</v>
      </c>
      <c r="O32" s="441"/>
      <c r="P32" s="772">
        <v>70502</v>
      </c>
      <c r="Q32" s="772">
        <v>4515.7</v>
      </c>
      <c r="R32" s="770">
        <v>76</v>
      </c>
      <c r="S32" s="849">
        <v>75</v>
      </c>
      <c r="T32" s="849">
        <v>24.6</v>
      </c>
      <c r="U32" s="849">
        <v>4524.6000000000004</v>
      </c>
      <c r="V32" s="750"/>
      <c r="W32" s="750">
        <v>270</v>
      </c>
      <c r="X32" s="743">
        <f>W32/1.1023-[2]Grinder!$Q$1</f>
        <v>-56.407606822099297</v>
      </c>
      <c r="Y32" s="744">
        <f t="shared" si="2"/>
        <v>24384.780000000002</v>
      </c>
      <c r="AA32" s="863">
        <f t="shared" si="3"/>
        <v>8.9000000000005457</v>
      </c>
    </row>
    <row r="33" spans="1:27" ht="14.5" customHeight="1">
      <c r="A33" s="441" t="s">
        <v>744</v>
      </c>
      <c r="B33" s="441" t="s">
        <v>745</v>
      </c>
      <c r="C33" s="441" t="s">
        <v>777</v>
      </c>
      <c r="D33" s="441" t="s">
        <v>52</v>
      </c>
      <c r="E33" s="441" t="s">
        <v>752</v>
      </c>
      <c r="F33" s="768">
        <v>22</v>
      </c>
      <c r="G33" s="768">
        <v>7</v>
      </c>
      <c r="H33" s="768"/>
      <c r="I33" s="768">
        <v>1328</v>
      </c>
      <c r="J33" s="771">
        <v>11</v>
      </c>
      <c r="K33" s="441" t="s">
        <v>63</v>
      </c>
      <c r="L33" s="953" t="s">
        <v>1207</v>
      </c>
      <c r="M33" s="441" t="s">
        <v>418</v>
      </c>
      <c r="N33" s="441" t="s">
        <v>419</v>
      </c>
      <c r="O33" s="441"/>
      <c r="P33" s="772">
        <v>70511</v>
      </c>
      <c r="Q33" s="772">
        <v>1328</v>
      </c>
      <c r="R33" s="770">
        <v>23</v>
      </c>
      <c r="S33" s="849">
        <v>22</v>
      </c>
      <c r="T33" s="849">
        <v>14.3</v>
      </c>
      <c r="U33" s="849">
        <v>1334.3</v>
      </c>
      <c r="V33" s="750"/>
      <c r="W33" s="750">
        <v>180</v>
      </c>
      <c r="X33" s="743">
        <f>W33/1.1023-[2]Grinder!$Q$1</f>
        <v>-138.05507121473286</v>
      </c>
      <c r="Y33" s="744">
        <f t="shared" si="2"/>
        <v>4780.8</v>
      </c>
      <c r="AA33" s="863">
        <f t="shared" si="3"/>
        <v>6.2999999999999545</v>
      </c>
    </row>
    <row r="34" spans="1:27" ht="14.5" customHeight="1">
      <c r="A34" s="441" t="s">
        <v>744</v>
      </c>
      <c r="B34" s="441" t="s">
        <v>745</v>
      </c>
      <c r="C34" s="441" t="s">
        <v>777</v>
      </c>
      <c r="D34" s="441" t="s">
        <v>779</v>
      </c>
      <c r="E34" s="441" t="s">
        <v>752</v>
      </c>
      <c r="F34" s="768">
        <v>6</v>
      </c>
      <c r="G34" s="768">
        <v>57</v>
      </c>
      <c r="H34" s="768"/>
      <c r="I34" s="768">
        <v>417</v>
      </c>
      <c r="J34" s="771">
        <v>11</v>
      </c>
      <c r="K34" s="441" t="s">
        <v>355</v>
      </c>
      <c r="L34" s="953" t="s">
        <v>1207</v>
      </c>
      <c r="M34" s="441" t="s">
        <v>418</v>
      </c>
      <c r="N34" s="441" t="s">
        <v>1062</v>
      </c>
      <c r="O34" s="441"/>
      <c r="P34" s="772">
        <v>70515</v>
      </c>
      <c r="Q34" s="772">
        <v>417.2</v>
      </c>
      <c r="R34" s="770">
        <v>7</v>
      </c>
      <c r="S34" s="849">
        <v>6</v>
      </c>
      <c r="T34" s="849">
        <v>59.7</v>
      </c>
      <c r="U34" s="849">
        <v>419.7</v>
      </c>
      <c r="V34" s="750"/>
      <c r="W34" s="750">
        <v>130</v>
      </c>
      <c r="X34" s="743">
        <f>W34/1.1023-[2]Grinder!$Q$1</f>
        <v>-183.41477365508484</v>
      </c>
      <c r="Y34" s="744">
        <f t="shared" si="2"/>
        <v>1084.7199999999998</v>
      </c>
      <c r="AA34" s="863">
        <f t="shared" si="3"/>
        <v>2.5</v>
      </c>
    </row>
    <row r="35" spans="1:27" ht="14.5" customHeight="1">
      <c r="A35" s="441" t="s">
        <v>744</v>
      </c>
      <c r="B35" s="441" t="s">
        <v>745</v>
      </c>
      <c r="C35" s="441" t="s">
        <v>781</v>
      </c>
      <c r="D35" s="441" t="s">
        <v>51</v>
      </c>
      <c r="E35" s="441" t="s">
        <v>747</v>
      </c>
      <c r="F35" s="768">
        <v>6</v>
      </c>
      <c r="G35" s="768">
        <v>47</v>
      </c>
      <c r="H35" s="768"/>
      <c r="I35" s="768">
        <v>408</v>
      </c>
      <c r="J35" s="771">
        <v>10</v>
      </c>
      <c r="K35" s="441" t="s">
        <v>59</v>
      </c>
      <c r="L35" s="953" t="s">
        <v>1207</v>
      </c>
      <c r="M35" s="441" t="s">
        <v>418</v>
      </c>
      <c r="N35" s="441" t="s">
        <v>436</v>
      </c>
      <c r="O35" s="441"/>
      <c r="P35" s="772">
        <v>70503</v>
      </c>
      <c r="Q35" s="772">
        <v>408.2</v>
      </c>
      <c r="R35" s="770">
        <v>7</v>
      </c>
      <c r="S35" s="849">
        <v>6</v>
      </c>
      <c r="T35" s="849">
        <v>49.7</v>
      </c>
      <c r="U35" s="849">
        <v>409.7</v>
      </c>
      <c r="V35" s="750"/>
      <c r="W35" s="750">
        <v>275</v>
      </c>
      <c r="X35" s="743">
        <f>W35/1.1023-[2]Grinder!$Q$1</f>
        <v>-51.871636578064084</v>
      </c>
      <c r="Y35" s="744">
        <f t="shared" si="2"/>
        <v>2245.1</v>
      </c>
      <c r="AA35" s="863">
        <f t="shared" si="3"/>
        <v>1.5</v>
      </c>
    </row>
    <row r="36" spans="1:27" ht="14.5" customHeight="1">
      <c r="A36" s="441" t="s">
        <v>744</v>
      </c>
      <c r="B36" s="441" t="s">
        <v>745</v>
      </c>
      <c r="C36" s="441" t="s">
        <v>781</v>
      </c>
      <c r="D36" s="441" t="s">
        <v>52</v>
      </c>
      <c r="E36" s="441" t="s">
        <v>747</v>
      </c>
      <c r="F36" s="768">
        <v>0</v>
      </c>
      <c r="G36" s="768">
        <v>50</v>
      </c>
      <c r="H36" s="768"/>
      <c r="I36" s="768">
        <v>50</v>
      </c>
      <c r="J36" s="771">
        <v>10</v>
      </c>
      <c r="K36" s="441" t="s">
        <v>355</v>
      </c>
      <c r="L36" s="953" t="s">
        <v>1207</v>
      </c>
      <c r="M36" s="441" t="s">
        <v>418</v>
      </c>
      <c r="N36" s="441" t="s">
        <v>1062</v>
      </c>
      <c r="O36" s="441"/>
      <c r="P36" s="772">
        <v>70512</v>
      </c>
      <c r="Q36" s="772">
        <v>50</v>
      </c>
      <c r="R36" s="770">
        <v>1</v>
      </c>
      <c r="S36" s="849">
        <v>0</v>
      </c>
      <c r="T36" s="849">
        <v>50.1</v>
      </c>
      <c r="U36" s="849">
        <v>50.1</v>
      </c>
      <c r="V36" s="750" t="s">
        <v>782</v>
      </c>
      <c r="W36" s="754">
        <v>130</v>
      </c>
      <c r="X36" s="743">
        <f>W36/1.1023-[2]Grinder!$Q$1</f>
        <v>-183.41477365508484</v>
      </c>
      <c r="Y36" s="744">
        <f t="shared" si="2"/>
        <v>130</v>
      </c>
      <c r="AA36" s="863">
        <f t="shared" si="3"/>
        <v>0.10000000000000142</v>
      </c>
    </row>
    <row r="37" spans="1:27" ht="14.5" customHeight="1">
      <c r="A37" s="441" t="s">
        <v>744</v>
      </c>
      <c r="B37" s="441" t="s">
        <v>745</v>
      </c>
      <c r="C37" s="441" t="s">
        <v>783</v>
      </c>
      <c r="D37" s="441" t="s">
        <v>51</v>
      </c>
      <c r="E37" s="441" t="s">
        <v>747</v>
      </c>
      <c r="F37" s="768">
        <v>44</v>
      </c>
      <c r="G37" s="768">
        <v>58</v>
      </c>
      <c r="H37" s="768"/>
      <c r="I37" s="768">
        <v>2697</v>
      </c>
      <c r="J37" s="771">
        <v>11</v>
      </c>
      <c r="K37" s="441" t="s">
        <v>59</v>
      </c>
      <c r="L37" s="953" t="s">
        <v>1207</v>
      </c>
      <c r="M37" s="441" t="s">
        <v>418</v>
      </c>
      <c r="N37" s="441" t="s">
        <v>436</v>
      </c>
      <c r="O37" s="441"/>
      <c r="P37" s="772">
        <v>70504</v>
      </c>
      <c r="Q37" s="772">
        <v>2697.1</v>
      </c>
      <c r="R37" s="770">
        <v>45</v>
      </c>
      <c r="S37" s="849">
        <v>45</v>
      </c>
      <c r="T37" s="849">
        <v>17.5</v>
      </c>
      <c r="U37" s="849">
        <v>2717.5</v>
      </c>
      <c r="V37" s="754"/>
      <c r="W37" s="750">
        <v>275</v>
      </c>
      <c r="X37" s="743">
        <f>W37/1.1023-[2]Grinder!$Q$1</f>
        <v>-51.871636578064084</v>
      </c>
      <c r="Y37" s="744">
        <f t="shared" si="2"/>
        <v>14834.05</v>
      </c>
      <c r="AA37" s="863">
        <f t="shared" si="3"/>
        <v>20.400000000000091</v>
      </c>
    </row>
    <row r="38" spans="1:27" ht="14.5" customHeight="1">
      <c r="A38" s="441" t="s">
        <v>744</v>
      </c>
      <c r="B38" s="441" t="s">
        <v>745</v>
      </c>
      <c r="C38" s="441" t="s">
        <v>783</v>
      </c>
      <c r="D38" s="441" t="s">
        <v>52</v>
      </c>
      <c r="E38" s="441" t="s">
        <v>747</v>
      </c>
      <c r="F38" s="768">
        <v>9</v>
      </c>
      <c r="G38" s="768">
        <v>41</v>
      </c>
      <c r="H38" s="768"/>
      <c r="I38" s="768"/>
      <c r="J38" s="771">
        <v>11</v>
      </c>
      <c r="K38" s="441" t="s">
        <v>355</v>
      </c>
      <c r="L38" s="953" t="s">
        <v>1207</v>
      </c>
      <c r="M38" s="441" t="s">
        <v>418</v>
      </c>
      <c r="N38" s="441" t="s">
        <v>1062</v>
      </c>
      <c r="O38" s="441"/>
      <c r="P38" s="772">
        <v>70513</v>
      </c>
      <c r="Q38" s="772">
        <v>581.29999999999995</v>
      </c>
      <c r="R38" s="770">
        <v>10</v>
      </c>
      <c r="S38" s="849">
        <v>9</v>
      </c>
      <c r="T38" s="849">
        <v>44</v>
      </c>
      <c r="U38" s="849">
        <v>584</v>
      </c>
      <c r="V38" s="750"/>
      <c r="W38" s="754">
        <v>130</v>
      </c>
      <c r="X38" s="743">
        <f>W38/1.1023-[2]Grinder!$Q$1</f>
        <v>-183.41477365508484</v>
      </c>
      <c r="Y38" s="744">
        <f t="shared" si="2"/>
        <v>1511.3799999999997</v>
      </c>
      <c r="AA38" s="863">
        <f t="shared" si="3"/>
        <v>2.7000000000000455</v>
      </c>
    </row>
    <row r="39" spans="1:27" ht="14.5" customHeight="1">
      <c r="A39" s="441" t="s">
        <v>744</v>
      </c>
      <c r="B39" s="441" t="s">
        <v>745</v>
      </c>
      <c r="C39" s="441" t="s">
        <v>784</v>
      </c>
      <c r="D39" s="441" t="s">
        <v>51</v>
      </c>
      <c r="E39" s="441" t="s">
        <v>747</v>
      </c>
      <c r="F39" s="768">
        <v>6</v>
      </c>
      <c r="G39" s="768">
        <v>9</v>
      </c>
      <c r="H39" s="768"/>
      <c r="I39" s="768">
        <v>368</v>
      </c>
      <c r="J39" s="771">
        <v>11</v>
      </c>
      <c r="K39" s="441" t="s">
        <v>63</v>
      </c>
      <c r="L39" s="953" t="s">
        <v>1207</v>
      </c>
      <c r="M39" s="441" t="s">
        <v>418</v>
      </c>
      <c r="N39" s="441" t="s">
        <v>419</v>
      </c>
      <c r="O39" s="441"/>
      <c r="P39" s="772">
        <v>70505</v>
      </c>
      <c r="Q39" s="772">
        <v>368.8</v>
      </c>
      <c r="R39" s="770">
        <v>7</v>
      </c>
      <c r="S39" s="849">
        <v>6</v>
      </c>
      <c r="T39" s="849">
        <v>9.6999999999999993</v>
      </c>
      <c r="U39" s="849">
        <v>369.7</v>
      </c>
      <c r="V39" s="750"/>
      <c r="W39" s="750">
        <v>250</v>
      </c>
      <c r="X39" s="743">
        <f>W39/1.1023-[2]Grinder!$Q$1</f>
        <v>-74.551487798240089</v>
      </c>
      <c r="Y39" s="744">
        <f t="shared" si="2"/>
        <v>1843.9999999999998</v>
      </c>
      <c r="AA39" s="863">
        <f t="shared" si="3"/>
        <v>0.89999999999997726</v>
      </c>
    </row>
    <row r="40" spans="1:27" s="833" customFormat="1" ht="15" hidden="1" customHeight="1">
      <c r="A40" s="826" t="s">
        <v>744</v>
      </c>
      <c r="B40" s="826" t="s">
        <v>745</v>
      </c>
      <c r="C40" s="826" t="s">
        <v>784</v>
      </c>
      <c r="D40" s="826" t="s">
        <v>52</v>
      </c>
      <c r="E40" s="826" t="s">
        <v>747</v>
      </c>
      <c r="F40" s="827">
        <v>3</v>
      </c>
      <c r="G40" s="827">
        <v>8</v>
      </c>
      <c r="H40" s="827"/>
      <c r="I40" s="827">
        <v>1839</v>
      </c>
      <c r="J40" s="828">
        <v>11</v>
      </c>
      <c r="K40" s="826" t="s">
        <v>355</v>
      </c>
      <c r="L40" s="953" t="s">
        <v>1207</v>
      </c>
      <c r="M40" s="826" t="s">
        <v>418</v>
      </c>
      <c r="N40" s="826" t="s">
        <v>1062</v>
      </c>
      <c r="O40" s="826"/>
      <c r="P40" s="829">
        <v>70514</v>
      </c>
      <c r="Q40" s="829">
        <v>1839.3</v>
      </c>
      <c r="R40" s="850">
        <v>4</v>
      </c>
      <c r="S40" s="851">
        <v>3</v>
      </c>
      <c r="T40" s="851">
        <v>7.4</v>
      </c>
      <c r="U40" s="851">
        <v>187.4</v>
      </c>
      <c r="V40" s="830"/>
      <c r="W40" s="830">
        <v>130</v>
      </c>
      <c r="X40" s="831">
        <f>W40/1.1023-[2]Grinder!$Q$1</f>
        <v>-183.41477365508484</v>
      </c>
      <c r="Y40" s="832">
        <f t="shared" si="2"/>
        <v>4782.1799999999994</v>
      </c>
      <c r="AA40" s="864" t="s">
        <v>1188</v>
      </c>
    </row>
    <row r="41" spans="1:27" hidden="1">
      <c r="A41" s="441" t="s">
        <v>744</v>
      </c>
      <c r="B41" s="441" t="s">
        <v>745</v>
      </c>
      <c r="C41" s="441" t="s">
        <v>1091</v>
      </c>
      <c r="D41" s="441" t="s">
        <v>47</v>
      </c>
      <c r="E41" s="441" t="s">
        <v>1119</v>
      </c>
      <c r="F41" s="768">
        <v>76</v>
      </c>
      <c r="G41" s="768">
        <v>28</v>
      </c>
      <c r="H41" s="768"/>
      <c r="I41" s="768">
        <v>4711.2430000000004</v>
      </c>
      <c r="J41" s="750"/>
      <c r="K41" s="440" t="s">
        <v>60</v>
      </c>
      <c r="L41" s="953" t="s">
        <v>1207</v>
      </c>
      <c r="M41" s="441" t="s">
        <v>418</v>
      </c>
      <c r="N41" s="441" t="s">
        <v>778</v>
      </c>
      <c r="O41" s="750"/>
      <c r="P41" s="772">
        <v>70519</v>
      </c>
      <c r="Q41" s="772">
        <v>4711.2430000000004</v>
      </c>
      <c r="R41" s="770">
        <v>77</v>
      </c>
      <c r="S41" s="849">
        <v>76</v>
      </c>
      <c r="T41" s="849">
        <v>42.7</v>
      </c>
      <c r="U41" s="849">
        <v>4602.7</v>
      </c>
      <c r="V41" s="750"/>
      <c r="W41" s="750">
        <v>211.11199999999999</v>
      </c>
      <c r="X41" s="743">
        <f>W41/1.1023-[2]Grinder!$Q$1</f>
        <v>-109.83044996824825</v>
      </c>
      <c r="Y41" s="744">
        <f t="shared" si="2"/>
        <v>19891.99864432</v>
      </c>
      <c r="AA41" s="863">
        <f>U41-Q41</f>
        <v>-108.54300000000057</v>
      </c>
    </row>
    <row r="42" spans="1:27" hidden="1">
      <c r="A42" s="441" t="s">
        <v>744</v>
      </c>
      <c r="B42" s="441" t="s">
        <v>745</v>
      </c>
      <c r="C42" s="441" t="s">
        <v>1090</v>
      </c>
      <c r="D42" s="441" t="s">
        <v>46</v>
      </c>
      <c r="E42" s="441" t="s">
        <v>1119</v>
      </c>
      <c r="F42" s="768">
        <v>99</v>
      </c>
      <c r="G42" s="768">
        <v>36</v>
      </c>
      <c r="H42" s="768"/>
      <c r="I42" s="768">
        <v>5876</v>
      </c>
      <c r="J42" s="750"/>
      <c r="K42" s="440" t="s">
        <v>59</v>
      </c>
      <c r="L42" s="953" t="s">
        <v>1207</v>
      </c>
      <c r="M42" s="441" t="s">
        <v>418</v>
      </c>
      <c r="N42" s="441" t="s">
        <v>436</v>
      </c>
      <c r="O42" s="441"/>
      <c r="P42" s="772">
        <v>70521</v>
      </c>
      <c r="Q42" s="772">
        <v>5976</v>
      </c>
      <c r="R42" s="770">
        <v>100</v>
      </c>
      <c r="S42" s="849">
        <v>99</v>
      </c>
      <c r="T42" s="849">
        <v>51</v>
      </c>
      <c r="U42" s="849">
        <v>5991</v>
      </c>
      <c r="V42" s="750"/>
      <c r="W42" s="750">
        <v>299.87</v>
      </c>
      <c r="X42" s="743">
        <f>W42/1.1023-[2]Grinder!$Q$1</f>
        <v>-29.309720584232991</v>
      </c>
      <c r="Y42" s="744">
        <f t="shared" si="2"/>
        <v>35840.462399999997</v>
      </c>
      <c r="AA42" s="863">
        <f>U42-Q42</f>
        <v>15</v>
      </c>
    </row>
    <row r="43" spans="1:27" hidden="1">
      <c r="A43" s="441" t="s">
        <v>744</v>
      </c>
      <c r="B43" s="441" t="s">
        <v>745</v>
      </c>
      <c r="C43" s="441" t="s">
        <v>1092</v>
      </c>
      <c r="D43" s="441" t="s">
        <v>47</v>
      </c>
      <c r="E43" s="441" t="s">
        <v>1119</v>
      </c>
      <c r="F43" s="768">
        <v>2</v>
      </c>
      <c r="G43" s="768">
        <v>29</v>
      </c>
      <c r="H43" s="768"/>
      <c r="I43" s="768">
        <v>149</v>
      </c>
      <c r="J43" s="750"/>
      <c r="K43" s="440" t="s">
        <v>60</v>
      </c>
      <c r="L43" s="953" t="s">
        <v>1207</v>
      </c>
      <c r="M43" s="441" t="s">
        <v>418</v>
      </c>
      <c r="N43" s="441" t="s">
        <v>419</v>
      </c>
      <c r="O43" s="750"/>
      <c r="P43" s="772">
        <v>70520</v>
      </c>
      <c r="Q43" s="772">
        <v>149</v>
      </c>
      <c r="R43" s="770">
        <v>3</v>
      </c>
      <c r="S43" s="849">
        <v>2</v>
      </c>
      <c r="T43" s="849">
        <v>30.3</v>
      </c>
      <c r="U43" s="849">
        <v>150.30000000000001</v>
      </c>
      <c r="V43" s="750"/>
      <c r="W43" s="750">
        <v>230</v>
      </c>
      <c r="X43" s="743">
        <v>-92.695368774380881</v>
      </c>
      <c r="Y43" s="744">
        <f t="shared" si="2"/>
        <v>685.4</v>
      </c>
    </row>
    <row r="44" spans="1:27" hidden="1">
      <c r="I44" s="758">
        <f>SUM(I2:I43)</f>
        <v>47672.243000000002</v>
      </c>
      <c r="U44" s="759">
        <f>SUM(U2:U43)</f>
        <v>55747.799999999996</v>
      </c>
      <c r="Y44" s="761">
        <f>SUM(Y2:Y43)</f>
        <v>253766.43384431995</v>
      </c>
    </row>
    <row r="45" spans="1:27" hidden="1">
      <c r="I45" s="903">
        <f>I44/60</f>
        <v>794.53738333333342</v>
      </c>
      <c r="U45" s="904">
        <f>I44-U44</f>
        <v>-8075.5569999999934</v>
      </c>
    </row>
    <row r="46" spans="1:27" hidden="1">
      <c r="U46" s="905">
        <f>U45/60</f>
        <v>-134.59261666666654</v>
      </c>
    </row>
    <row r="47" spans="1:27" hidden="1"/>
    <row r="48" spans="1:27" hidden="1"/>
    <row r="49" spans="7:25" hidden="1"/>
    <row r="50" spans="7:25" hidden="1"/>
    <row r="51" spans="7:25" hidden="1"/>
    <row r="52" spans="7:25" hidden="1">
      <c r="I52" s="1046">
        <f>SUM(I42:I51)</f>
        <v>54491.780383333338</v>
      </c>
      <c r="V52" s="740">
        <f>SUM(V42:V51)</f>
        <v>0</v>
      </c>
    </row>
    <row r="53" spans="7:25" hidden="1">
      <c r="I53" s="739">
        <f>I52/60</f>
        <v>908.19633972222232</v>
      </c>
    </row>
    <row r="54" spans="7:25" hidden="1">
      <c r="Y54" s="903"/>
    </row>
    <row r="55" spans="7:25" hidden="1"/>
    <row r="56" spans="7:25" hidden="1">
      <c r="I56" s="739">
        <f>SUM(I54:I55)</f>
        <v>0</v>
      </c>
      <c r="V56" s="740">
        <f>SUM(V54:V55)</f>
        <v>0</v>
      </c>
    </row>
    <row r="57" spans="7:25" hidden="1">
      <c r="I57" s="1055">
        <f>I56/60</f>
        <v>0</v>
      </c>
    </row>
    <row r="58" spans="7:25" hidden="1"/>
    <row r="59" spans="7:25" hidden="1"/>
    <row r="60" spans="7:25" hidden="1"/>
    <row r="61" spans="7:25" hidden="1">
      <c r="G61" s="661"/>
      <c r="H61" s="661"/>
      <c r="I61" s="661" t="s">
        <v>1372</v>
      </c>
      <c r="J61" s="661" t="s">
        <v>1373</v>
      </c>
      <c r="K61" s="661" t="s">
        <v>1374</v>
      </c>
    </row>
    <row r="62" spans="7:25" hidden="1">
      <c r="G62" s="661" t="s">
        <v>354</v>
      </c>
      <c r="H62" s="661"/>
      <c r="I62" s="661">
        <v>30087</v>
      </c>
      <c r="J62" s="661">
        <v>30223.7</v>
      </c>
      <c r="K62" s="661">
        <v>30163</v>
      </c>
    </row>
    <row r="63" spans="7:25" hidden="1">
      <c r="G63" s="661" t="s">
        <v>856</v>
      </c>
      <c r="H63" s="661"/>
      <c r="I63" s="661">
        <v>88</v>
      </c>
      <c r="J63" s="661">
        <v>88</v>
      </c>
      <c r="K63" s="661">
        <v>89</v>
      </c>
    </row>
    <row r="64" spans="7:25" hidden="1"/>
    <row r="65" hidden="1"/>
  </sheetData>
  <autoFilter ref="A1:Z44" xr:uid="{B95E56D9-87E3-4EC6-933A-F574A7D8A4D8}">
    <filterColumn colId="12">
      <customFilters>
        <customFilter operator="notEqual" val=" "/>
      </customFilters>
    </filterColumn>
  </autoFilter>
  <conditionalFormatting sqref="W18:W31 W33:W40">
    <cfRule type="duplicateValues" dxfId="1" priority="2"/>
  </conditionalFormatting>
  <conditionalFormatting sqref="W44:W1048576 W1:W16">
    <cfRule type="duplicateValues" dxfId="0" priority="1"/>
  </conditionalFormatting>
  <pageMargins left="0.7" right="0.7" top="0.75" bottom="0.75" header="0.3" footer="0.3"/>
  <pageSetup scale="22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B8AB-7A08-4F29-8EE6-B0C6B562D2D5}">
  <sheetPr>
    <tabColor theme="7" tint="0.79998168889431442"/>
  </sheetPr>
  <dimension ref="A1:V63"/>
  <sheetViews>
    <sheetView workbookViewId="0">
      <selection activeCell="G2" sqref="G2"/>
    </sheetView>
  </sheetViews>
  <sheetFormatPr defaultRowHeight="14.5"/>
  <cols>
    <col min="1" max="2" width="12.81640625" customWidth="1"/>
    <col min="6" max="6" width="11.81640625" customWidth="1"/>
    <col min="7" max="8" width="12.1796875" customWidth="1"/>
    <col min="9" max="9" width="19.453125" bestFit="1" customWidth="1"/>
    <col min="10" max="10" width="17.6328125" bestFit="1" customWidth="1"/>
    <col min="11" max="11" width="14.54296875" bestFit="1" customWidth="1"/>
    <col min="12" max="12" width="8.81640625" customWidth="1"/>
    <col min="13" max="13" width="14.453125" customWidth="1"/>
    <col min="14" max="14" width="14.81640625" customWidth="1"/>
    <col min="15" max="15" width="13.453125" bestFit="1" customWidth="1"/>
    <col min="16" max="16" width="13.1796875" bestFit="1" customWidth="1"/>
    <col min="17" max="17" width="12.453125" bestFit="1" customWidth="1"/>
    <col min="18" max="18" width="11.81640625" bestFit="1" customWidth="1"/>
  </cols>
  <sheetData>
    <row r="1" spans="1:21">
      <c r="L1" s="17">
        <v>289.25</v>
      </c>
    </row>
    <row r="2" spans="1:21">
      <c r="A2" s="298" t="s">
        <v>709</v>
      </c>
      <c r="B2" s="299" t="s">
        <v>710</v>
      </c>
      <c r="C2" s="299" t="s">
        <v>23</v>
      </c>
      <c r="D2" s="300" t="s">
        <v>711</v>
      </c>
      <c r="E2" s="301" t="s">
        <v>39</v>
      </c>
      <c r="F2" s="302" t="s">
        <v>112</v>
      </c>
      <c r="G2" s="950" t="s">
        <v>1206</v>
      </c>
      <c r="H2" s="950"/>
      <c r="I2" s="303" t="s">
        <v>26</v>
      </c>
      <c r="J2" s="304" t="s">
        <v>348</v>
      </c>
      <c r="K2" s="2" t="s">
        <v>541</v>
      </c>
      <c r="L2" s="2" t="s">
        <v>396</v>
      </c>
      <c r="M2" s="2" t="s">
        <v>407</v>
      </c>
      <c r="N2" s="655" t="s">
        <v>1145</v>
      </c>
      <c r="O2" s="221" t="s">
        <v>705</v>
      </c>
      <c r="P2" s="221" t="s">
        <v>706</v>
      </c>
      <c r="Q2" s="221" t="s">
        <v>704</v>
      </c>
      <c r="R2" s="221" t="s">
        <v>707</v>
      </c>
      <c r="S2" s="852" t="s">
        <v>1189</v>
      </c>
      <c r="T2" s="852" t="s">
        <v>1190</v>
      </c>
    </row>
    <row r="3" spans="1:21">
      <c r="A3" s="305" t="s">
        <v>73</v>
      </c>
      <c r="B3" s="306" t="s">
        <v>798</v>
      </c>
      <c r="C3" s="307" t="s">
        <v>391</v>
      </c>
      <c r="D3" s="306">
        <v>36</v>
      </c>
      <c r="E3" s="307">
        <v>7</v>
      </c>
      <c r="F3" s="308">
        <v>2162</v>
      </c>
      <c r="G3" s="951" t="s">
        <v>1207</v>
      </c>
      <c r="H3" s="951"/>
      <c r="I3" s="309" t="s">
        <v>799</v>
      </c>
      <c r="J3" s="308" t="s">
        <v>401</v>
      </c>
      <c r="K3" s="14">
        <v>220</v>
      </c>
      <c r="L3" s="14">
        <f>K3/1.1023-$L$1</f>
        <v>-89.667309262451255</v>
      </c>
      <c r="M3" s="332">
        <f t="shared" ref="M3:M14" si="0">F3/60*K3*1.2</f>
        <v>9512.7999999999993</v>
      </c>
      <c r="N3" s="846">
        <v>46150</v>
      </c>
      <c r="O3" s="344">
        <v>37</v>
      </c>
      <c r="P3" s="344">
        <v>36</v>
      </c>
      <c r="Q3" s="344">
        <v>2.7</v>
      </c>
      <c r="R3" s="344">
        <v>2162.6999999999998</v>
      </c>
      <c r="T3" s="29">
        <f t="shared" ref="T3:T14" si="1">R3-F3</f>
        <v>0.6999999999998181</v>
      </c>
    </row>
    <row r="4" spans="1:21">
      <c r="A4" s="305" t="s">
        <v>73</v>
      </c>
      <c r="B4" s="306" t="s">
        <v>800</v>
      </c>
      <c r="C4" s="307" t="s">
        <v>391</v>
      </c>
      <c r="D4" s="306">
        <v>75</v>
      </c>
      <c r="E4" s="307">
        <v>22</v>
      </c>
      <c r="F4" s="308">
        <v>4524</v>
      </c>
      <c r="G4" s="951" t="s">
        <v>1207</v>
      </c>
      <c r="H4" s="951"/>
      <c r="I4" s="309" t="s">
        <v>440</v>
      </c>
      <c r="J4" s="308" t="s">
        <v>719</v>
      </c>
      <c r="K4" s="14">
        <v>220</v>
      </c>
      <c r="L4" s="14">
        <f t="shared" ref="L4:L14" si="2">K4/1.1023-$L$1</f>
        <v>-89.667309262451255</v>
      </c>
      <c r="M4" s="332">
        <f t="shared" si="0"/>
        <v>19905.599999999999</v>
      </c>
      <c r="N4" s="846">
        <v>46142</v>
      </c>
      <c r="O4" s="344">
        <v>76</v>
      </c>
      <c r="P4" s="344">
        <v>75</v>
      </c>
      <c r="Q4" s="344">
        <v>34.6</v>
      </c>
      <c r="R4" s="344">
        <v>4534.6000000000004</v>
      </c>
      <c r="T4" s="29">
        <f t="shared" si="1"/>
        <v>10.600000000000364</v>
      </c>
    </row>
    <row r="5" spans="1:21">
      <c r="A5" s="310" t="s">
        <v>259</v>
      </c>
      <c r="B5" s="311" t="s">
        <v>801</v>
      </c>
      <c r="C5" s="312" t="s">
        <v>391</v>
      </c>
      <c r="D5" s="311">
        <v>39</v>
      </c>
      <c r="E5" s="312">
        <v>50</v>
      </c>
      <c r="F5" s="313">
        <v>2390</v>
      </c>
      <c r="G5" s="951" t="s">
        <v>1207</v>
      </c>
      <c r="H5" s="1116"/>
      <c r="I5" s="314" t="s">
        <v>440</v>
      </c>
      <c r="J5" s="313" t="s">
        <v>802</v>
      </c>
      <c r="K5" s="14">
        <v>220</v>
      </c>
      <c r="L5" s="14">
        <f t="shared" si="2"/>
        <v>-89.667309262451255</v>
      </c>
      <c r="M5" s="332">
        <f t="shared" si="0"/>
        <v>10516</v>
      </c>
      <c r="N5" s="846">
        <v>46142</v>
      </c>
      <c r="O5" s="344">
        <v>40</v>
      </c>
      <c r="P5" s="344">
        <v>39</v>
      </c>
      <c r="Q5" s="344">
        <v>48</v>
      </c>
      <c r="R5" s="344">
        <v>2388</v>
      </c>
      <c r="T5" s="29">
        <f t="shared" si="1"/>
        <v>-2</v>
      </c>
    </row>
    <row r="6" spans="1:21">
      <c r="A6" s="305" t="s">
        <v>73</v>
      </c>
      <c r="B6" s="306" t="s">
        <v>803</v>
      </c>
      <c r="C6" s="307" t="s">
        <v>391</v>
      </c>
      <c r="D6" s="306">
        <v>60</v>
      </c>
      <c r="E6" s="307">
        <v>31</v>
      </c>
      <c r="F6" s="308">
        <v>3630</v>
      </c>
      <c r="G6" s="951" t="s">
        <v>1207</v>
      </c>
      <c r="H6" s="951"/>
      <c r="I6" s="309" t="s">
        <v>440</v>
      </c>
      <c r="J6" s="308" t="s">
        <v>802</v>
      </c>
      <c r="K6" s="14">
        <v>220</v>
      </c>
      <c r="L6" s="14">
        <f t="shared" si="2"/>
        <v>-89.667309262451255</v>
      </c>
      <c r="M6" s="332">
        <f t="shared" si="0"/>
        <v>15972</v>
      </c>
      <c r="N6" s="846">
        <v>46142</v>
      </c>
      <c r="O6" s="344">
        <v>61</v>
      </c>
      <c r="P6" s="344">
        <v>60</v>
      </c>
      <c r="Q6" s="344">
        <v>25.1</v>
      </c>
      <c r="R6" s="344">
        <v>3625.1</v>
      </c>
      <c r="T6" s="29">
        <f t="shared" si="1"/>
        <v>-4.9000000000000909</v>
      </c>
    </row>
    <row r="7" spans="1:21">
      <c r="A7" s="310" t="s">
        <v>73</v>
      </c>
      <c r="B7" s="311" t="s">
        <v>804</v>
      </c>
      <c r="C7" s="312" t="s">
        <v>391</v>
      </c>
      <c r="D7" s="311">
        <v>57</v>
      </c>
      <c r="E7" s="312">
        <v>66</v>
      </c>
      <c r="F7" s="313">
        <v>3485</v>
      </c>
      <c r="G7" s="951" t="s">
        <v>1207</v>
      </c>
      <c r="H7" s="1116"/>
      <c r="I7" s="314" t="s">
        <v>440</v>
      </c>
      <c r="J7" s="313" t="s">
        <v>782</v>
      </c>
      <c r="K7" s="14">
        <v>220</v>
      </c>
      <c r="L7" s="14">
        <f t="shared" si="2"/>
        <v>-89.667309262451255</v>
      </c>
      <c r="M7" s="332">
        <f t="shared" si="0"/>
        <v>15334</v>
      </c>
      <c r="N7" s="846">
        <v>46150</v>
      </c>
      <c r="O7" s="344">
        <v>58</v>
      </c>
      <c r="P7" s="344">
        <v>57</v>
      </c>
      <c r="Q7" s="344">
        <v>55.8</v>
      </c>
      <c r="R7" s="344">
        <v>3475.8</v>
      </c>
      <c r="T7" s="29">
        <f t="shared" si="1"/>
        <v>-9.1999999999998181</v>
      </c>
    </row>
    <row r="8" spans="1:21" ht="15" thickBot="1">
      <c r="A8" s="315" t="s">
        <v>73</v>
      </c>
      <c r="B8" s="316" t="s">
        <v>805</v>
      </c>
      <c r="C8" s="316" t="s">
        <v>391</v>
      </c>
      <c r="D8" s="316">
        <v>51</v>
      </c>
      <c r="E8" s="316">
        <v>30</v>
      </c>
      <c r="F8" s="317">
        <v>3089</v>
      </c>
      <c r="G8" s="951" t="s">
        <v>1207</v>
      </c>
      <c r="H8" s="1117"/>
      <c r="I8" s="318" t="s">
        <v>440</v>
      </c>
      <c r="J8" s="317" t="s">
        <v>782</v>
      </c>
      <c r="K8" s="14">
        <v>220</v>
      </c>
      <c r="L8" s="14">
        <f t="shared" si="2"/>
        <v>-89.667309262451255</v>
      </c>
      <c r="M8" s="332">
        <f t="shared" si="0"/>
        <v>13591.6</v>
      </c>
      <c r="N8" s="846">
        <v>46142</v>
      </c>
      <c r="O8" s="344">
        <v>52</v>
      </c>
      <c r="P8" s="344">
        <v>51</v>
      </c>
      <c r="Q8" s="344">
        <v>35.200000000000003</v>
      </c>
      <c r="R8" s="344">
        <v>3095.2</v>
      </c>
      <c r="T8" s="29">
        <f t="shared" si="1"/>
        <v>6.1999999999998181</v>
      </c>
    </row>
    <row r="9" spans="1:21" ht="15" thickTop="1">
      <c r="A9" s="310" t="s">
        <v>73</v>
      </c>
      <c r="B9" s="311" t="s">
        <v>798</v>
      </c>
      <c r="C9" s="312" t="s">
        <v>392</v>
      </c>
      <c r="D9" s="311">
        <v>21</v>
      </c>
      <c r="E9" s="312">
        <v>64</v>
      </c>
      <c r="F9" s="313">
        <v>1326</v>
      </c>
      <c r="G9" s="951" t="s">
        <v>1207</v>
      </c>
      <c r="H9" s="1116"/>
      <c r="I9" s="319" t="s">
        <v>730</v>
      </c>
      <c r="J9" s="320" t="s">
        <v>401</v>
      </c>
      <c r="K9" s="14">
        <v>145</v>
      </c>
      <c r="L9" s="14">
        <f t="shared" si="2"/>
        <v>-157.70686292297924</v>
      </c>
      <c r="M9" s="332">
        <f t="shared" si="0"/>
        <v>3845.3999999999996</v>
      </c>
      <c r="N9" s="846">
        <v>46142</v>
      </c>
      <c r="O9" s="344">
        <v>22</v>
      </c>
      <c r="P9" s="344">
        <v>22</v>
      </c>
      <c r="Q9" s="344">
        <v>8.1999999999999993</v>
      </c>
      <c r="R9" s="344">
        <v>1328.2</v>
      </c>
      <c r="T9" s="29">
        <f t="shared" si="1"/>
        <v>2.2000000000000455</v>
      </c>
    </row>
    <row r="10" spans="1:21">
      <c r="A10" s="305" t="s">
        <v>73</v>
      </c>
      <c r="B10" s="306" t="s">
        <v>800</v>
      </c>
      <c r="C10" s="307" t="s">
        <v>392</v>
      </c>
      <c r="D10" s="306">
        <v>51</v>
      </c>
      <c r="E10" s="307">
        <v>47</v>
      </c>
      <c r="F10" s="308">
        <v>3104</v>
      </c>
      <c r="G10" s="951" t="s">
        <v>1207</v>
      </c>
      <c r="H10" s="951"/>
      <c r="I10" s="321" t="s">
        <v>730</v>
      </c>
      <c r="J10" s="322" t="s">
        <v>401</v>
      </c>
      <c r="K10" s="14">
        <v>145</v>
      </c>
      <c r="L10" s="14">
        <f t="shared" si="2"/>
        <v>-157.70686292297924</v>
      </c>
      <c r="M10" s="332">
        <f t="shared" si="0"/>
        <v>9001.5999999999985</v>
      </c>
      <c r="N10" s="846">
        <v>46142</v>
      </c>
      <c r="O10" s="344">
        <v>52</v>
      </c>
      <c r="P10" s="344">
        <v>51</v>
      </c>
      <c r="Q10" s="344">
        <v>53.2</v>
      </c>
      <c r="R10" s="344">
        <v>3113.2</v>
      </c>
      <c r="T10" s="29">
        <f t="shared" si="1"/>
        <v>9.1999999999998181</v>
      </c>
    </row>
    <row r="11" spans="1:21">
      <c r="A11" s="310" t="s">
        <v>259</v>
      </c>
      <c r="B11" s="311" t="s">
        <v>801</v>
      </c>
      <c r="C11" s="312" t="s">
        <v>392</v>
      </c>
      <c r="D11" s="311">
        <v>27</v>
      </c>
      <c r="E11" s="312">
        <v>34</v>
      </c>
      <c r="F11" s="313">
        <v>1654</v>
      </c>
      <c r="G11" s="951" t="s">
        <v>1207</v>
      </c>
      <c r="H11" s="1116"/>
      <c r="I11" s="319" t="s">
        <v>355</v>
      </c>
      <c r="J11" s="320" t="s">
        <v>401</v>
      </c>
      <c r="K11" s="14">
        <v>145</v>
      </c>
      <c r="L11" s="14">
        <f t="shared" si="2"/>
        <v>-157.70686292297924</v>
      </c>
      <c r="M11" s="332">
        <f t="shared" si="0"/>
        <v>4796.5999999999995</v>
      </c>
      <c r="N11" s="846">
        <v>46154</v>
      </c>
      <c r="O11" s="344">
        <v>28</v>
      </c>
      <c r="P11" s="344">
        <v>27</v>
      </c>
      <c r="Q11" s="344">
        <v>37.799999999999997</v>
      </c>
      <c r="R11" s="344">
        <v>1657.8</v>
      </c>
      <c r="T11" s="29">
        <f t="shared" si="1"/>
        <v>3.7999999999999545</v>
      </c>
    </row>
    <row r="12" spans="1:21">
      <c r="A12" s="305" t="s">
        <v>73</v>
      </c>
      <c r="B12" s="306" t="s">
        <v>803</v>
      </c>
      <c r="C12" s="307" t="s">
        <v>392</v>
      </c>
      <c r="D12" s="306">
        <v>37</v>
      </c>
      <c r="E12" s="307">
        <v>52</v>
      </c>
      <c r="F12" s="308">
        <v>2270</v>
      </c>
      <c r="G12" s="951" t="s">
        <v>1207</v>
      </c>
      <c r="H12" s="951"/>
      <c r="I12" s="321" t="s">
        <v>730</v>
      </c>
      <c r="J12" s="322" t="s">
        <v>401</v>
      </c>
      <c r="K12" s="14">
        <v>145</v>
      </c>
      <c r="L12" s="14">
        <f t="shared" si="2"/>
        <v>-157.70686292297924</v>
      </c>
      <c r="M12" s="332">
        <f t="shared" si="0"/>
        <v>6583.0000000000009</v>
      </c>
      <c r="N12" s="846">
        <v>46142</v>
      </c>
      <c r="O12" s="344">
        <v>38</v>
      </c>
      <c r="P12" s="344">
        <v>37</v>
      </c>
      <c r="Q12" s="344">
        <v>50.8</v>
      </c>
      <c r="R12" s="344">
        <v>2270.8000000000002</v>
      </c>
      <c r="T12" s="29">
        <f t="shared" si="1"/>
        <v>0.8000000000001819</v>
      </c>
    </row>
    <row r="13" spans="1:21">
      <c r="A13" s="305" t="s">
        <v>73</v>
      </c>
      <c r="B13" s="306" t="s">
        <v>804</v>
      </c>
      <c r="C13" s="307" t="s">
        <v>392</v>
      </c>
      <c r="D13" s="306">
        <v>34</v>
      </c>
      <c r="E13" s="307">
        <v>18</v>
      </c>
      <c r="F13" s="308">
        <v>2058</v>
      </c>
      <c r="G13" s="951" t="s">
        <v>1207</v>
      </c>
      <c r="H13" s="951"/>
      <c r="I13" s="321" t="s">
        <v>730</v>
      </c>
      <c r="J13" s="322" t="s">
        <v>782</v>
      </c>
      <c r="K13" s="14">
        <v>145</v>
      </c>
      <c r="L13" s="14">
        <f t="shared" si="2"/>
        <v>-157.70686292297924</v>
      </c>
      <c r="M13" s="332">
        <f t="shared" si="0"/>
        <v>5968.2</v>
      </c>
      <c r="N13" s="846">
        <v>46150</v>
      </c>
      <c r="O13" s="344">
        <v>35</v>
      </c>
      <c r="P13" s="344">
        <v>34</v>
      </c>
      <c r="Q13" s="344">
        <v>18.5</v>
      </c>
      <c r="R13" s="344">
        <v>2058.5</v>
      </c>
      <c r="T13" s="29">
        <f t="shared" si="1"/>
        <v>0.5</v>
      </c>
      <c r="U13">
        <f>SUM(U3:U12)</f>
        <v>0</v>
      </c>
    </row>
    <row r="14" spans="1:21" ht="15" thickBot="1">
      <c r="A14" s="315" t="s">
        <v>73</v>
      </c>
      <c r="B14" s="316" t="s">
        <v>805</v>
      </c>
      <c r="C14" s="316" t="s">
        <v>392</v>
      </c>
      <c r="D14" s="306">
        <v>36</v>
      </c>
      <c r="E14" s="316">
        <v>62</v>
      </c>
      <c r="F14" s="317">
        <v>2216</v>
      </c>
      <c r="G14" s="951" t="s">
        <v>1207</v>
      </c>
      <c r="H14" s="1117"/>
      <c r="I14" s="318" t="s">
        <v>730</v>
      </c>
      <c r="J14" s="317" t="s">
        <v>782</v>
      </c>
      <c r="K14" s="14">
        <v>145</v>
      </c>
      <c r="L14" s="14">
        <f t="shared" si="2"/>
        <v>-157.70686292297924</v>
      </c>
      <c r="M14" s="332">
        <f t="shared" si="0"/>
        <v>6426.4</v>
      </c>
      <c r="N14" s="846">
        <v>46142</v>
      </c>
      <c r="O14" s="344">
        <v>37</v>
      </c>
      <c r="P14" s="344">
        <v>37</v>
      </c>
      <c r="Q14" s="344">
        <v>10.7</v>
      </c>
      <c r="R14" s="344">
        <v>2230.6999999999998</v>
      </c>
      <c r="T14" s="29">
        <f t="shared" si="1"/>
        <v>14.699999999999818</v>
      </c>
    </row>
    <row r="15" spans="1:21" ht="15" thickTop="1">
      <c r="D15" s="323">
        <f>F15/60</f>
        <v>531.79999999999995</v>
      </c>
      <c r="E15" s="17"/>
      <c r="F15" s="324">
        <f>SUM(F3:F14)</f>
        <v>31908</v>
      </c>
      <c r="G15" s="324"/>
      <c r="H15" s="324"/>
      <c r="M15" s="30">
        <f>SUM(M3:M14)</f>
        <v>121453.2</v>
      </c>
      <c r="R15">
        <f>SUM(R3:R14)</f>
        <v>31940.600000000002</v>
      </c>
      <c r="T15" s="29">
        <f>SUM(T3:T14)</f>
        <v>32.599999999999909</v>
      </c>
    </row>
    <row r="16" spans="1:21">
      <c r="D16" s="30"/>
      <c r="F16" s="29"/>
      <c r="G16" s="29"/>
      <c r="H16" s="29"/>
      <c r="R16">
        <f>R15/60</f>
        <v>532.34333333333336</v>
      </c>
      <c r="U16">
        <f>SUM(U14:U15)</f>
        <v>0</v>
      </c>
    </row>
    <row r="17" spans="6:13">
      <c r="F17" s="14"/>
      <c r="L17" t="s">
        <v>806</v>
      </c>
      <c r="M17" s="246">
        <f>M15/F15*50</f>
        <v>190.31778864234673</v>
      </c>
    </row>
    <row r="23" spans="6:13">
      <c r="H23" t="s">
        <v>1375</v>
      </c>
    </row>
    <row r="24" spans="6:13">
      <c r="H24" s="332">
        <v>350</v>
      </c>
    </row>
    <row r="25" spans="6:13">
      <c r="H25" s="332">
        <f t="shared" ref="H25" si="3">A25/60*F25*1.2</f>
        <v>0</v>
      </c>
    </row>
    <row r="27" spans="6:13">
      <c r="H27" s="30">
        <v>6426.4</v>
      </c>
    </row>
    <row r="28" spans="6:13">
      <c r="H28" s="30">
        <v>121453.2</v>
      </c>
    </row>
    <row r="29" spans="6:13">
      <c r="H29" s="30">
        <v>15972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autoFilter ref="A2:R15" xr:uid="{F101B8AB-7A08-4F29-8EE6-B0C6B562D2D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E47A-74A4-47F8-99CA-421A8B22F76B}">
  <dimension ref="A1:V63"/>
  <sheetViews>
    <sheetView workbookViewId="0">
      <selection activeCell="I21" sqref="I21"/>
    </sheetView>
  </sheetViews>
  <sheetFormatPr defaultRowHeight="14.5"/>
  <cols>
    <col min="1" max="2" width="15.1796875" customWidth="1"/>
    <col min="4" max="4" width="10.1796875" customWidth="1"/>
    <col min="5" max="5" width="13.1796875" customWidth="1"/>
    <col min="6" max="6" width="13.453125" customWidth="1"/>
    <col min="7" max="8" width="11.1796875" customWidth="1"/>
    <col min="9" max="9" width="19.453125" bestFit="1" customWidth="1"/>
    <col min="10" max="10" width="14.36328125" bestFit="1" customWidth="1"/>
    <col min="11" max="11" width="15.6328125" bestFit="1" customWidth="1"/>
    <col min="13" max="13" width="18" customWidth="1"/>
    <col min="15" max="15" width="16.81640625" customWidth="1"/>
    <col min="17" max="17" width="14.1796875" customWidth="1"/>
  </cols>
  <sheetData>
    <row r="1" spans="1:21" ht="15.5">
      <c r="A1" s="327" t="s">
        <v>22</v>
      </c>
      <c r="B1" s="327" t="s">
        <v>811</v>
      </c>
      <c r="C1" s="327" t="s">
        <v>23</v>
      </c>
      <c r="D1" s="327" t="s">
        <v>24</v>
      </c>
      <c r="E1" s="327" t="s">
        <v>111</v>
      </c>
      <c r="F1" s="327" t="s">
        <v>812</v>
      </c>
      <c r="G1" s="328" t="s">
        <v>813</v>
      </c>
      <c r="H1" s="328"/>
      <c r="I1" s="328" t="s">
        <v>1212</v>
      </c>
      <c r="J1" s="328" t="s">
        <v>814</v>
      </c>
      <c r="K1" s="328" t="s">
        <v>679</v>
      </c>
      <c r="L1" s="329" t="s">
        <v>541</v>
      </c>
      <c r="M1" s="2" t="s">
        <v>348</v>
      </c>
      <c r="N1" s="14"/>
      <c r="O1" t="s">
        <v>407</v>
      </c>
      <c r="P1">
        <v>289.25</v>
      </c>
    </row>
    <row r="2" spans="1:21">
      <c r="A2" s="49" t="s">
        <v>815</v>
      </c>
      <c r="B2" s="49" t="s">
        <v>816</v>
      </c>
      <c r="C2" s="49" t="s">
        <v>51</v>
      </c>
      <c r="D2" s="778">
        <v>7</v>
      </c>
      <c r="E2" s="330">
        <v>48</v>
      </c>
      <c r="F2" s="330">
        <f>D2*60+E2</f>
        <v>468</v>
      </c>
      <c r="G2" s="330" t="s">
        <v>421</v>
      </c>
      <c r="H2" s="330"/>
      <c r="I2" s="949" t="s">
        <v>1213</v>
      </c>
      <c r="J2" s="330" t="s">
        <v>418</v>
      </c>
      <c r="K2" s="330" t="s">
        <v>355</v>
      </c>
      <c r="L2" s="331">
        <v>100</v>
      </c>
      <c r="M2" s="14" t="s">
        <v>818</v>
      </c>
      <c r="N2" s="332">
        <f>L2/1.1023-$P$1</f>
        <v>-198.53059511929604</v>
      </c>
      <c r="O2" s="332">
        <f>F2/60*L2*1.2</f>
        <v>936</v>
      </c>
    </row>
    <row r="3" spans="1:21">
      <c r="A3" s="49" t="s">
        <v>815</v>
      </c>
      <c r="B3" s="49" t="s">
        <v>816</v>
      </c>
      <c r="C3" s="49" t="s">
        <v>52</v>
      </c>
      <c r="D3" s="778">
        <v>5</v>
      </c>
      <c r="E3" s="330">
        <v>9</v>
      </c>
      <c r="F3" s="330">
        <v>308.60000000000002</v>
      </c>
      <c r="G3" s="330" t="s">
        <v>421</v>
      </c>
      <c r="H3" s="330"/>
      <c r="I3" s="949" t="s">
        <v>1213</v>
      </c>
      <c r="J3" s="330" t="s">
        <v>418</v>
      </c>
      <c r="K3" s="330" t="s">
        <v>355</v>
      </c>
      <c r="L3" s="331">
        <v>90</v>
      </c>
      <c r="M3" s="14" t="s">
        <v>818</v>
      </c>
      <c r="N3" s="332">
        <f t="shared" ref="N3:N7" si="0">L3/1.1023-$P$1</f>
        <v>-207.60253560736641</v>
      </c>
      <c r="O3" s="332">
        <f t="shared" ref="O3:O7" si="1">F3/60*L3*1.2</f>
        <v>555.48</v>
      </c>
    </row>
    <row r="4" spans="1:21">
      <c r="A4" s="333" t="s">
        <v>817</v>
      </c>
      <c r="B4" s="49" t="s">
        <v>816</v>
      </c>
      <c r="C4" s="49" t="s">
        <v>461</v>
      </c>
      <c r="D4" s="777">
        <v>29</v>
      </c>
      <c r="E4" s="330">
        <v>44</v>
      </c>
      <c r="F4" s="330">
        <f t="shared" ref="F4:F6" si="2">D4*60+E4</f>
        <v>1784</v>
      </c>
      <c r="G4" s="330" t="s">
        <v>60</v>
      </c>
      <c r="H4" s="330"/>
      <c r="I4" s="949" t="s">
        <v>1213</v>
      </c>
      <c r="J4" s="330" t="s">
        <v>418</v>
      </c>
      <c r="K4" s="334" t="s">
        <v>418</v>
      </c>
      <c r="L4" s="331">
        <v>175</v>
      </c>
      <c r="M4" s="14" t="s">
        <v>818</v>
      </c>
      <c r="N4" s="332">
        <f t="shared" si="0"/>
        <v>-130.49104145876805</v>
      </c>
      <c r="O4" s="332">
        <f t="shared" si="1"/>
        <v>6244.0000000000009</v>
      </c>
    </row>
    <row r="5" spans="1:21">
      <c r="A5" s="49" t="s">
        <v>122</v>
      </c>
      <c r="B5" s="49" t="s">
        <v>816</v>
      </c>
      <c r="C5" s="49" t="s">
        <v>819</v>
      </c>
      <c r="D5" s="777">
        <v>8</v>
      </c>
      <c r="E5" s="330" t="s">
        <v>820</v>
      </c>
      <c r="F5" s="330">
        <v>403</v>
      </c>
      <c r="G5" s="330" t="s">
        <v>421</v>
      </c>
      <c r="H5" s="330"/>
      <c r="I5" s="949" t="s">
        <v>1213</v>
      </c>
      <c r="J5" s="330" t="s">
        <v>418</v>
      </c>
      <c r="K5" s="330" t="s">
        <v>355</v>
      </c>
      <c r="L5" s="331">
        <v>100</v>
      </c>
      <c r="M5" s="14" t="s">
        <v>818</v>
      </c>
      <c r="N5" s="332">
        <f t="shared" si="0"/>
        <v>-198.53059511929604</v>
      </c>
      <c r="O5" s="332">
        <f t="shared" si="1"/>
        <v>805.99999999999989</v>
      </c>
    </row>
    <row r="6" spans="1:21">
      <c r="A6" s="49" t="s">
        <v>122</v>
      </c>
      <c r="B6" s="49" t="s">
        <v>816</v>
      </c>
      <c r="C6" s="49" t="s">
        <v>450</v>
      </c>
      <c r="D6" s="257">
        <v>36</v>
      </c>
      <c r="E6" s="49">
        <v>14</v>
      </c>
      <c r="F6" s="330">
        <f t="shared" si="2"/>
        <v>2174</v>
      </c>
      <c r="G6" s="49" t="s">
        <v>821</v>
      </c>
      <c r="H6" s="49"/>
      <c r="I6" s="949" t="s">
        <v>1213</v>
      </c>
      <c r="J6" s="330" t="s">
        <v>418</v>
      </c>
      <c r="K6" s="49" t="s">
        <v>418</v>
      </c>
      <c r="L6" s="331">
        <v>150</v>
      </c>
      <c r="M6" s="14" t="s">
        <v>818</v>
      </c>
      <c r="N6" s="332">
        <f t="shared" si="0"/>
        <v>-153.17089267894403</v>
      </c>
      <c r="O6" s="332">
        <f t="shared" si="1"/>
        <v>6522</v>
      </c>
    </row>
    <row r="7" spans="1:21" ht="16">
      <c r="A7" s="335" t="s">
        <v>822</v>
      </c>
      <c r="B7" s="335" t="s">
        <v>816</v>
      </c>
      <c r="C7" s="335" t="s">
        <v>823</v>
      </c>
      <c r="D7" s="779"/>
      <c r="E7" s="49"/>
      <c r="F7" s="330"/>
      <c r="G7" s="50" t="s">
        <v>421</v>
      </c>
      <c r="H7" s="50"/>
      <c r="I7" s="949" t="s">
        <v>1213</v>
      </c>
      <c r="J7" s="330" t="s">
        <v>418</v>
      </c>
      <c r="K7" s="49" t="s">
        <v>355</v>
      </c>
      <c r="L7" s="331"/>
      <c r="M7" s="14" t="s">
        <v>818</v>
      </c>
      <c r="N7" s="332">
        <f t="shared" si="0"/>
        <v>-289.25</v>
      </c>
      <c r="O7" s="332">
        <f t="shared" si="1"/>
        <v>0</v>
      </c>
      <c r="Q7" t="s">
        <v>1180</v>
      </c>
    </row>
    <row r="8" spans="1:21">
      <c r="D8" s="323">
        <f>F8/60</f>
        <v>85.626666666666679</v>
      </c>
      <c r="E8" s="17"/>
      <c r="F8" s="336">
        <f>SUM(F2:F7)</f>
        <v>5137.6000000000004</v>
      </c>
      <c r="O8" s="30">
        <f>SUM(O2:O6)</f>
        <v>15063.480000000001</v>
      </c>
    </row>
    <row r="10" spans="1:21">
      <c r="N10" s="17" t="s">
        <v>541</v>
      </c>
      <c r="O10" s="111">
        <f>O8/F8*50</f>
        <v>146.60035814388041</v>
      </c>
    </row>
    <row r="13" spans="1:21">
      <c r="U13">
        <f>SUM(U3:U12)</f>
        <v>0</v>
      </c>
    </row>
    <row r="16" spans="1:21">
      <c r="U16">
        <f>SUM(U14:U15)</f>
        <v>0</v>
      </c>
    </row>
    <row r="23" spans="8:8">
      <c r="H23" t="s">
        <v>1375</v>
      </c>
    </row>
    <row r="24" spans="8:8">
      <c r="H24">
        <v>350</v>
      </c>
    </row>
    <row r="29" spans="8:8">
      <c r="H29" t="s">
        <v>818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8954-CF85-4947-BE32-40975666766C}">
  <sheetPr>
    <tabColor theme="7" tint="0.79998168889431442"/>
  </sheetPr>
  <dimension ref="A1:Y63"/>
  <sheetViews>
    <sheetView topLeftCell="D6" workbookViewId="0">
      <selection activeCell="V12" sqref="V12"/>
    </sheetView>
  </sheetViews>
  <sheetFormatPr defaultColWidth="8.81640625" defaultRowHeight="14"/>
  <cols>
    <col min="1" max="2" width="21.1796875" style="879" customWidth="1"/>
    <col min="3" max="6" width="8.81640625" style="879"/>
    <col min="7" max="8" width="8.81640625" style="879" customWidth="1"/>
    <col min="9" max="9" width="18.54296875" style="879" bestFit="1" customWidth="1"/>
    <col min="10" max="10" width="13.54296875" style="879" bestFit="1" customWidth="1"/>
    <col min="11" max="11" width="14" style="945" bestFit="1" customWidth="1"/>
    <col min="12" max="12" width="14.453125" style="879" customWidth="1"/>
    <col min="13" max="13" width="16.1796875" style="879" customWidth="1"/>
    <col min="14" max="15" width="10.1796875" style="879" customWidth="1"/>
    <col min="16" max="16" width="12.1796875" style="880" customWidth="1"/>
    <col min="17" max="17" width="8.54296875" style="879" bestFit="1" customWidth="1"/>
    <col min="18" max="18" width="11.1796875" style="879" customWidth="1"/>
    <col min="19" max="19" width="10.453125" style="879" customWidth="1"/>
    <col min="20" max="20" width="11.54296875" style="879" bestFit="1" customWidth="1"/>
    <col min="21" max="21" width="13.453125" style="879" bestFit="1" customWidth="1"/>
    <col min="22" max="22" width="13.1796875" style="879" bestFit="1" customWidth="1"/>
    <col min="23" max="23" width="12.453125" style="879" bestFit="1" customWidth="1"/>
    <col min="24" max="24" width="11.81640625" style="879" bestFit="1" customWidth="1"/>
    <col min="25" max="16384" width="8.81640625" style="879"/>
  </cols>
  <sheetData>
    <row r="1" spans="1:25">
      <c r="P1" s="880">
        <v>293</v>
      </c>
    </row>
    <row r="2" spans="1:25">
      <c r="A2" s="881" t="s">
        <v>842</v>
      </c>
      <c r="B2" s="881"/>
      <c r="C2" s="882"/>
      <c r="D2" s="882"/>
      <c r="E2" s="882"/>
      <c r="F2" s="882"/>
      <c r="G2" s="882"/>
      <c r="H2" s="882"/>
      <c r="I2" s="882"/>
      <c r="J2" s="882"/>
      <c r="K2" s="889"/>
      <c r="L2" s="882"/>
      <c r="M2" s="882"/>
      <c r="N2" s="881">
        <v>290</v>
      </c>
    </row>
    <row r="3" spans="1:25" ht="27">
      <c r="A3" s="883" t="s">
        <v>22</v>
      </c>
      <c r="B3" s="883" t="s">
        <v>21</v>
      </c>
      <c r="C3" s="883" t="s">
        <v>23</v>
      </c>
      <c r="D3" s="883" t="s">
        <v>24</v>
      </c>
      <c r="E3" s="883" t="s">
        <v>39</v>
      </c>
      <c r="F3" s="883" t="s">
        <v>112</v>
      </c>
      <c r="G3" s="883" t="s">
        <v>26</v>
      </c>
      <c r="H3" s="883"/>
      <c r="I3" s="883" t="s">
        <v>679</v>
      </c>
      <c r="J3" s="884" t="s">
        <v>26</v>
      </c>
      <c r="K3" s="946" t="s">
        <v>1205</v>
      </c>
      <c r="L3" s="884" t="s">
        <v>414</v>
      </c>
      <c r="M3" s="884" t="s">
        <v>843</v>
      </c>
      <c r="N3" s="881" t="s">
        <v>30</v>
      </c>
      <c r="O3" s="881" t="s">
        <v>541</v>
      </c>
      <c r="P3" s="883" t="s">
        <v>30</v>
      </c>
      <c r="Q3" s="885" t="s">
        <v>405</v>
      </c>
      <c r="R3" s="885" t="s">
        <v>406</v>
      </c>
      <c r="S3" s="886" t="s">
        <v>407</v>
      </c>
      <c r="T3" s="887" t="s">
        <v>1145</v>
      </c>
      <c r="U3" s="888" t="s">
        <v>705</v>
      </c>
      <c r="V3" s="888" t="s">
        <v>706</v>
      </c>
      <c r="W3" s="888" t="s">
        <v>704</v>
      </c>
      <c r="X3" s="888" t="s">
        <v>707</v>
      </c>
      <c r="Y3" s="879" t="s">
        <v>244</v>
      </c>
    </row>
    <row r="4" spans="1:25">
      <c r="A4" s="882" t="s">
        <v>844</v>
      </c>
      <c r="B4" s="882" t="s">
        <v>845</v>
      </c>
      <c r="C4" s="882" t="s">
        <v>45</v>
      </c>
      <c r="D4" s="889">
        <v>13</v>
      </c>
      <c r="E4" s="889">
        <v>66</v>
      </c>
      <c r="F4" s="889">
        <f t="shared" ref="F4:F17" si="0">D4*60+E4</f>
        <v>846</v>
      </c>
      <c r="G4" s="881" t="s">
        <v>54</v>
      </c>
      <c r="H4" s="881"/>
      <c r="I4" s="881" t="s">
        <v>435</v>
      </c>
      <c r="J4" s="890" t="s">
        <v>54</v>
      </c>
      <c r="K4" s="947">
        <v>90502</v>
      </c>
      <c r="L4" s="890" t="s">
        <v>354</v>
      </c>
      <c r="M4" s="890" t="s">
        <v>435</v>
      </c>
      <c r="N4" s="891" t="e">
        <f>#REF!/1.1023-$N$2</f>
        <v>#REF!</v>
      </c>
      <c r="O4" s="882">
        <v>315</v>
      </c>
      <c r="P4" s="892">
        <f t="shared" ref="P4:P17" si="1">O4/1.1023-$P$1</f>
        <v>-7.2338746257824482</v>
      </c>
      <c r="Q4" s="893">
        <v>70557</v>
      </c>
      <c r="R4" s="893">
        <v>867.3</v>
      </c>
      <c r="S4" s="879">
        <f>R4/60*O4*1.2</f>
        <v>5463.99</v>
      </c>
      <c r="T4" s="894">
        <v>46157</v>
      </c>
      <c r="U4" s="893">
        <v>14</v>
      </c>
      <c r="V4" s="893">
        <v>14</v>
      </c>
      <c r="W4" s="893">
        <v>40.4</v>
      </c>
      <c r="X4" s="893">
        <v>880.4</v>
      </c>
      <c r="Y4" s="879">
        <f>X4-R4</f>
        <v>13.100000000000023</v>
      </c>
    </row>
    <row r="5" spans="1:25">
      <c r="A5" s="882" t="s">
        <v>844</v>
      </c>
      <c r="B5" s="882" t="s">
        <v>845</v>
      </c>
      <c r="C5" s="882" t="s">
        <v>44</v>
      </c>
      <c r="D5" s="889">
        <v>10</v>
      </c>
      <c r="E5" s="889">
        <v>13</v>
      </c>
      <c r="F5" s="889">
        <f t="shared" si="0"/>
        <v>613</v>
      </c>
      <c r="G5" s="881" t="s">
        <v>54</v>
      </c>
      <c r="H5" s="881"/>
      <c r="I5" s="881" t="s">
        <v>697</v>
      </c>
      <c r="J5" s="895" t="s">
        <v>54</v>
      </c>
      <c r="K5" s="948">
        <v>90502</v>
      </c>
      <c r="L5" s="895" t="s">
        <v>354</v>
      </c>
      <c r="M5" s="895" t="s">
        <v>697</v>
      </c>
      <c r="N5" s="891" t="e">
        <f>#REF!/1.1023-$N$2</f>
        <v>#REF!</v>
      </c>
      <c r="O5" s="882">
        <v>329</v>
      </c>
      <c r="P5" s="892">
        <f t="shared" si="1"/>
        <v>5.4668420575160894</v>
      </c>
      <c r="Q5" s="893">
        <v>70558</v>
      </c>
      <c r="R5" s="893">
        <v>628.20000000000005</v>
      </c>
      <c r="S5" s="879">
        <f t="shared" ref="S5:S7" si="2">R5/60*O5*1.2</f>
        <v>4133.5559999999996</v>
      </c>
      <c r="T5" s="894">
        <v>46157</v>
      </c>
      <c r="U5" s="893">
        <v>11</v>
      </c>
      <c r="V5" s="893">
        <v>10</v>
      </c>
      <c r="W5" s="893">
        <v>39.1</v>
      </c>
      <c r="X5" s="893">
        <v>639.1</v>
      </c>
      <c r="Y5" s="879">
        <f t="shared" ref="Y5:Y17" si="3">X5-R5</f>
        <v>10.899999999999977</v>
      </c>
    </row>
    <row r="6" spans="1:25">
      <c r="A6" s="882" t="s">
        <v>846</v>
      </c>
      <c r="B6" s="882" t="s">
        <v>845</v>
      </c>
      <c r="C6" s="882" t="s">
        <v>42</v>
      </c>
      <c r="D6" s="889">
        <v>6</v>
      </c>
      <c r="E6" s="889">
        <v>43</v>
      </c>
      <c r="F6" s="889">
        <f t="shared" si="0"/>
        <v>403</v>
      </c>
      <c r="G6" s="881" t="s">
        <v>356</v>
      </c>
      <c r="H6" s="881"/>
      <c r="I6" s="881" t="s">
        <v>426</v>
      </c>
      <c r="J6" s="895" t="s">
        <v>356</v>
      </c>
      <c r="K6" s="948">
        <v>90502</v>
      </c>
      <c r="L6" s="895" t="s">
        <v>354</v>
      </c>
      <c r="M6" s="895" t="s">
        <v>426</v>
      </c>
      <c r="N6" s="891" t="e">
        <f>#REF!/1.1023-$N$2</f>
        <v>#REF!</v>
      </c>
      <c r="O6" s="882">
        <v>323</v>
      </c>
      <c r="P6" s="892">
        <f t="shared" si="1"/>
        <v>2.3677764673834645E-2</v>
      </c>
      <c r="Q6" s="893">
        <v>70560</v>
      </c>
      <c r="R6" s="893">
        <v>413.2</v>
      </c>
      <c r="S6" s="879">
        <f t="shared" si="2"/>
        <v>2669.2719999999999</v>
      </c>
      <c r="T6" s="894">
        <v>46157</v>
      </c>
      <c r="U6" s="893">
        <v>7</v>
      </c>
      <c r="V6" s="893">
        <v>6</v>
      </c>
      <c r="W6" s="893">
        <v>54.7</v>
      </c>
      <c r="X6" s="893">
        <v>414.7</v>
      </c>
      <c r="Y6" s="879">
        <f t="shared" si="3"/>
        <v>1.5</v>
      </c>
    </row>
    <row r="7" spans="1:25">
      <c r="A7" s="882" t="s">
        <v>846</v>
      </c>
      <c r="B7" s="882" t="s">
        <v>845</v>
      </c>
      <c r="C7" s="882" t="s">
        <v>43</v>
      </c>
      <c r="D7" s="889">
        <v>20</v>
      </c>
      <c r="E7" s="889">
        <v>65</v>
      </c>
      <c r="F7" s="889">
        <f t="shared" si="0"/>
        <v>1265</v>
      </c>
      <c r="G7" s="881" t="s">
        <v>356</v>
      </c>
      <c r="H7" s="881"/>
      <c r="I7" s="881" t="s">
        <v>847</v>
      </c>
      <c r="J7" s="890" t="s">
        <v>356</v>
      </c>
      <c r="K7" s="948">
        <v>90502</v>
      </c>
      <c r="L7" s="895" t="s">
        <v>354</v>
      </c>
      <c r="M7" s="890" t="s">
        <v>749</v>
      </c>
      <c r="N7" s="891" t="e">
        <f>#REF!/1.1023-$N$2</f>
        <v>#REF!</v>
      </c>
      <c r="O7" s="882">
        <v>302</v>
      </c>
      <c r="P7" s="892">
        <f t="shared" si="1"/>
        <v>-19.027397260273972</v>
      </c>
      <c r="Q7" s="893">
        <v>70561</v>
      </c>
      <c r="R7" s="893">
        <v>1302.2</v>
      </c>
      <c r="S7" s="879">
        <f t="shared" si="2"/>
        <v>7865.2879999999996</v>
      </c>
      <c r="T7" s="894">
        <v>46157</v>
      </c>
      <c r="U7" s="893">
        <v>21</v>
      </c>
      <c r="V7" s="893">
        <v>21</v>
      </c>
      <c r="W7" s="893">
        <v>44.1</v>
      </c>
      <c r="X7" s="893">
        <v>1304.0999999999999</v>
      </c>
      <c r="Y7" s="879">
        <f t="shared" si="3"/>
        <v>1.8999999999998636</v>
      </c>
    </row>
    <row r="8" spans="1:25">
      <c r="A8" s="882" t="s">
        <v>846</v>
      </c>
      <c r="B8" s="882" t="s">
        <v>845</v>
      </c>
      <c r="C8" s="882" t="s">
        <v>45</v>
      </c>
      <c r="D8" s="889">
        <v>8</v>
      </c>
      <c r="E8" s="889">
        <v>58</v>
      </c>
      <c r="F8" s="889">
        <f t="shared" si="0"/>
        <v>538</v>
      </c>
      <c r="G8" s="881" t="s">
        <v>59</v>
      </c>
      <c r="H8" s="881"/>
      <c r="I8" s="881" t="s">
        <v>436</v>
      </c>
      <c r="J8" s="895" t="s">
        <v>59</v>
      </c>
      <c r="K8" s="948">
        <v>90468</v>
      </c>
      <c r="L8" s="895" t="s">
        <v>418</v>
      </c>
      <c r="M8" s="895" t="s">
        <v>436</v>
      </c>
      <c r="N8" s="891" t="e">
        <f>#REF!/1.1023-$N$2</f>
        <v>#REF!</v>
      </c>
      <c r="O8" s="882">
        <v>283</v>
      </c>
      <c r="P8" s="892">
        <f t="shared" si="1"/>
        <v>-36.26408418760775</v>
      </c>
      <c r="Q8" s="893">
        <v>70562</v>
      </c>
      <c r="R8" s="893">
        <v>551.20000000000005</v>
      </c>
      <c r="S8" s="879">
        <f>R8/60*O8*1.2</f>
        <v>3119.7919999999999</v>
      </c>
      <c r="T8" s="894">
        <v>46156</v>
      </c>
      <c r="U8" s="893">
        <v>9</v>
      </c>
      <c r="V8" s="893">
        <v>9</v>
      </c>
      <c r="W8" s="893">
        <v>13.9</v>
      </c>
      <c r="X8" s="893">
        <v>553.9</v>
      </c>
      <c r="Y8" s="879">
        <f t="shared" si="3"/>
        <v>2.6999999999999318</v>
      </c>
    </row>
    <row r="9" spans="1:25">
      <c r="A9" s="882" t="s">
        <v>846</v>
      </c>
      <c r="B9" s="882" t="s">
        <v>845</v>
      </c>
      <c r="C9" s="882" t="s">
        <v>44</v>
      </c>
      <c r="D9" s="889">
        <v>5</v>
      </c>
      <c r="E9" s="889">
        <v>64</v>
      </c>
      <c r="F9" s="889">
        <f t="shared" si="0"/>
        <v>364</v>
      </c>
      <c r="G9" s="881" t="s">
        <v>356</v>
      </c>
      <c r="H9" s="881"/>
      <c r="I9" s="881" t="s">
        <v>847</v>
      </c>
      <c r="J9" s="890" t="s">
        <v>356</v>
      </c>
      <c r="K9" s="948">
        <v>90502</v>
      </c>
      <c r="L9" s="895" t="s">
        <v>354</v>
      </c>
      <c r="M9" s="890" t="s">
        <v>749</v>
      </c>
      <c r="N9" s="891" t="e">
        <f>#REF!/1.1023-$N$2</f>
        <v>#REF!</v>
      </c>
      <c r="O9" s="882">
        <v>302</v>
      </c>
      <c r="P9" s="892">
        <f t="shared" si="1"/>
        <v>-19.027397260273972</v>
      </c>
      <c r="Q9" s="893">
        <v>70563</v>
      </c>
      <c r="R9" s="893">
        <v>370</v>
      </c>
      <c r="S9" s="879">
        <f t="shared" ref="S9:S10" si="4">R9/60*O9*1.2</f>
        <v>2234.8000000000002</v>
      </c>
      <c r="T9" s="894">
        <v>46157</v>
      </c>
      <c r="U9" s="893">
        <v>6</v>
      </c>
      <c r="V9" s="893">
        <v>6</v>
      </c>
      <c r="W9" s="893">
        <v>11.6</v>
      </c>
      <c r="X9" s="893">
        <v>371.6</v>
      </c>
      <c r="Y9" s="879">
        <f t="shared" si="3"/>
        <v>1.6000000000000227</v>
      </c>
    </row>
    <row r="10" spans="1:25">
      <c r="A10" s="882" t="s">
        <v>848</v>
      </c>
      <c r="B10" s="882" t="s">
        <v>845</v>
      </c>
      <c r="C10" s="882" t="s">
        <v>43</v>
      </c>
      <c r="D10" s="889">
        <v>17</v>
      </c>
      <c r="E10" s="889">
        <v>33</v>
      </c>
      <c r="F10" s="889">
        <f t="shared" si="0"/>
        <v>1053</v>
      </c>
      <c r="G10" s="881" t="s">
        <v>56</v>
      </c>
      <c r="H10" s="881"/>
      <c r="I10" s="881" t="s">
        <v>847</v>
      </c>
      <c r="J10" s="895" t="s">
        <v>56</v>
      </c>
      <c r="K10" s="948">
        <v>90502</v>
      </c>
      <c r="L10" s="895" t="s">
        <v>354</v>
      </c>
      <c r="M10" s="895" t="s">
        <v>749</v>
      </c>
      <c r="N10" s="891" t="e">
        <f>#REF!/1.1023-$N$2</f>
        <v>#REF!</v>
      </c>
      <c r="O10" s="882">
        <v>302</v>
      </c>
      <c r="P10" s="892">
        <f t="shared" si="1"/>
        <v>-19.027397260273972</v>
      </c>
      <c r="Q10" s="893">
        <v>70564</v>
      </c>
      <c r="R10" s="893">
        <v>1085.0999999999999</v>
      </c>
      <c r="S10" s="879">
        <f t="shared" si="4"/>
        <v>6554.003999999999</v>
      </c>
      <c r="T10" s="894">
        <v>46157</v>
      </c>
      <c r="U10" s="893">
        <v>18</v>
      </c>
      <c r="V10" s="893">
        <v>18</v>
      </c>
      <c r="W10" s="893">
        <v>23.8</v>
      </c>
      <c r="X10" s="893">
        <v>1103.8</v>
      </c>
      <c r="Y10" s="879">
        <f t="shared" si="3"/>
        <v>18.700000000000045</v>
      </c>
    </row>
    <row r="11" spans="1:25">
      <c r="A11" s="882" t="s">
        <v>849</v>
      </c>
      <c r="B11" s="882" t="s">
        <v>519</v>
      </c>
      <c r="C11" s="882" t="s">
        <v>46</v>
      </c>
      <c r="D11" s="889">
        <v>8</v>
      </c>
      <c r="E11" s="889">
        <v>0</v>
      </c>
      <c r="F11" s="889">
        <f t="shared" si="0"/>
        <v>480</v>
      </c>
      <c r="G11" s="881" t="s">
        <v>59</v>
      </c>
      <c r="H11" s="881"/>
      <c r="I11" s="881" t="s">
        <v>436</v>
      </c>
      <c r="J11" s="896" t="s">
        <v>59</v>
      </c>
      <c r="K11" s="948">
        <v>90468</v>
      </c>
      <c r="L11" s="895" t="s">
        <v>418</v>
      </c>
      <c r="M11" s="896" t="s">
        <v>436</v>
      </c>
      <c r="N11" s="891" t="e">
        <f>#REF!/1.1023-$N$2</f>
        <v>#REF!</v>
      </c>
      <c r="O11" s="882">
        <v>283</v>
      </c>
      <c r="P11" s="892">
        <f t="shared" si="1"/>
        <v>-36.26408418760775</v>
      </c>
      <c r="Q11" s="893">
        <v>70565</v>
      </c>
      <c r="R11" s="893">
        <v>497.4</v>
      </c>
      <c r="S11" s="879">
        <f>R11/60*O11*1.2</f>
        <v>2815.2839999999997</v>
      </c>
      <c r="T11" s="894">
        <v>46156</v>
      </c>
      <c r="U11" s="893">
        <v>8</v>
      </c>
      <c r="V11" s="893">
        <v>8</v>
      </c>
      <c r="W11" s="893">
        <v>19.8</v>
      </c>
      <c r="X11" s="893">
        <v>499.8</v>
      </c>
      <c r="Y11" s="879">
        <f t="shared" si="3"/>
        <v>2.4000000000000341</v>
      </c>
    </row>
    <row r="12" spans="1:25">
      <c r="A12" s="882" t="s">
        <v>850</v>
      </c>
      <c r="B12" s="882" t="s">
        <v>519</v>
      </c>
      <c r="C12" s="882" t="s">
        <v>45</v>
      </c>
      <c r="D12" s="889">
        <v>12</v>
      </c>
      <c r="E12" s="889">
        <v>35</v>
      </c>
      <c r="F12" s="889">
        <f t="shared" si="0"/>
        <v>755</v>
      </c>
      <c r="G12" s="881" t="s">
        <v>56</v>
      </c>
      <c r="H12" s="881"/>
      <c r="I12" s="881" t="s">
        <v>427</v>
      </c>
      <c r="J12" s="895" t="s">
        <v>56</v>
      </c>
      <c r="K12" s="948">
        <v>90502</v>
      </c>
      <c r="L12" s="895" t="s">
        <v>354</v>
      </c>
      <c r="M12" s="895" t="s">
        <v>427</v>
      </c>
      <c r="N12" s="891" t="e">
        <f>#REF!/1.1023-$N$2</f>
        <v>#REF!</v>
      </c>
      <c r="O12" s="882">
        <v>294</v>
      </c>
      <c r="P12" s="892">
        <f t="shared" si="1"/>
        <v>-26.284949650730312</v>
      </c>
      <c r="Q12" s="893">
        <v>70567</v>
      </c>
      <c r="R12" s="893">
        <v>780</v>
      </c>
      <c r="S12" s="879">
        <f t="shared" ref="S12:S13" si="5">R12/60*O12*1.2</f>
        <v>4586.3999999999996</v>
      </c>
      <c r="T12" s="894">
        <v>46155</v>
      </c>
      <c r="U12" s="893">
        <v>13</v>
      </c>
      <c r="V12" s="893">
        <v>13</v>
      </c>
      <c r="W12" s="893">
        <v>7.3</v>
      </c>
      <c r="X12" s="893">
        <v>787.3</v>
      </c>
      <c r="Y12" s="879">
        <f t="shared" si="3"/>
        <v>7.2999999999999545</v>
      </c>
    </row>
    <row r="13" spans="1:25">
      <c r="A13" s="882" t="s">
        <v>851</v>
      </c>
      <c r="B13" s="882" t="s">
        <v>519</v>
      </c>
      <c r="C13" s="882" t="s">
        <v>44</v>
      </c>
      <c r="D13" s="889">
        <v>11</v>
      </c>
      <c r="E13" s="889">
        <v>48</v>
      </c>
      <c r="F13" s="889">
        <f t="shared" si="0"/>
        <v>708</v>
      </c>
      <c r="G13" s="881" t="s">
        <v>56</v>
      </c>
      <c r="H13" s="881"/>
      <c r="I13" s="881" t="s">
        <v>847</v>
      </c>
      <c r="J13" s="890" t="s">
        <v>56</v>
      </c>
      <c r="K13" s="948">
        <v>90502</v>
      </c>
      <c r="L13" s="895" t="s">
        <v>354</v>
      </c>
      <c r="M13" s="890" t="s">
        <v>749</v>
      </c>
      <c r="N13" s="891" t="e">
        <f>#REF!/1.1023-$N$2</f>
        <v>#REF!</v>
      </c>
      <c r="O13" s="882">
        <v>302</v>
      </c>
      <c r="P13" s="892">
        <f t="shared" si="1"/>
        <v>-19.027397260273972</v>
      </c>
      <c r="Q13" s="893">
        <v>70568</v>
      </c>
      <c r="R13" s="893">
        <v>726.7</v>
      </c>
      <c r="S13" s="879">
        <f t="shared" si="5"/>
        <v>4389.268</v>
      </c>
      <c r="T13" s="894">
        <v>46155</v>
      </c>
      <c r="U13" s="893">
        <f>SUM(U3:U12)</f>
        <v>107</v>
      </c>
      <c r="V13" s="893">
        <v>12</v>
      </c>
      <c r="W13" s="893">
        <v>12.2</v>
      </c>
      <c r="X13" s="893">
        <v>732.2</v>
      </c>
      <c r="Y13" s="879">
        <f t="shared" si="3"/>
        <v>5.5</v>
      </c>
    </row>
    <row r="14" spans="1:25">
      <c r="A14" s="882" t="s">
        <v>852</v>
      </c>
      <c r="B14" s="882" t="s">
        <v>519</v>
      </c>
      <c r="C14" s="882" t="s">
        <v>47</v>
      </c>
      <c r="D14" s="889">
        <v>3</v>
      </c>
      <c r="E14" s="889">
        <v>24</v>
      </c>
      <c r="F14" s="889">
        <f t="shared" si="0"/>
        <v>204</v>
      </c>
      <c r="G14" s="881" t="s">
        <v>59</v>
      </c>
      <c r="H14" s="881"/>
      <c r="I14" s="881" t="s">
        <v>853</v>
      </c>
      <c r="J14" s="895" t="s">
        <v>59</v>
      </c>
      <c r="K14" s="948">
        <v>90468</v>
      </c>
      <c r="L14" s="895" t="s">
        <v>418</v>
      </c>
      <c r="M14" s="895" t="s">
        <v>854</v>
      </c>
      <c r="N14" s="891" t="e">
        <f>#REF!/1.1023-$N$2</f>
        <v>#REF!</v>
      </c>
      <c r="O14" s="882">
        <v>260</v>
      </c>
      <c r="P14" s="892">
        <f t="shared" si="1"/>
        <v>-57.12954731016967</v>
      </c>
      <c r="Q14" s="893">
        <v>70569</v>
      </c>
      <c r="R14" s="893">
        <v>207.9</v>
      </c>
      <c r="S14" s="879">
        <f t="shared" ref="S14:S17" si="6">R14/60*O14*1.2</f>
        <v>1081.0800000000002</v>
      </c>
      <c r="T14" s="894">
        <v>46155</v>
      </c>
      <c r="U14" s="893">
        <v>4</v>
      </c>
      <c r="V14" s="893">
        <v>3</v>
      </c>
      <c r="W14" s="893">
        <v>27.4</v>
      </c>
      <c r="X14" s="893">
        <v>207.4</v>
      </c>
      <c r="Y14" s="879">
        <f t="shared" si="3"/>
        <v>-0.5</v>
      </c>
    </row>
    <row r="15" spans="1:25">
      <c r="A15" s="882" t="s">
        <v>855</v>
      </c>
      <c r="B15" s="882" t="s">
        <v>519</v>
      </c>
      <c r="C15" s="882" t="s">
        <v>46</v>
      </c>
      <c r="D15" s="889">
        <v>7</v>
      </c>
      <c r="E15" s="889">
        <v>45</v>
      </c>
      <c r="F15" s="889">
        <f t="shared" si="0"/>
        <v>465</v>
      </c>
      <c r="G15" s="881" t="s">
        <v>63</v>
      </c>
      <c r="H15" s="881"/>
      <c r="I15" s="881" t="s">
        <v>418</v>
      </c>
      <c r="J15" s="890" t="s">
        <v>63</v>
      </c>
      <c r="K15" s="948">
        <v>90468</v>
      </c>
      <c r="L15" s="895" t="s">
        <v>418</v>
      </c>
      <c r="M15" s="890" t="s">
        <v>856</v>
      </c>
      <c r="N15" s="891" t="e">
        <f>#REF!/1.1023-$N$2</f>
        <v>#REF!</v>
      </c>
      <c r="O15" s="882">
        <v>270</v>
      </c>
      <c r="P15" s="892">
        <f t="shared" si="1"/>
        <v>-48.057606822099274</v>
      </c>
      <c r="Q15" s="893">
        <v>70570</v>
      </c>
      <c r="R15" s="893">
        <v>473.9</v>
      </c>
      <c r="S15" s="879">
        <f t="shared" si="6"/>
        <v>2559.0599999999995</v>
      </c>
      <c r="T15" s="894">
        <v>46156</v>
      </c>
      <c r="U15" s="893">
        <v>8</v>
      </c>
      <c r="V15" s="893">
        <v>7</v>
      </c>
      <c r="W15" s="893">
        <v>56.8</v>
      </c>
      <c r="X15" s="893">
        <v>476.8</v>
      </c>
      <c r="Y15" s="879">
        <f t="shared" si="3"/>
        <v>2.9000000000000341</v>
      </c>
    </row>
    <row r="16" spans="1:25">
      <c r="A16" s="882" t="s">
        <v>857</v>
      </c>
      <c r="B16" s="882" t="s">
        <v>519</v>
      </c>
      <c r="C16" s="882" t="s">
        <v>47</v>
      </c>
      <c r="D16" s="889">
        <v>6</v>
      </c>
      <c r="E16" s="889">
        <v>27</v>
      </c>
      <c r="F16" s="889">
        <f t="shared" si="0"/>
        <v>387</v>
      </c>
      <c r="G16" s="881" t="s">
        <v>60</v>
      </c>
      <c r="H16" s="881"/>
      <c r="I16" s="881" t="s">
        <v>418</v>
      </c>
      <c r="J16" s="897" t="s">
        <v>60</v>
      </c>
      <c r="K16" s="948">
        <v>90468</v>
      </c>
      <c r="L16" s="895" t="s">
        <v>418</v>
      </c>
      <c r="M16" s="897" t="s">
        <v>856</v>
      </c>
      <c r="N16" s="891" t="e">
        <f>#REF!/1.1023-$N$2</f>
        <v>#REF!</v>
      </c>
      <c r="O16" s="882">
        <v>195</v>
      </c>
      <c r="P16" s="892">
        <f t="shared" si="1"/>
        <v>-116.09716048262723</v>
      </c>
      <c r="Q16" s="893">
        <v>70571</v>
      </c>
      <c r="R16" s="893">
        <v>397.8</v>
      </c>
      <c r="S16" s="879">
        <f t="shared" si="6"/>
        <v>1551.4199999999998</v>
      </c>
      <c r="T16" s="894">
        <v>46157</v>
      </c>
      <c r="U16" s="893">
        <f>SUM(U14:U15)</f>
        <v>12</v>
      </c>
      <c r="V16" s="893">
        <v>6</v>
      </c>
      <c r="W16" s="893"/>
      <c r="X16" s="893">
        <v>397.7</v>
      </c>
      <c r="Y16" s="879">
        <f t="shared" si="3"/>
        <v>-0.10000000000002274</v>
      </c>
    </row>
    <row r="17" spans="1:25">
      <c r="A17" s="882" t="s">
        <v>858</v>
      </c>
      <c r="B17" s="882" t="s">
        <v>845</v>
      </c>
      <c r="C17" s="882" t="s">
        <v>392</v>
      </c>
      <c r="D17" s="889">
        <v>8</v>
      </c>
      <c r="E17" s="889">
        <v>30</v>
      </c>
      <c r="F17" s="889">
        <f t="shared" si="0"/>
        <v>510</v>
      </c>
      <c r="G17" s="881" t="s">
        <v>730</v>
      </c>
      <c r="H17" s="881"/>
      <c r="I17" s="881" t="s">
        <v>859</v>
      </c>
      <c r="J17" s="898" t="s">
        <v>730</v>
      </c>
      <c r="K17" s="948">
        <v>90468</v>
      </c>
      <c r="L17" s="895" t="s">
        <v>418</v>
      </c>
      <c r="M17" s="898" t="s">
        <v>1062</v>
      </c>
      <c r="N17" s="891" t="e">
        <f>#REF!/1.1023-$N$2</f>
        <v>#REF!</v>
      </c>
      <c r="O17" s="882">
        <v>150</v>
      </c>
      <c r="P17" s="892">
        <f t="shared" si="1"/>
        <v>-156.92089267894403</v>
      </c>
      <c r="Q17" s="893">
        <v>70573</v>
      </c>
      <c r="R17" s="893">
        <v>517.20000000000005</v>
      </c>
      <c r="S17" s="879">
        <f t="shared" si="6"/>
        <v>1551.6000000000001</v>
      </c>
      <c r="T17" s="894">
        <v>46156</v>
      </c>
      <c r="U17" s="893">
        <v>9</v>
      </c>
      <c r="V17" s="893">
        <v>8</v>
      </c>
      <c r="W17" s="893">
        <v>38.9</v>
      </c>
      <c r="X17" s="893">
        <v>518.9</v>
      </c>
      <c r="Y17" s="879">
        <f t="shared" si="3"/>
        <v>1.6999999999999318</v>
      </c>
    </row>
    <row r="18" spans="1:25">
      <c r="F18" s="879">
        <f>SUM(F4:F17)</f>
        <v>8591</v>
      </c>
      <c r="R18" s="879">
        <f>SUBTOTAL(9,R4:R13)</f>
        <v>7221.3</v>
      </c>
      <c r="S18" s="879">
        <f>SUBTOTAL(9,S4:S13)</f>
        <v>43831.653999999995</v>
      </c>
      <c r="X18" s="879">
        <f>SUM(X4:X17)</f>
        <v>8887.7000000000007</v>
      </c>
      <c r="Y18" s="879">
        <f>SUM(Y4:Y17)</f>
        <v>69.599999999999795</v>
      </c>
    </row>
    <row r="19" spans="1:25">
      <c r="X19" s="879">
        <f>(X18-R18)/60</f>
        <v>27.773333333333344</v>
      </c>
    </row>
    <row r="21" spans="1:25">
      <c r="F21" s="879">
        <f>F18/60</f>
        <v>143.18333333333334</v>
      </c>
      <c r="S21" s="899">
        <f>S18/R18*50</f>
        <v>303.48866547574534</v>
      </c>
    </row>
    <row r="22" spans="1:25">
      <c r="Q22" s="879">
        <f>R18/60</f>
        <v>120.355</v>
      </c>
      <c r="X22" s="879">
        <f>X18/60</f>
        <v>148.12833333333336</v>
      </c>
    </row>
    <row r="23" spans="1:25">
      <c r="H23" s="879" t="s">
        <v>1375</v>
      </c>
    </row>
    <row r="24" spans="1:25">
      <c r="H24" s="895">
        <v>350</v>
      </c>
    </row>
    <row r="25" spans="1:25">
      <c r="H25" s="895" t="s">
        <v>427</v>
      </c>
    </row>
    <row r="27" spans="1:25">
      <c r="H27" s="879" t="s">
        <v>854</v>
      </c>
    </row>
    <row r="28" spans="1:25">
      <c r="H28" s="879" t="s">
        <v>856</v>
      </c>
    </row>
    <row r="29" spans="1:25">
      <c r="H29" s="879" t="s">
        <v>426</v>
      </c>
    </row>
    <row r="40" spans="17:24">
      <c r="Q40" s="879">
        <f>R36/60</f>
        <v>0</v>
      </c>
      <c r="X40" s="879">
        <f>X36/60</f>
        <v>0</v>
      </c>
    </row>
    <row r="52" spans="7:22">
      <c r="I52" s="886">
        <f>SUM(I42:I51)</f>
        <v>0</v>
      </c>
      <c r="V52" s="879">
        <f>SUM(V42:V51)</f>
        <v>0</v>
      </c>
    </row>
    <row r="53" spans="7:22">
      <c r="I53" s="886">
        <f>I52/60</f>
        <v>0</v>
      </c>
    </row>
    <row r="56" spans="7:22">
      <c r="I56" s="886">
        <f>SUM(I54:I55)</f>
        <v>0</v>
      </c>
      <c r="V56" s="879">
        <f>SUM(V54:V55)</f>
        <v>0</v>
      </c>
    </row>
    <row r="57" spans="7:22">
      <c r="I57" s="1054">
        <f>I56/60</f>
        <v>0</v>
      </c>
    </row>
    <row r="61" spans="7:22">
      <c r="G61" s="1105"/>
      <c r="H61" s="1105"/>
      <c r="I61" s="1105" t="s">
        <v>1372</v>
      </c>
      <c r="J61" s="1105" t="s">
        <v>1373</v>
      </c>
      <c r="K61" s="1105" t="s">
        <v>1374</v>
      </c>
    </row>
    <row r="62" spans="7:22">
      <c r="G62" s="1105" t="s">
        <v>354</v>
      </c>
      <c r="H62" s="1105"/>
      <c r="I62" s="1105">
        <v>30087</v>
      </c>
      <c r="J62" s="1105">
        <v>30223.7</v>
      </c>
      <c r="K62" s="1105">
        <v>30163</v>
      </c>
    </row>
    <row r="63" spans="7:22">
      <c r="G63" s="1105" t="s">
        <v>856</v>
      </c>
      <c r="H63" s="1105"/>
      <c r="I63" s="1105">
        <v>88</v>
      </c>
      <c r="J63" s="1105">
        <v>88</v>
      </c>
      <c r="K63" s="1105">
        <v>89</v>
      </c>
    </row>
  </sheetData>
  <autoFilter ref="A3:P19" xr:uid="{F723D3F9-0DA9-4C1A-A96A-9DA11A521ABC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4FD9-DFE7-4FCC-95EC-A95DF8C603C5}">
  <sheetPr>
    <tabColor rgb="FFFF0000"/>
  </sheetPr>
  <dimension ref="A1:W30"/>
  <sheetViews>
    <sheetView workbookViewId="0">
      <selection activeCell="E31" sqref="E31"/>
    </sheetView>
  </sheetViews>
  <sheetFormatPr defaultRowHeight="14.5"/>
  <cols>
    <col min="1" max="1" width="11" customWidth="1"/>
    <col min="2" max="2" width="12.1796875" customWidth="1"/>
    <col min="3" max="3" width="18.81640625" customWidth="1"/>
    <col min="8" max="8" width="11.453125" hidden="1" customWidth="1"/>
    <col min="9" max="9" width="8.81640625" style="16" hidden="1" customWidth="1"/>
    <col min="10" max="10" width="0" hidden="1" customWidth="1"/>
    <col min="11" max="11" width="13.1796875" hidden="1" customWidth="1"/>
    <col min="12" max="12" width="11.81640625" hidden="1" customWidth="1"/>
    <col min="13" max="13" width="20.54296875" hidden="1" customWidth="1"/>
    <col min="14" max="14" width="0" hidden="1" customWidth="1"/>
    <col min="15" max="15" width="13.81640625" hidden="1" customWidth="1"/>
    <col min="18" max="18" width="10.1796875" hidden="1" customWidth="1"/>
    <col min="19" max="19" width="17.81640625" customWidth="1"/>
    <col min="20" max="20" width="13.453125" bestFit="1" customWidth="1"/>
    <col min="21" max="21" width="13.1796875" bestFit="1" customWidth="1"/>
    <col min="22" max="22" width="12.453125" bestFit="1" customWidth="1"/>
    <col min="23" max="23" width="11.81640625" bestFit="1" customWidth="1"/>
  </cols>
  <sheetData>
    <row r="1" spans="1:23" ht="42">
      <c r="A1" s="350" t="s">
        <v>739</v>
      </c>
      <c r="B1" s="350" t="s">
        <v>80</v>
      </c>
      <c r="C1" s="350" t="s">
        <v>740</v>
      </c>
      <c r="D1" s="350" t="s">
        <v>81</v>
      </c>
      <c r="E1" s="350" t="s">
        <v>741</v>
      </c>
      <c r="F1" s="350" t="s">
        <v>111</v>
      </c>
      <c r="G1" s="350" t="s">
        <v>862</v>
      </c>
      <c r="H1" s="353" t="s">
        <v>865</v>
      </c>
      <c r="I1" s="531" t="s">
        <v>541</v>
      </c>
      <c r="J1" s="538" t="s">
        <v>863</v>
      </c>
      <c r="K1" s="350" t="s">
        <v>902</v>
      </c>
      <c r="L1" s="541" t="s">
        <v>26</v>
      </c>
      <c r="M1" s="351" t="s">
        <v>348</v>
      </c>
      <c r="N1" s="352" t="s">
        <v>864</v>
      </c>
      <c r="O1" s="350" t="s">
        <v>407</v>
      </c>
      <c r="P1" s="620" t="s">
        <v>405</v>
      </c>
      <c r="Q1" s="620" t="s">
        <v>406</v>
      </c>
      <c r="S1" s="655" t="s">
        <v>1145</v>
      </c>
      <c r="T1" s="221" t="s">
        <v>705</v>
      </c>
      <c r="U1" s="221" t="s">
        <v>706</v>
      </c>
      <c r="V1" s="221" t="s">
        <v>704</v>
      </c>
      <c r="W1" s="221" t="s">
        <v>707</v>
      </c>
    </row>
    <row r="2" spans="1:23">
      <c r="A2" s="190" t="s">
        <v>350</v>
      </c>
      <c r="B2" s="190" t="s">
        <v>866</v>
      </c>
      <c r="C2" s="190" t="s">
        <v>700</v>
      </c>
      <c r="D2" s="190" t="s">
        <v>391</v>
      </c>
      <c r="E2" s="191">
        <f>83+60</f>
        <v>143</v>
      </c>
      <c r="F2" s="191">
        <v>44</v>
      </c>
      <c r="G2" s="354">
        <f>4989+44+3612</f>
        <v>8645</v>
      </c>
      <c r="H2" s="358">
        <v>90510</v>
      </c>
      <c r="I2" s="382">
        <v>265</v>
      </c>
      <c r="J2" s="539" t="s">
        <v>867</v>
      </c>
      <c r="K2" s="190" t="s">
        <v>418</v>
      </c>
      <c r="L2" s="188" t="s">
        <v>442</v>
      </c>
      <c r="M2" s="355" t="s">
        <v>868</v>
      </c>
      <c r="N2" s="356">
        <v>0.25</v>
      </c>
      <c r="O2" s="14">
        <f>G2/60*I2*1.2</f>
        <v>45818.5</v>
      </c>
      <c r="P2" s="621">
        <v>70532</v>
      </c>
      <c r="Q2" s="621">
        <v>8646.1</v>
      </c>
      <c r="R2">
        <f>Q2/60*I2*1.2</f>
        <v>45824.329999999994</v>
      </c>
      <c r="S2" s="909"/>
      <c r="T2" s="337"/>
      <c r="U2" s="338"/>
      <c r="V2" s="337"/>
      <c r="W2" s="338"/>
    </row>
    <row r="3" spans="1:23">
      <c r="A3" s="190" t="s">
        <v>350</v>
      </c>
      <c r="B3" s="190" t="s">
        <v>869</v>
      </c>
      <c r="C3" s="190" t="s">
        <v>870</v>
      </c>
      <c r="D3" s="190" t="s">
        <v>391</v>
      </c>
      <c r="E3" s="191">
        <v>47</v>
      </c>
      <c r="F3" s="191"/>
      <c r="G3" s="354">
        <v>2823</v>
      </c>
      <c r="H3" s="358">
        <v>90510</v>
      </c>
      <c r="I3" s="382">
        <v>265</v>
      </c>
      <c r="J3" s="539" t="s">
        <v>871</v>
      </c>
      <c r="K3" s="190" t="s">
        <v>418</v>
      </c>
      <c r="L3" s="542" t="s">
        <v>442</v>
      </c>
      <c r="M3" s="358" t="s">
        <v>872</v>
      </c>
      <c r="N3" s="356">
        <v>0.23</v>
      </c>
      <c r="O3" s="14">
        <f t="shared" ref="O3:O21" si="0">G3/60*I3*1.2</f>
        <v>14961.9</v>
      </c>
      <c r="P3" s="621">
        <v>70533</v>
      </c>
      <c r="Q3" s="621">
        <v>2823.9</v>
      </c>
      <c r="R3">
        <f t="shared" ref="R3:R21" si="1">Q3/60*I3*1.2</f>
        <v>14966.670000000002</v>
      </c>
      <c r="S3" s="909"/>
      <c r="T3" s="337"/>
      <c r="U3" s="338"/>
      <c r="V3" s="337"/>
      <c r="W3" s="338"/>
    </row>
    <row r="4" spans="1:23">
      <c r="A4" s="190" t="s">
        <v>350</v>
      </c>
      <c r="B4" s="190" t="s">
        <v>873</v>
      </c>
      <c r="C4" s="190" t="s">
        <v>747</v>
      </c>
      <c r="D4" s="190" t="s">
        <v>391</v>
      </c>
      <c r="E4" s="191">
        <f>154+5</f>
        <v>159</v>
      </c>
      <c r="F4" s="191">
        <v>29</v>
      </c>
      <c r="G4" s="354">
        <f>9258+29+291</f>
        <v>9578</v>
      </c>
      <c r="H4" s="358">
        <v>90510</v>
      </c>
      <c r="I4" s="382">
        <v>265</v>
      </c>
      <c r="J4" s="539" t="s">
        <v>874</v>
      </c>
      <c r="K4" s="190" t="s">
        <v>418</v>
      </c>
      <c r="L4" s="542" t="s">
        <v>440</v>
      </c>
      <c r="M4" s="358" t="s">
        <v>443</v>
      </c>
      <c r="N4" s="356">
        <v>0.08</v>
      </c>
      <c r="O4" s="14">
        <f t="shared" si="0"/>
        <v>50763.399999999994</v>
      </c>
      <c r="P4" s="621">
        <v>70534</v>
      </c>
      <c r="Q4" s="621">
        <v>9579.2999999999993</v>
      </c>
      <c r="R4">
        <f t="shared" si="1"/>
        <v>50770.289999999994</v>
      </c>
      <c r="S4" s="909"/>
      <c r="T4" s="337"/>
      <c r="U4" s="338"/>
      <c r="V4" s="337"/>
      <c r="W4" s="338"/>
    </row>
    <row r="5" spans="1:23">
      <c r="A5" s="190" t="s">
        <v>350</v>
      </c>
      <c r="B5" s="190" t="s">
        <v>875</v>
      </c>
      <c r="C5" s="190" t="s">
        <v>243</v>
      </c>
      <c r="D5" s="190" t="s">
        <v>391</v>
      </c>
      <c r="E5" s="191">
        <v>117</v>
      </c>
      <c r="F5" s="191"/>
      <c r="G5" s="354">
        <v>6988</v>
      </c>
      <c r="H5" s="358">
        <v>90510</v>
      </c>
      <c r="I5" s="382">
        <v>265</v>
      </c>
      <c r="J5" s="539" t="s">
        <v>876</v>
      </c>
      <c r="K5" s="190" t="s">
        <v>418</v>
      </c>
      <c r="L5" t="s">
        <v>440</v>
      </c>
      <c r="M5" s="355" t="s">
        <v>877</v>
      </c>
      <c r="N5" s="356">
        <v>0.16</v>
      </c>
      <c r="O5" s="14">
        <f t="shared" si="0"/>
        <v>37036.400000000001</v>
      </c>
      <c r="P5" s="5">
        <v>70536</v>
      </c>
      <c r="Q5" s="5">
        <v>7526.0770000000002</v>
      </c>
      <c r="R5">
        <f t="shared" si="1"/>
        <v>39888.208099999996</v>
      </c>
      <c r="S5" s="344"/>
      <c r="T5" s="344"/>
      <c r="U5" s="344"/>
      <c r="V5" s="344"/>
      <c r="W5" s="344"/>
    </row>
    <row r="6" spans="1:23">
      <c r="A6" s="190" t="s">
        <v>350</v>
      </c>
      <c r="B6" s="190" t="s">
        <v>878</v>
      </c>
      <c r="C6" s="190" t="s">
        <v>240</v>
      </c>
      <c r="D6" s="190" t="s">
        <v>391</v>
      </c>
      <c r="E6" s="191">
        <v>82</v>
      </c>
      <c r="F6" s="191">
        <v>14</v>
      </c>
      <c r="G6" s="360">
        <v>4957</v>
      </c>
      <c r="H6" s="358">
        <v>90510</v>
      </c>
      <c r="I6" s="382">
        <v>265</v>
      </c>
      <c r="J6" s="539" t="s">
        <v>879</v>
      </c>
      <c r="K6" s="190" t="s">
        <v>418</v>
      </c>
      <c r="L6" s="542" t="s">
        <v>440</v>
      </c>
      <c r="M6" s="358" t="s">
        <v>880</v>
      </c>
      <c r="N6" s="356">
        <v>0.15</v>
      </c>
      <c r="O6" s="14">
        <f t="shared" si="0"/>
        <v>26272.099999999995</v>
      </c>
      <c r="P6" s="908"/>
      <c r="Q6" s="908"/>
      <c r="R6">
        <f t="shared" si="1"/>
        <v>0</v>
      </c>
      <c r="S6" s="344"/>
      <c r="T6" s="344"/>
      <c r="U6" s="344"/>
      <c r="V6" s="344"/>
      <c r="W6" s="344"/>
    </row>
    <row r="7" spans="1:23">
      <c r="A7" s="190" t="s">
        <v>350</v>
      </c>
      <c r="B7" s="190" t="s">
        <v>881</v>
      </c>
      <c r="C7" s="190" t="s">
        <v>747</v>
      </c>
      <c r="D7" s="190" t="s">
        <v>391</v>
      </c>
      <c r="E7" s="191">
        <f>98+150+94</f>
        <v>342</v>
      </c>
      <c r="F7" s="191">
        <v>62</v>
      </c>
      <c r="G7" s="354">
        <f>5883+62+9033+5651</f>
        <v>20629</v>
      </c>
      <c r="H7" s="358">
        <v>90510</v>
      </c>
      <c r="I7" s="382">
        <v>265</v>
      </c>
      <c r="J7" s="539" t="s">
        <v>871</v>
      </c>
      <c r="K7" s="190" t="s">
        <v>418</v>
      </c>
      <c r="L7" t="s">
        <v>440</v>
      </c>
      <c r="M7" s="361" t="s">
        <v>882</v>
      </c>
      <c r="N7" s="356">
        <v>0.13</v>
      </c>
      <c r="O7" s="14">
        <f t="shared" si="0"/>
        <v>109333.7</v>
      </c>
      <c r="P7" s="621">
        <v>70574</v>
      </c>
      <c r="Q7" s="621">
        <v>4957.8999999999996</v>
      </c>
      <c r="R7">
        <f t="shared" si="1"/>
        <v>26276.87</v>
      </c>
      <c r="S7" s="344"/>
      <c r="T7" s="344"/>
      <c r="U7" s="344"/>
      <c r="V7" s="344"/>
      <c r="W7" s="344"/>
    </row>
    <row r="8" spans="1:23">
      <c r="A8" s="190" t="s">
        <v>350</v>
      </c>
      <c r="B8" s="190" t="s">
        <v>883</v>
      </c>
      <c r="C8" s="190" t="s">
        <v>747</v>
      </c>
      <c r="D8" s="190" t="s">
        <v>391</v>
      </c>
      <c r="E8" s="191">
        <v>47</v>
      </c>
      <c r="F8" s="191"/>
      <c r="G8" s="360">
        <v>2822</v>
      </c>
      <c r="H8" s="358">
        <v>90510</v>
      </c>
      <c r="I8" s="382">
        <v>265</v>
      </c>
      <c r="J8" s="539" t="s">
        <v>884</v>
      </c>
      <c r="K8" s="190" t="s">
        <v>418</v>
      </c>
      <c r="L8" s="542" t="s">
        <v>440</v>
      </c>
      <c r="M8" s="358" t="s">
        <v>880</v>
      </c>
      <c r="N8" s="356">
        <v>0.13</v>
      </c>
      <c r="O8" s="14">
        <f t="shared" si="0"/>
        <v>14956.599999999999</v>
      </c>
      <c r="P8" s="621">
        <v>70540</v>
      </c>
      <c r="Q8" s="621">
        <v>20630.2</v>
      </c>
      <c r="R8">
        <f t="shared" si="1"/>
        <v>109340.06000000001</v>
      </c>
      <c r="S8" s="344"/>
      <c r="T8" s="344"/>
      <c r="U8" s="344"/>
      <c r="V8" s="344"/>
      <c r="W8" s="344"/>
    </row>
    <row r="9" spans="1:23">
      <c r="A9" s="190" t="s">
        <v>350</v>
      </c>
      <c r="B9" s="190" t="s">
        <v>883</v>
      </c>
      <c r="C9" s="190" t="s">
        <v>747</v>
      </c>
      <c r="D9" s="190" t="s">
        <v>391</v>
      </c>
      <c r="E9" s="191">
        <v>93</v>
      </c>
      <c r="F9" s="191">
        <v>69</v>
      </c>
      <c r="G9" s="354">
        <f>5586+69</f>
        <v>5655</v>
      </c>
      <c r="H9" s="358">
        <v>90510</v>
      </c>
      <c r="I9" s="382">
        <v>265</v>
      </c>
      <c r="J9" s="539" t="s">
        <v>885</v>
      </c>
      <c r="K9" s="190" t="s">
        <v>418</v>
      </c>
      <c r="L9" s="542" t="s">
        <v>440</v>
      </c>
      <c r="M9" s="358" t="s">
        <v>880</v>
      </c>
      <c r="N9" s="356">
        <v>0.16</v>
      </c>
      <c r="O9" s="14">
        <f t="shared" si="0"/>
        <v>29971.5</v>
      </c>
      <c r="P9" s="1736">
        <v>70542</v>
      </c>
      <c r="Q9" s="1736">
        <v>8477</v>
      </c>
      <c r="R9">
        <f t="shared" si="1"/>
        <v>44928.1</v>
      </c>
      <c r="S9" s="344"/>
      <c r="T9" s="344"/>
      <c r="U9" s="344"/>
      <c r="V9" s="344"/>
      <c r="W9" s="344"/>
    </row>
    <row r="10" spans="1:23">
      <c r="A10" s="190" t="s">
        <v>350</v>
      </c>
      <c r="B10" s="190" t="s">
        <v>886</v>
      </c>
      <c r="C10" s="190" t="s">
        <v>239</v>
      </c>
      <c r="D10" s="190" t="s">
        <v>391</v>
      </c>
      <c r="E10" s="191">
        <v>150</v>
      </c>
      <c r="F10" s="191"/>
      <c r="G10" s="354">
        <v>9017</v>
      </c>
      <c r="H10" s="358">
        <v>90510</v>
      </c>
      <c r="I10" s="382">
        <v>265</v>
      </c>
      <c r="J10" s="539" t="s">
        <v>884</v>
      </c>
      <c r="K10" s="190" t="s">
        <v>418</v>
      </c>
      <c r="L10" s="542" t="s">
        <v>440</v>
      </c>
      <c r="M10" s="358" t="s">
        <v>463</v>
      </c>
      <c r="N10" s="356">
        <v>0.1</v>
      </c>
      <c r="O10" s="14">
        <f t="shared" si="0"/>
        <v>47790.1</v>
      </c>
      <c r="P10" s="1737"/>
      <c r="Q10" s="1737"/>
      <c r="R10">
        <f t="shared" si="1"/>
        <v>0</v>
      </c>
      <c r="S10" s="344"/>
      <c r="T10" s="344"/>
      <c r="U10" s="344"/>
      <c r="V10" s="344"/>
      <c r="W10" s="344"/>
    </row>
    <row r="11" spans="1:23">
      <c r="A11" s="190" t="s">
        <v>350</v>
      </c>
      <c r="B11" s="190" t="s">
        <v>886</v>
      </c>
      <c r="C11" s="190" t="s">
        <v>239</v>
      </c>
      <c r="D11" s="190" t="s">
        <v>391</v>
      </c>
      <c r="E11" s="191">
        <v>43</v>
      </c>
      <c r="F11" s="191">
        <v>20</v>
      </c>
      <c r="G11" s="354">
        <v>2585</v>
      </c>
      <c r="H11" s="14">
        <v>90510</v>
      </c>
      <c r="I11" s="382">
        <v>265</v>
      </c>
      <c r="J11" s="539" t="s">
        <v>884</v>
      </c>
      <c r="K11" s="190" t="s">
        <v>418</v>
      </c>
      <c r="L11" s="542" t="s">
        <v>440</v>
      </c>
      <c r="M11" s="358" t="s">
        <v>463</v>
      </c>
      <c r="N11" s="356">
        <v>0.1</v>
      </c>
      <c r="O11" s="14">
        <f t="shared" si="0"/>
        <v>13700.5</v>
      </c>
      <c r="P11" s="1736">
        <v>70544</v>
      </c>
      <c r="Q11" s="1736">
        <v>18526</v>
      </c>
      <c r="R11">
        <f t="shared" si="1"/>
        <v>98187.799999999988</v>
      </c>
      <c r="S11" s="344"/>
      <c r="T11" s="344"/>
      <c r="U11" s="344"/>
      <c r="V11" s="344"/>
      <c r="W11" s="344"/>
    </row>
    <row r="12" spans="1:23" ht="15" thickBot="1">
      <c r="A12" s="362" t="s">
        <v>350</v>
      </c>
      <c r="B12" s="362" t="s">
        <v>887</v>
      </c>
      <c r="C12" s="362" t="s">
        <v>233</v>
      </c>
      <c r="D12" s="363" t="s">
        <v>391</v>
      </c>
      <c r="E12" s="364">
        <v>70</v>
      </c>
      <c r="F12" s="364"/>
      <c r="G12" s="365">
        <v>4193</v>
      </c>
      <c r="H12" s="358">
        <v>90510</v>
      </c>
      <c r="I12" s="382">
        <v>265</v>
      </c>
      <c r="J12" s="540" t="s">
        <v>888</v>
      </c>
      <c r="K12" s="190" t="s">
        <v>418</v>
      </c>
      <c r="L12" s="188" t="s">
        <v>440</v>
      </c>
      <c r="M12" s="355" t="s">
        <v>889</v>
      </c>
      <c r="N12" s="356">
        <v>0.09</v>
      </c>
      <c r="O12" s="14">
        <f t="shared" si="0"/>
        <v>22222.9</v>
      </c>
      <c r="P12" s="1738"/>
      <c r="Q12" s="1738"/>
      <c r="R12">
        <f t="shared" si="1"/>
        <v>0</v>
      </c>
      <c r="S12" s="344"/>
      <c r="T12" s="344"/>
      <c r="U12" s="344"/>
      <c r="V12" s="344"/>
      <c r="W12" s="344"/>
    </row>
    <row r="13" spans="1:23" ht="15" thickTop="1">
      <c r="A13" s="366" t="s">
        <v>745</v>
      </c>
      <c r="B13" s="14" t="s">
        <v>887</v>
      </c>
      <c r="C13" s="14" t="s">
        <v>233</v>
      </c>
      <c r="D13" s="14" t="s">
        <v>391</v>
      </c>
      <c r="E13" s="20">
        <v>78</v>
      </c>
      <c r="F13" s="20">
        <v>53</v>
      </c>
      <c r="G13" s="14">
        <v>4745</v>
      </c>
      <c r="H13" s="358">
        <v>90510</v>
      </c>
      <c r="I13" s="382">
        <v>265</v>
      </c>
      <c r="J13" s="367"/>
      <c r="K13" s="190" t="s">
        <v>418</v>
      </c>
      <c r="L13" s="543" t="s">
        <v>440</v>
      </c>
      <c r="M13" s="14" t="s">
        <v>443</v>
      </c>
      <c r="N13" s="368">
        <v>0.08</v>
      </c>
      <c r="O13" s="14">
        <f t="shared" si="0"/>
        <v>25148.499999999996</v>
      </c>
      <c r="P13" s="1737"/>
      <c r="Q13" s="1737"/>
      <c r="R13">
        <f t="shared" si="1"/>
        <v>0</v>
      </c>
      <c r="S13" s="344"/>
      <c r="T13" s="344"/>
      <c r="U13" s="344"/>
      <c r="V13" s="344"/>
      <c r="W13" s="344"/>
    </row>
    <row r="14" spans="1:23" ht="15" thickBot="1">
      <c r="A14" s="366" t="s">
        <v>745</v>
      </c>
      <c r="B14" s="14" t="s">
        <v>890</v>
      </c>
      <c r="C14" s="14" t="s">
        <v>234</v>
      </c>
      <c r="D14" s="14" t="s">
        <v>391</v>
      </c>
      <c r="E14" s="20">
        <v>88</v>
      </c>
      <c r="F14" s="20">
        <v>23</v>
      </c>
      <c r="G14" s="14">
        <v>5299</v>
      </c>
      <c r="H14" s="358">
        <v>90510</v>
      </c>
      <c r="I14" s="382">
        <v>265</v>
      </c>
      <c r="J14" s="367"/>
      <c r="K14" s="190" t="s">
        <v>418</v>
      </c>
      <c r="L14" t="s">
        <v>440</v>
      </c>
      <c r="M14" s="369" t="s">
        <v>443</v>
      </c>
      <c r="N14" s="370">
        <v>0.1</v>
      </c>
      <c r="O14" s="14">
        <f t="shared" si="0"/>
        <v>28084.699999999997</v>
      </c>
      <c r="P14" s="1736">
        <v>70548</v>
      </c>
      <c r="Q14" s="1736">
        <v>8939.2000000000007</v>
      </c>
      <c r="R14">
        <f t="shared" si="1"/>
        <v>47377.760000000002</v>
      </c>
      <c r="S14" s="344"/>
      <c r="T14" s="344"/>
      <c r="U14" s="344"/>
      <c r="V14" s="344"/>
      <c r="W14" s="344"/>
    </row>
    <row r="15" spans="1:23" ht="15" thickTop="1">
      <c r="A15" s="371" t="s">
        <v>745</v>
      </c>
      <c r="B15" s="372" t="s">
        <v>891</v>
      </c>
      <c r="C15" s="372" t="s">
        <v>240</v>
      </c>
      <c r="D15" s="372" t="s">
        <v>391</v>
      </c>
      <c r="E15" s="373">
        <v>36</v>
      </c>
      <c r="F15" s="373">
        <v>26</v>
      </c>
      <c r="G15" s="372">
        <v>2168</v>
      </c>
      <c r="H15" s="358">
        <v>90510</v>
      </c>
      <c r="I15" s="382">
        <v>265</v>
      </c>
      <c r="J15" s="374"/>
      <c r="K15" s="190" t="s">
        <v>418</v>
      </c>
      <c r="L15" s="544" t="s">
        <v>440</v>
      </c>
      <c r="M15" s="372" t="s">
        <v>443</v>
      </c>
      <c r="N15" s="375">
        <v>0.08</v>
      </c>
      <c r="O15" s="14">
        <f t="shared" si="0"/>
        <v>11490.4</v>
      </c>
      <c r="P15" s="1737"/>
      <c r="Q15" s="1737"/>
      <c r="R15">
        <f t="shared" si="1"/>
        <v>0</v>
      </c>
      <c r="S15" s="344"/>
      <c r="T15" s="344"/>
      <c r="U15" s="344"/>
      <c r="V15" s="344"/>
      <c r="W15" s="344"/>
    </row>
    <row r="16" spans="1:23">
      <c r="A16" s="190" t="s">
        <v>350</v>
      </c>
      <c r="B16" s="190" t="s">
        <v>892</v>
      </c>
      <c r="C16" s="190" t="s">
        <v>893</v>
      </c>
      <c r="D16" s="190" t="s">
        <v>391</v>
      </c>
      <c r="E16" s="191">
        <v>47</v>
      </c>
      <c r="F16" s="354"/>
      <c r="G16" s="354">
        <v>2825</v>
      </c>
      <c r="H16" s="358">
        <v>90510</v>
      </c>
      <c r="I16" s="382">
        <v>265</v>
      </c>
      <c r="J16" s="539" t="s">
        <v>871</v>
      </c>
      <c r="K16" s="190" t="s">
        <v>418</v>
      </c>
      <c r="L16" s="545" t="s">
        <v>799</v>
      </c>
      <c r="M16" s="358" t="s">
        <v>894</v>
      </c>
      <c r="N16" s="356">
        <v>0.13</v>
      </c>
      <c r="O16" s="14">
        <f t="shared" si="0"/>
        <v>14972.5</v>
      </c>
      <c r="P16" s="621">
        <v>70546</v>
      </c>
      <c r="Q16" s="621">
        <v>5299.6</v>
      </c>
      <c r="R16">
        <f t="shared" si="1"/>
        <v>28087.879999999997</v>
      </c>
      <c r="S16" s="344"/>
      <c r="T16" s="344"/>
      <c r="U16" s="344"/>
      <c r="V16" s="344"/>
      <c r="W16" s="344"/>
    </row>
    <row r="17" spans="1:23">
      <c r="A17" s="190" t="s">
        <v>350</v>
      </c>
      <c r="B17" s="190" t="s">
        <v>895</v>
      </c>
      <c r="C17" s="190" t="s">
        <v>359</v>
      </c>
      <c r="D17" s="190" t="s">
        <v>391</v>
      </c>
      <c r="E17" s="191">
        <v>93</v>
      </c>
      <c r="F17" s="191">
        <v>11</v>
      </c>
      <c r="G17" s="354">
        <f>5599+11</f>
        <v>5610</v>
      </c>
      <c r="H17" s="358">
        <v>90510</v>
      </c>
      <c r="I17" s="382">
        <v>265</v>
      </c>
      <c r="J17" s="539" t="s">
        <v>896</v>
      </c>
      <c r="K17" s="190" t="s">
        <v>418</v>
      </c>
      <c r="L17" s="546" t="s">
        <v>799</v>
      </c>
      <c r="M17" s="358" t="s">
        <v>868</v>
      </c>
      <c r="N17" s="356">
        <v>0.12</v>
      </c>
      <c r="O17" s="14">
        <f t="shared" si="0"/>
        <v>29733</v>
      </c>
      <c r="P17" s="621">
        <v>70547</v>
      </c>
      <c r="Q17" s="621">
        <v>2168</v>
      </c>
      <c r="R17">
        <f t="shared" si="1"/>
        <v>11490.4</v>
      </c>
      <c r="S17" s="344"/>
      <c r="T17" s="344"/>
      <c r="U17" s="344"/>
      <c r="V17" s="344"/>
      <c r="W17" s="344"/>
    </row>
    <row r="18" spans="1:23">
      <c r="A18" s="190" t="s">
        <v>350</v>
      </c>
      <c r="B18" s="190" t="s">
        <v>875</v>
      </c>
      <c r="C18" s="190" t="s">
        <v>685</v>
      </c>
      <c r="D18" s="190" t="s">
        <v>391</v>
      </c>
      <c r="E18" s="191">
        <v>9</v>
      </c>
      <c r="F18" s="191"/>
      <c r="G18" s="354">
        <v>541</v>
      </c>
      <c r="H18" s="358">
        <v>90510</v>
      </c>
      <c r="I18" s="382">
        <v>265</v>
      </c>
      <c r="J18" s="539" t="s">
        <v>897</v>
      </c>
      <c r="K18" s="190" t="s">
        <v>418</v>
      </c>
      <c r="L18" s="545" t="s">
        <v>799</v>
      </c>
      <c r="M18" s="358" t="s">
        <v>868</v>
      </c>
      <c r="N18" s="356">
        <v>0.11</v>
      </c>
      <c r="O18" s="14">
        <f t="shared" si="0"/>
        <v>2867.3</v>
      </c>
      <c r="P18" s="621">
        <v>70531</v>
      </c>
      <c r="Q18" s="621">
        <v>2825.5</v>
      </c>
      <c r="R18">
        <f t="shared" si="1"/>
        <v>14975.150000000001</v>
      </c>
      <c r="S18" s="344"/>
      <c r="T18" s="344"/>
      <c r="U18" s="344"/>
      <c r="V18" s="344"/>
      <c r="W18" s="344"/>
    </row>
    <row r="19" spans="1:23">
      <c r="A19" s="190" t="s">
        <v>350</v>
      </c>
      <c r="B19" s="190" t="s">
        <v>898</v>
      </c>
      <c r="C19" s="190" t="s">
        <v>747</v>
      </c>
      <c r="D19" s="190" t="s">
        <v>391</v>
      </c>
      <c r="E19" s="376">
        <v>180</v>
      </c>
      <c r="F19" s="191"/>
      <c r="G19" s="354">
        <v>11514</v>
      </c>
      <c r="H19" s="358">
        <v>90510</v>
      </c>
      <c r="I19" s="382">
        <v>265</v>
      </c>
      <c r="J19" s="539" t="s">
        <v>871</v>
      </c>
      <c r="K19" s="190" t="s">
        <v>418</v>
      </c>
      <c r="L19" s="545" t="s">
        <v>799</v>
      </c>
      <c r="M19" s="358" t="s">
        <v>894</v>
      </c>
      <c r="N19" s="356">
        <v>0.1</v>
      </c>
      <c r="O19" s="14">
        <f t="shared" si="0"/>
        <v>61024.2</v>
      </c>
      <c r="P19" s="621">
        <v>70535</v>
      </c>
      <c r="Q19" s="621">
        <v>5610.3</v>
      </c>
      <c r="R19">
        <f t="shared" si="1"/>
        <v>29734.590000000004</v>
      </c>
      <c r="S19" s="344"/>
      <c r="T19" s="344"/>
      <c r="U19" s="344"/>
      <c r="V19" s="344"/>
      <c r="W19" s="344"/>
    </row>
    <row r="20" spans="1:23">
      <c r="A20" s="366" t="s">
        <v>745</v>
      </c>
      <c r="B20" s="14" t="s">
        <v>899</v>
      </c>
      <c r="C20" s="14" t="s">
        <v>243</v>
      </c>
      <c r="D20" s="14" t="s">
        <v>391</v>
      </c>
      <c r="E20" s="20">
        <v>56</v>
      </c>
      <c r="F20" s="20">
        <v>24</v>
      </c>
      <c r="G20" s="14">
        <v>3386</v>
      </c>
      <c r="H20" s="358">
        <v>90510</v>
      </c>
      <c r="I20" s="382">
        <v>265</v>
      </c>
      <c r="J20" s="359" t="s">
        <v>799</v>
      </c>
      <c r="K20" s="190" t="s">
        <v>418</v>
      </c>
      <c r="L20" s="546" t="s">
        <v>799</v>
      </c>
      <c r="M20" s="14" t="s">
        <v>534</v>
      </c>
      <c r="N20" s="375"/>
      <c r="O20" s="14">
        <f t="shared" si="0"/>
        <v>17945.8</v>
      </c>
      <c r="P20" s="621">
        <v>70537</v>
      </c>
      <c r="Q20" s="621">
        <v>11514.4</v>
      </c>
      <c r="R20">
        <f t="shared" si="1"/>
        <v>61026.32</v>
      </c>
      <c r="S20" s="344"/>
      <c r="T20" s="344"/>
      <c r="U20" s="344"/>
      <c r="V20" s="344"/>
      <c r="W20" s="344"/>
    </row>
    <row r="21" spans="1:23">
      <c r="A21" s="190" t="s">
        <v>350</v>
      </c>
      <c r="B21" s="190" t="s">
        <v>886</v>
      </c>
      <c r="C21" s="190" t="s">
        <v>239</v>
      </c>
      <c r="D21" s="190" t="s">
        <v>391</v>
      </c>
      <c r="E21" s="191">
        <v>115</v>
      </c>
      <c r="F21" s="191"/>
      <c r="G21" s="354">
        <v>6903</v>
      </c>
      <c r="H21" s="358">
        <v>90510</v>
      </c>
      <c r="I21" s="382">
        <v>265</v>
      </c>
      <c r="J21" s="539" t="s">
        <v>900</v>
      </c>
      <c r="K21" s="190" t="s">
        <v>418</v>
      </c>
      <c r="L21" s="546" t="s">
        <v>799</v>
      </c>
      <c r="M21" s="358" t="s">
        <v>901</v>
      </c>
      <c r="N21" s="375"/>
      <c r="O21" s="14">
        <f t="shared" si="0"/>
        <v>36585.9</v>
      </c>
      <c r="P21" s="621">
        <v>70550</v>
      </c>
      <c r="Q21" s="621">
        <v>3386.4</v>
      </c>
      <c r="R21">
        <f t="shared" si="1"/>
        <v>17947.920000000002</v>
      </c>
      <c r="S21" s="344"/>
      <c r="T21" s="344"/>
      <c r="U21" s="344"/>
      <c r="V21" s="344"/>
      <c r="W21" s="344"/>
    </row>
    <row r="22" spans="1:23">
      <c r="A22" s="377" t="s">
        <v>13</v>
      </c>
      <c r="B22" s="378"/>
      <c r="C22" s="378"/>
      <c r="D22" s="378"/>
      <c r="E22" s="378">
        <f>G22/60</f>
        <v>2014.7166666666667</v>
      </c>
      <c r="F22" s="378"/>
      <c r="G22" s="379">
        <f>SUM(G2:G21)</f>
        <v>120883</v>
      </c>
      <c r="H22" s="378"/>
      <c r="I22" s="537"/>
      <c r="J22" s="380"/>
      <c r="K22" s="380"/>
      <c r="L22" s="378"/>
      <c r="M22" s="378"/>
      <c r="N22" s="381">
        <f>AVERAGE(N2:N15)</f>
        <v>0.13142857142857145</v>
      </c>
      <c r="O22" s="327">
        <f>SUM(O2:O21)</f>
        <v>640679.9</v>
      </c>
      <c r="Q22">
        <f>SUM(Q2:Q21)</f>
        <v>120909.87699999999</v>
      </c>
      <c r="R22">
        <f>SUM(R2:R21)</f>
        <v>640822.34809999994</v>
      </c>
    </row>
    <row r="25" spans="1:23">
      <c r="Q25">
        <f>Q22/60</f>
        <v>2015.1646166666665</v>
      </c>
      <c r="R25" s="30">
        <f>R22/Q22*50</f>
        <v>265</v>
      </c>
    </row>
    <row r="30" spans="1:23">
      <c r="C30" s="911" t="s">
        <v>1199</v>
      </c>
    </row>
  </sheetData>
  <mergeCells count="6">
    <mergeCell ref="P14:P15"/>
    <mergeCell ref="Q14:Q15"/>
    <mergeCell ref="P9:P10"/>
    <mergeCell ref="Q9:Q10"/>
    <mergeCell ref="P11:P13"/>
    <mergeCell ref="Q11:Q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F4EE-2AD1-46D8-A1CC-E107AE7D972E}">
  <sheetPr>
    <tabColor theme="7" tint="0.79998168889431442"/>
  </sheetPr>
  <dimension ref="A1:Y63"/>
  <sheetViews>
    <sheetView topLeftCell="C1" workbookViewId="0">
      <selection activeCell="C16" sqref="C16"/>
    </sheetView>
  </sheetViews>
  <sheetFormatPr defaultRowHeight="14.5"/>
  <cols>
    <col min="1" max="1" width="11" customWidth="1"/>
    <col min="2" max="2" width="12.1796875" customWidth="1"/>
    <col min="3" max="3" width="18.81640625" customWidth="1"/>
    <col min="9" max="9" width="19.453125" bestFit="1" customWidth="1"/>
    <col min="10" max="10" width="14.36328125" style="16" bestFit="1" customWidth="1"/>
    <col min="11" max="11" width="14.54296875" bestFit="1" customWidth="1"/>
    <col min="12" max="12" width="13" customWidth="1"/>
    <col min="13" max="13" width="13.1796875" customWidth="1"/>
    <col min="14" max="14" width="11.81640625" customWidth="1"/>
    <col min="15" max="15" width="20.54296875" customWidth="1"/>
    <col min="17" max="17" width="13.81640625" customWidth="1"/>
    <col min="18" max="18" width="15.1796875" customWidth="1"/>
    <col min="19" max="19" width="15.54296875" customWidth="1"/>
    <col min="20" max="20" width="11.54296875" bestFit="1" customWidth="1"/>
  </cols>
  <sheetData>
    <row r="1" spans="1:25" ht="42">
      <c r="A1" s="350" t="s">
        <v>739</v>
      </c>
      <c r="B1" s="350" t="s">
        <v>80</v>
      </c>
      <c r="C1" s="350" t="s">
        <v>740</v>
      </c>
      <c r="D1" s="350" t="s">
        <v>81</v>
      </c>
      <c r="E1" s="350" t="s">
        <v>741</v>
      </c>
      <c r="F1" s="350" t="s">
        <v>111</v>
      </c>
      <c r="G1" s="350" t="s">
        <v>862</v>
      </c>
      <c r="H1" s="1115"/>
      <c r="I1" s="353" t="s">
        <v>865</v>
      </c>
      <c r="J1" s="531" t="s">
        <v>541</v>
      </c>
      <c r="K1" s="538" t="s">
        <v>863</v>
      </c>
      <c r="L1" s="538" t="s">
        <v>1206</v>
      </c>
      <c r="M1" s="350" t="s">
        <v>902</v>
      </c>
      <c r="N1" s="541" t="s">
        <v>26</v>
      </c>
      <c r="O1" s="351" t="s">
        <v>348</v>
      </c>
      <c r="P1" s="352" t="s">
        <v>864</v>
      </c>
      <c r="Q1" s="350" t="s">
        <v>407</v>
      </c>
      <c r="R1" s="620" t="s">
        <v>405</v>
      </c>
      <c r="S1" s="620" t="s">
        <v>406</v>
      </c>
      <c r="T1" s="655" t="s">
        <v>1145</v>
      </c>
      <c r="U1" s="221" t="s">
        <v>705</v>
      </c>
      <c r="V1" s="221" t="s">
        <v>706</v>
      </c>
      <c r="W1" s="221" t="s">
        <v>704</v>
      </c>
      <c r="X1" s="221" t="s">
        <v>707</v>
      </c>
      <c r="Y1" s="852" t="s">
        <v>244</v>
      </c>
    </row>
    <row r="2" spans="1:25">
      <c r="A2" s="190" t="s">
        <v>350</v>
      </c>
      <c r="B2" s="190" t="s">
        <v>866</v>
      </c>
      <c r="C2" s="190" t="s">
        <v>700</v>
      </c>
      <c r="D2" s="190" t="s">
        <v>391</v>
      </c>
      <c r="E2" s="191">
        <f>83+60</f>
        <v>143</v>
      </c>
      <c r="F2" s="191">
        <v>44</v>
      </c>
      <c r="G2" s="354">
        <f>4989+44+3612</f>
        <v>8645</v>
      </c>
      <c r="H2" s="354"/>
      <c r="I2" s="358">
        <v>90510</v>
      </c>
      <c r="J2" s="382">
        <v>260</v>
      </c>
      <c r="K2" s="539" t="s">
        <v>867</v>
      </c>
      <c r="L2" s="943">
        <v>90510</v>
      </c>
      <c r="M2" s="190" t="s">
        <v>418</v>
      </c>
      <c r="N2" s="188" t="s">
        <v>442</v>
      </c>
      <c r="O2" s="355" t="s">
        <v>868</v>
      </c>
      <c r="P2" s="356">
        <v>0.25</v>
      </c>
      <c r="Q2" s="14">
        <f>G2/60*J2*1.2</f>
        <v>44954.000000000007</v>
      </c>
      <c r="R2" s="621">
        <v>70532</v>
      </c>
      <c r="S2" s="621">
        <v>8646.1</v>
      </c>
      <c r="T2" s="912">
        <v>46162</v>
      </c>
      <c r="U2" s="8">
        <v>144</v>
      </c>
      <c r="V2" s="8">
        <v>144</v>
      </c>
      <c r="W2" s="8">
        <v>15.4</v>
      </c>
      <c r="X2" s="8">
        <v>8655</v>
      </c>
      <c r="Y2">
        <f>X2-S2</f>
        <v>8.8999999999996362</v>
      </c>
    </row>
    <row r="3" spans="1:25">
      <c r="A3" s="190" t="s">
        <v>350</v>
      </c>
      <c r="B3" s="190" t="s">
        <v>869</v>
      </c>
      <c r="C3" s="190" t="s">
        <v>870</v>
      </c>
      <c r="D3" s="190" t="s">
        <v>391</v>
      </c>
      <c r="E3" s="191">
        <v>47</v>
      </c>
      <c r="F3" s="191"/>
      <c r="G3" s="354">
        <v>2823</v>
      </c>
      <c r="H3" s="354"/>
      <c r="I3" s="358">
        <v>90510</v>
      </c>
      <c r="J3" s="382">
        <v>260</v>
      </c>
      <c r="K3" s="539" t="s">
        <v>871</v>
      </c>
      <c r="L3" s="943">
        <v>90510</v>
      </c>
      <c r="M3" s="190" t="s">
        <v>418</v>
      </c>
      <c r="N3" s="542" t="s">
        <v>442</v>
      </c>
      <c r="O3" s="358" t="s">
        <v>872</v>
      </c>
      <c r="P3" s="356">
        <v>0.23</v>
      </c>
      <c r="Q3" s="14">
        <f t="shared" ref="Q3:Q21" si="0">G3/60*J3*1.2</f>
        <v>14679.6</v>
      </c>
      <c r="R3" s="621">
        <v>70533</v>
      </c>
      <c r="S3" s="621">
        <v>2823.9</v>
      </c>
      <c r="T3" s="912">
        <v>46156</v>
      </c>
      <c r="U3" s="8">
        <v>47</v>
      </c>
      <c r="V3" s="8">
        <v>47</v>
      </c>
      <c r="W3" s="8">
        <v>9.6999999999999993</v>
      </c>
      <c r="X3" s="8">
        <v>2829.7</v>
      </c>
      <c r="Y3">
        <f t="shared" ref="Y3:Y21" si="1">X3-S3</f>
        <v>5.7999999999997272</v>
      </c>
    </row>
    <row r="4" spans="1:25">
      <c r="A4" s="190" t="s">
        <v>350</v>
      </c>
      <c r="B4" s="190" t="s">
        <v>873</v>
      </c>
      <c r="C4" s="190" t="s">
        <v>747</v>
      </c>
      <c r="D4" s="190" t="s">
        <v>391</v>
      </c>
      <c r="E4" s="191">
        <f>154+5</f>
        <v>159</v>
      </c>
      <c r="F4" s="191">
        <v>29</v>
      </c>
      <c r="G4" s="354">
        <f>9258+29+291</f>
        <v>9578</v>
      </c>
      <c r="H4" s="354"/>
      <c r="I4" s="358">
        <v>90510</v>
      </c>
      <c r="J4" s="382">
        <v>260</v>
      </c>
      <c r="K4" s="539" t="s">
        <v>874</v>
      </c>
      <c r="L4" s="943">
        <v>90510</v>
      </c>
      <c r="M4" s="190" t="s">
        <v>418</v>
      </c>
      <c r="N4" s="542" t="s">
        <v>440</v>
      </c>
      <c r="O4" s="358" t="s">
        <v>443</v>
      </c>
      <c r="P4" s="356">
        <v>0.08</v>
      </c>
      <c r="Q4" s="14">
        <f t="shared" si="0"/>
        <v>49805.599999999999</v>
      </c>
      <c r="R4" s="621">
        <v>70534</v>
      </c>
      <c r="S4" s="621">
        <v>9579.2999999999993</v>
      </c>
      <c r="T4" s="912">
        <v>46157</v>
      </c>
      <c r="U4" s="8">
        <v>160</v>
      </c>
      <c r="V4" s="8">
        <v>160</v>
      </c>
      <c r="W4" s="8">
        <v>2</v>
      </c>
      <c r="X4" s="8">
        <v>9602</v>
      </c>
      <c r="Y4">
        <f t="shared" si="1"/>
        <v>22.700000000000728</v>
      </c>
    </row>
    <row r="5" spans="1:25">
      <c r="A5" s="190" t="s">
        <v>350</v>
      </c>
      <c r="B5" s="190" t="s">
        <v>875</v>
      </c>
      <c r="C5" s="190" t="s">
        <v>243</v>
      </c>
      <c r="D5" s="190" t="s">
        <v>391</v>
      </c>
      <c r="E5" s="191">
        <v>117</v>
      </c>
      <c r="F5" s="191"/>
      <c r="G5" s="354">
        <v>6988</v>
      </c>
      <c r="H5" s="354"/>
      <c r="I5" s="358">
        <v>90510</v>
      </c>
      <c r="J5" s="382">
        <v>260</v>
      </c>
      <c r="K5" s="539" t="s">
        <v>876</v>
      </c>
      <c r="L5" s="943">
        <v>90510</v>
      </c>
      <c r="M5" s="190" t="s">
        <v>418</v>
      </c>
      <c r="N5" t="s">
        <v>440</v>
      </c>
      <c r="O5" s="355" t="s">
        <v>877</v>
      </c>
      <c r="P5" s="356">
        <v>0.16</v>
      </c>
      <c r="Q5" s="14">
        <f t="shared" si="0"/>
        <v>36337.599999999999</v>
      </c>
      <c r="R5" s="1736">
        <v>70536</v>
      </c>
      <c r="S5" s="1736">
        <v>7526.0770000000002</v>
      </c>
      <c r="T5" s="1739">
        <v>46157</v>
      </c>
      <c r="U5" s="1740">
        <v>125</v>
      </c>
      <c r="V5" s="1740">
        <v>124</v>
      </c>
      <c r="W5" s="1740">
        <v>26.5</v>
      </c>
      <c r="X5" s="1740">
        <v>7466.5</v>
      </c>
      <c r="Y5" s="297">
        <f t="shared" si="1"/>
        <v>-59.577000000000226</v>
      </c>
    </row>
    <row r="6" spans="1:25">
      <c r="A6" s="190" t="s">
        <v>350</v>
      </c>
      <c r="B6" s="190" t="s">
        <v>875</v>
      </c>
      <c r="C6" s="190" t="s">
        <v>685</v>
      </c>
      <c r="D6" s="190" t="s">
        <v>391</v>
      </c>
      <c r="E6" s="191">
        <v>9</v>
      </c>
      <c r="F6" s="191"/>
      <c r="G6" s="354">
        <v>541</v>
      </c>
      <c r="H6" s="354"/>
      <c r="I6" s="358">
        <v>90510</v>
      </c>
      <c r="J6" s="382">
        <v>260</v>
      </c>
      <c r="K6" s="539" t="s">
        <v>897</v>
      </c>
      <c r="L6" s="943">
        <v>90510</v>
      </c>
      <c r="M6" s="190" t="s">
        <v>418</v>
      </c>
      <c r="N6" s="545" t="s">
        <v>799</v>
      </c>
      <c r="O6" s="358" t="s">
        <v>868</v>
      </c>
      <c r="P6" s="356">
        <v>0.11</v>
      </c>
      <c r="Q6" s="14">
        <f t="shared" si="0"/>
        <v>2813.2000000000003</v>
      </c>
      <c r="R6" s="1737"/>
      <c r="S6" s="1737"/>
      <c r="T6" s="1739"/>
      <c r="U6" s="1741"/>
      <c r="V6" s="1741"/>
      <c r="W6" s="1741"/>
      <c r="X6" s="1741"/>
      <c r="Y6">
        <f t="shared" si="1"/>
        <v>0</v>
      </c>
    </row>
    <row r="7" spans="1:25">
      <c r="A7" s="190" t="s">
        <v>350</v>
      </c>
      <c r="B7" s="190" t="s">
        <v>878</v>
      </c>
      <c r="C7" s="190" t="s">
        <v>240</v>
      </c>
      <c r="D7" s="190" t="s">
        <v>391</v>
      </c>
      <c r="E7" s="191">
        <v>82</v>
      </c>
      <c r="F7" s="191">
        <v>14</v>
      </c>
      <c r="G7" s="360">
        <v>4957</v>
      </c>
      <c r="H7" s="360"/>
      <c r="I7" s="358">
        <v>90510</v>
      </c>
      <c r="J7" s="382">
        <v>260</v>
      </c>
      <c r="K7" s="539" t="s">
        <v>879</v>
      </c>
      <c r="L7" s="943">
        <v>90510</v>
      </c>
      <c r="M7" s="190" t="s">
        <v>418</v>
      </c>
      <c r="N7" s="542" t="s">
        <v>440</v>
      </c>
      <c r="O7" s="358" t="s">
        <v>880</v>
      </c>
      <c r="P7" s="356">
        <v>0.15</v>
      </c>
      <c r="Q7" s="14">
        <f t="shared" si="0"/>
        <v>25776.399999999998</v>
      </c>
      <c r="R7" s="621">
        <v>70574</v>
      </c>
      <c r="S7" s="621">
        <v>4957.8999999999996</v>
      </c>
      <c r="T7" s="912">
        <v>46157</v>
      </c>
      <c r="U7" s="8">
        <v>84</v>
      </c>
      <c r="V7" s="8">
        <v>82</v>
      </c>
      <c r="W7" s="8">
        <v>33.4</v>
      </c>
      <c r="X7" s="8">
        <v>4953.3999999999996</v>
      </c>
      <c r="Y7">
        <f t="shared" si="1"/>
        <v>-4.5</v>
      </c>
    </row>
    <row r="8" spans="1:25">
      <c r="A8" s="190" t="s">
        <v>350</v>
      </c>
      <c r="B8" s="190" t="s">
        <v>881</v>
      </c>
      <c r="C8" s="190" t="s">
        <v>747</v>
      </c>
      <c r="D8" s="190" t="s">
        <v>391</v>
      </c>
      <c r="E8" s="191">
        <f>98+150+94</f>
        <v>342</v>
      </c>
      <c r="F8" s="191">
        <v>62</v>
      </c>
      <c r="G8" s="354">
        <f>5883+62+9033+5651</f>
        <v>20629</v>
      </c>
      <c r="H8" s="354"/>
      <c r="I8" s="358">
        <v>90510</v>
      </c>
      <c r="J8" s="382">
        <v>260</v>
      </c>
      <c r="K8" s="539" t="s">
        <v>871</v>
      </c>
      <c r="L8" s="943">
        <v>90510</v>
      </c>
      <c r="M8" s="190" t="s">
        <v>418</v>
      </c>
      <c r="N8" t="s">
        <v>440</v>
      </c>
      <c r="O8" s="361" t="s">
        <v>882</v>
      </c>
      <c r="P8" s="356">
        <v>0.13</v>
      </c>
      <c r="Q8" s="14">
        <f t="shared" si="0"/>
        <v>107270.79999999999</v>
      </c>
      <c r="R8" s="621">
        <v>70540</v>
      </c>
      <c r="S8" s="621">
        <v>20630.2</v>
      </c>
      <c r="T8" s="912">
        <v>46157</v>
      </c>
      <c r="U8" s="8">
        <v>343</v>
      </c>
      <c r="V8" s="8">
        <v>343</v>
      </c>
      <c r="W8" s="8">
        <v>25.3</v>
      </c>
      <c r="X8" s="8">
        <v>20605</v>
      </c>
      <c r="Y8" s="297">
        <f t="shared" si="1"/>
        <v>-25.200000000000728</v>
      </c>
    </row>
    <row r="9" spans="1:25">
      <c r="A9" s="190" t="s">
        <v>350</v>
      </c>
      <c r="B9" s="190" t="s">
        <v>883</v>
      </c>
      <c r="C9" s="190" t="s">
        <v>747</v>
      </c>
      <c r="D9" s="190" t="s">
        <v>391</v>
      </c>
      <c r="E9" s="191">
        <v>47</v>
      </c>
      <c r="F9" s="191"/>
      <c r="G9" s="360">
        <v>2822</v>
      </c>
      <c r="H9" s="360"/>
      <c r="I9" s="358">
        <v>90510</v>
      </c>
      <c r="J9" s="382">
        <v>260</v>
      </c>
      <c r="K9" s="539" t="s">
        <v>884</v>
      </c>
      <c r="L9" s="943">
        <v>90510</v>
      </c>
      <c r="M9" s="190" t="s">
        <v>418</v>
      </c>
      <c r="N9" s="542" t="s">
        <v>440</v>
      </c>
      <c r="O9" s="358" t="s">
        <v>880</v>
      </c>
      <c r="P9" s="356">
        <v>0.13</v>
      </c>
      <c r="Q9" s="14">
        <f t="shared" si="0"/>
        <v>14674.4</v>
      </c>
      <c r="R9" s="1736">
        <v>70542</v>
      </c>
      <c r="S9" s="1736">
        <v>8477</v>
      </c>
      <c r="T9" s="1739">
        <v>46157</v>
      </c>
      <c r="U9" s="1740">
        <v>141</v>
      </c>
      <c r="V9" s="1740">
        <v>141</v>
      </c>
      <c r="W9" s="1740">
        <v>12.1</v>
      </c>
      <c r="X9" s="1740">
        <v>8472.1</v>
      </c>
      <c r="Y9">
        <f t="shared" si="1"/>
        <v>-4.8999999999996362</v>
      </c>
    </row>
    <row r="10" spans="1:25">
      <c r="A10" s="190" t="s">
        <v>350</v>
      </c>
      <c r="B10" s="190" t="s">
        <v>883</v>
      </c>
      <c r="C10" s="190" t="s">
        <v>747</v>
      </c>
      <c r="D10" s="190" t="s">
        <v>391</v>
      </c>
      <c r="E10" s="191">
        <v>93</v>
      </c>
      <c r="F10" s="191">
        <v>69</v>
      </c>
      <c r="G10" s="354">
        <f>5586+69</f>
        <v>5655</v>
      </c>
      <c r="H10" s="354"/>
      <c r="I10" s="358">
        <v>90510</v>
      </c>
      <c r="J10" s="382">
        <v>260</v>
      </c>
      <c r="K10" s="539" t="s">
        <v>885</v>
      </c>
      <c r="L10" s="943">
        <v>90510</v>
      </c>
      <c r="M10" s="190" t="s">
        <v>418</v>
      </c>
      <c r="N10" s="542" t="s">
        <v>440</v>
      </c>
      <c r="O10" s="358" t="s">
        <v>880</v>
      </c>
      <c r="P10" s="356">
        <v>0.16</v>
      </c>
      <c r="Q10" s="14">
        <f t="shared" si="0"/>
        <v>29406</v>
      </c>
      <c r="R10" s="1737"/>
      <c r="S10" s="1737"/>
      <c r="T10" s="1739"/>
      <c r="U10" s="1741"/>
      <c r="V10" s="1741"/>
      <c r="W10" s="1741"/>
      <c r="X10" s="1741"/>
      <c r="Y10">
        <f t="shared" si="1"/>
        <v>0</v>
      </c>
    </row>
    <row r="11" spans="1:25">
      <c r="A11" s="190" t="s">
        <v>350</v>
      </c>
      <c r="B11" s="190" t="s">
        <v>886</v>
      </c>
      <c r="C11" s="190" t="s">
        <v>239</v>
      </c>
      <c r="D11" s="190" t="s">
        <v>391</v>
      </c>
      <c r="E11" s="191">
        <v>150</v>
      </c>
      <c r="F11" s="191"/>
      <c r="G11" s="354">
        <v>9017</v>
      </c>
      <c r="H11" s="354"/>
      <c r="I11" s="358">
        <v>90510</v>
      </c>
      <c r="J11" s="382">
        <v>260</v>
      </c>
      <c r="K11" s="539" t="s">
        <v>884</v>
      </c>
      <c r="L11" s="943">
        <v>90510</v>
      </c>
      <c r="M11" s="190" t="s">
        <v>418</v>
      </c>
      <c r="N11" s="542" t="s">
        <v>440</v>
      </c>
      <c r="O11" s="358" t="s">
        <v>463</v>
      </c>
      <c r="P11" s="356">
        <v>0.1</v>
      </c>
      <c r="Q11" s="14">
        <f t="shared" si="0"/>
        <v>46888.399999999994</v>
      </c>
      <c r="R11" s="1736">
        <v>70544</v>
      </c>
      <c r="S11" s="1736">
        <v>18526</v>
      </c>
      <c r="T11" s="1739">
        <v>46158</v>
      </c>
      <c r="U11" s="1740">
        <v>309</v>
      </c>
      <c r="V11" s="1740">
        <v>308</v>
      </c>
      <c r="W11" s="1740">
        <v>32.9</v>
      </c>
      <c r="X11" s="1740">
        <v>18513</v>
      </c>
      <c r="Y11">
        <f t="shared" si="1"/>
        <v>-13</v>
      </c>
    </row>
    <row r="12" spans="1:25">
      <c r="A12" s="190" t="s">
        <v>350</v>
      </c>
      <c r="B12" s="190" t="s">
        <v>886</v>
      </c>
      <c r="C12" s="190" t="s">
        <v>239</v>
      </c>
      <c r="D12" s="190" t="s">
        <v>391</v>
      </c>
      <c r="E12" s="191">
        <v>43</v>
      </c>
      <c r="F12" s="191">
        <v>20</v>
      </c>
      <c r="G12" s="354">
        <v>2585</v>
      </c>
      <c r="H12" s="354"/>
      <c r="I12" s="14">
        <v>90510</v>
      </c>
      <c r="J12" s="382">
        <v>260</v>
      </c>
      <c r="K12" s="539" t="s">
        <v>884</v>
      </c>
      <c r="L12" s="943">
        <v>90510</v>
      </c>
      <c r="M12" s="190" t="s">
        <v>418</v>
      </c>
      <c r="N12" s="542" t="s">
        <v>440</v>
      </c>
      <c r="O12" s="358" t="s">
        <v>463</v>
      </c>
      <c r="P12" s="356">
        <v>0.1</v>
      </c>
      <c r="Q12" s="14">
        <f t="shared" si="0"/>
        <v>13442.000000000002</v>
      </c>
      <c r="R12" s="1738"/>
      <c r="S12" s="1738"/>
      <c r="T12" s="1739"/>
      <c r="U12" s="1742"/>
      <c r="V12" s="1742"/>
      <c r="W12" s="1742"/>
      <c r="X12" s="1742"/>
      <c r="Y12">
        <f t="shared" si="1"/>
        <v>0</v>
      </c>
    </row>
    <row r="13" spans="1:25">
      <c r="A13" s="190" t="s">
        <v>350</v>
      </c>
      <c r="B13" s="190" t="s">
        <v>886</v>
      </c>
      <c r="C13" s="190" t="s">
        <v>239</v>
      </c>
      <c r="D13" s="190" t="s">
        <v>391</v>
      </c>
      <c r="E13" s="191">
        <v>115</v>
      </c>
      <c r="F13" s="191"/>
      <c r="G13" s="354">
        <v>6903</v>
      </c>
      <c r="H13" s="354"/>
      <c r="I13" s="358">
        <v>90510</v>
      </c>
      <c r="J13" s="382">
        <v>260</v>
      </c>
      <c r="K13" s="539" t="s">
        <v>900</v>
      </c>
      <c r="L13" s="943">
        <v>90510</v>
      </c>
      <c r="M13" s="190" t="s">
        <v>418</v>
      </c>
      <c r="N13" s="546" t="s">
        <v>799</v>
      </c>
      <c r="O13" s="358" t="s">
        <v>901</v>
      </c>
      <c r="P13" s="375"/>
      <c r="Q13" s="14">
        <f t="shared" si="0"/>
        <v>35895.599999999999</v>
      </c>
      <c r="R13" s="1737"/>
      <c r="S13" s="1737"/>
      <c r="T13" s="1739"/>
      <c r="U13" s="1741"/>
      <c r="V13" s="1741"/>
      <c r="W13" s="1741"/>
      <c r="X13" s="1741"/>
      <c r="Y13">
        <f t="shared" si="1"/>
        <v>0</v>
      </c>
    </row>
    <row r="14" spans="1:25" ht="15" thickBot="1">
      <c r="A14" s="362" t="s">
        <v>350</v>
      </c>
      <c r="B14" s="362" t="s">
        <v>887</v>
      </c>
      <c r="C14" s="362" t="s">
        <v>233</v>
      </c>
      <c r="D14" s="363" t="s">
        <v>391</v>
      </c>
      <c r="E14" s="364">
        <v>70</v>
      </c>
      <c r="F14" s="364"/>
      <c r="G14" s="365">
        <v>4193</v>
      </c>
      <c r="H14" s="365"/>
      <c r="I14" s="358">
        <v>90510</v>
      </c>
      <c r="J14" s="382">
        <v>260</v>
      </c>
      <c r="K14" s="540" t="s">
        <v>888</v>
      </c>
      <c r="L14" s="943">
        <v>90510</v>
      </c>
      <c r="M14" s="190" t="s">
        <v>418</v>
      </c>
      <c r="N14" s="188" t="s">
        <v>440</v>
      </c>
      <c r="O14" s="355" t="s">
        <v>889</v>
      </c>
      <c r="P14" s="356">
        <v>0.09</v>
      </c>
      <c r="Q14" s="14">
        <f t="shared" si="0"/>
        <v>21803.600000000002</v>
      </c>
      <c r="R14" s="1736">
        <v>70548</v>
      </c>
      <c r="S14" s="1736">
        <v>8939.2000000000007</v>
      </c>
      <c r="T14" s="1739">
        <v>46155</v>
      </c>
      <c r="U14" s="1740">
        <v>149</v>
      </c>
      <c r="V14" s="1740">
        <v>149</v>
      </c>
      <c r="W14" s="1740">
        <v>3.9</v>
      </c>
      <c r="X14" s="1740">
        <v>8943.9</v>
      </c>
      <c r="Y14">
        <f t="shared" si="1"/>
        <v>4.6999999999989086</v>
      </c>
    </row>
    <row r="15" spans="1:25" ht="15" thickTop="1">
      <c r="A15" s="366" t="s">
        <v>745</v>
      </c>
      <c r="B15" s="14" t="s">
        <v>887</v>
      </c>
      <c r="C15" s="14" t="s">
        <v>233</v>
      </c>
      <c r="D15" s="14" t="s">
        <v>391</v>
      </c>
      <c r="E15" s="20">
        <v>78</v>
      </c>
      <c r="F15" s="20">
        <v>53</v>
      </c>
      <c r="G15" s="14">
        <v>4745</v>
      </c>
      <c r="H15" s="14"/>
      <c r="I15" s="358">
        <v>90510</v>
      </c>
      <c r="J15" s="382">
        <v>260</v>
      </c>
      <c r="K15" s="367"/>
      <c r="L15" s="943">
        <v>90510</v>
      </c>
      <c r="M15" s="190" t="s">
        <v>418</v>
      </c>
      <c r="N15" s="543" t="s">
        <v>440</v>
      </c>
      <c r="O15" s="14" t="s">
        <v>443</v>
      </c>
      <c r="P15" s="368">
        <v>0.08</v>
      </c>
      <c r="Q15" s="14">
        <f t="shared" si="0"/>
        <v>24673.999999999996</v>
      </c>
      <c r="R15" s="1737"/>
      <c r="S15" s="1737"/>
      <c r="T15" s="1739"/>
      <c r="U15" s="1741"/>
      <c r="V15" s="1741"/>
      <c r="W15" s="1741"/>
      <c r="X15" s="1741"/>
      <c r="Y15">
        <f t="shared" si="1"/>
        <v>0</v>
      </c>
    </row>
    <row r="16" spans="1:25" ht="15" thickBot="1">
      <c r="A16" s="366" t="s">
        <v>745</v>
      </c>
      <c r="B16" s="14" t="s">
        <v>890</v>
      </c>
      <c r="C16" s="14" t="s">
        <v>234</v>
      </c>
      <c r="D16" s="14" t="s">
        <v>391</v>
      </c>
      <c r="E16" s="20">
        <v>88</v>
      </c>
      <c r="F16" s="20">
        <v>23</v>
      </c>
      <c r="G16" s="14">
        <v>5299</v>
      </c>
      <c r="H16" s="14"/>
      <c r="I16" s="358">
        <v>90510</v>
      </c>
      <c r="J16" s="382">
        <v>260</v>
      </c>
      <c r="K16" s="367"/>
      <c r="L16" s="943">
        <v>90510</v>
      </c>
      <c r="M16" s="190" t="s">
        <v>418</v>
      </c>
      <c r="N16" t="s">
        <v>440</v>
      </c>
      <c r="O16" s="369" t="s">
        <v>443</v>
      </c>
      <c r="P16" s="370">
        <v>0.1</v>
      </c>
      <c r="Q16" s="14">
        <f t="shared" si="0"/>
        <v>27554.799999999999</v>
      </c>
      <c r="R16" s="621">
        <v>70546</v>
      </c>
      <c r="S16" s="621">
        <v>5299.6</v>
      </c>
      <c r="T16" s="912">
        <v>46155</v>
      </c>
      <c r="U16" s="8">
        <f>SUM(U14:U15)</f>
        <v>149</v>
      </c>
      <c r="V16" s="8">
        <v>88</v>
      </c>
      <c r="W16" s="8"/>
      <c r="X16" s="8">
        <v>5318.9</v>
      </c>
      <c r="Y16">
        <f t="shared" si="1"/>
        <v>19.299999999999272</v>
      </c>
    </row>
    <row r="17" spans="1:25" ht="15" thickTop="1">
      <c r="A17" s="371" t="s">
        <v>745</v>
      </c>
      <c r="B17" s="372" t="s">
        <v>891</v>
      </c>
      <c r="C17" s="372" t="s">
        <v>240</v>
      </c>
      <c r="D17" s="372" t="s">
        <v>391</v>
      </c>
      <c r="E17" s="373">
        <v>36</v>
      </c>
      <c r="F17" s="373">
        <v>26</v>
      </c>
      <c r="G17" s="372">
        <v>2168</v>
      </c>
      <c r="H17" s="372"/>
      <c r="I17" s="358">
        <v>90510</v>
      </c>
      <c r="J17" s="382">
        <v>260</v>
      </c>
      <c r="K17" s="374"/>
      <c r="L17" s="943">
        <v>90510</v>
      </c>
      <c r="M17" s="190" t="s">
        <v>418</v>
      </c>
      <c r="N17" s="544" t="s">
        <v>440</v>
      </c>
      <c r="O17" s="372" t="s">
        <v>443</v>
      </c>
      <c r="P17" s="375">
        <v>0.08</v>
      </c>
      <c r="Q17" s="14">
        <f t="shared" si="0"/>
        <v>11273.599999999999</v>
      </c>
      <c r="R17" s="621">
        <v>70547</v>
      </c>
      <c r="S17" s="621">
        <v>2168</v>
      </c>
      <c r="T17" s="912">
        <v>46156</v>
      </c>
      <c r="U17" s="8">
        <v>37</v>
      </c>
      <c r="V17" s="8">
        <v>36</v>
      </c>
      <c r="W17" s="8">
        <v>33.700000000000003</v>
      </c>
      <c r="X17" s="8">
        <v>2193.6999999999998</v>
      </c>
      <c r="Y17">
        <f t="shared" si="1"/>
        <v>25.699999999999818</v>
      </c>
    </row>
    <row r="18" spans="1:25">
      <c r="A18" s="190" t="s">
        <v>350</v>
      </c>
      <c r="B18" s="190" t="s">
        <v>892</v>
      </c>
      <c r="C18" s="190" t="s">
        <v>893</v>
      </c>
      <c r="D18" s="190" t="s">
        <v>391</v>
      </c>
      <c r="E18" s="191">
        <v>47</v>
      </c>
      <c r="F18" s="354"/>
      <c r="G18" s="354">
        <v>2825</v>
      </c>
      <c r="H18" s="354"/>
      <c r="I18" s="358">
        <v>90510</v>
      </c>
      <c r="J18" s="382">
        <v>260</v>
      </c>
      <c r="K18" s="539" t="s">
        <v>871</v>
      </c>
      <c r="L18" s="943">
        <v>90510</v>
      </c>
      <c r="M18" s="190" t="s">
        <v>418</v>
      </c>
      <c r="N18" s="545" t="s">
        <v>799</v>
      </c>
      <c r="O18" s="358" t="s">
        <v>894</v>
      </c>
      <c r="P18" s="356">
        <v>0.13</v>
      </c>
      <c r="Q18" s="14">
        <f t="shared" si="0"/>
        <v>14690.000000000002</v>
      </c>
      <c r="R18" s="621">
        <v>70531</v>
      </c>
      <c r="S18" s="621">
        <v>2825.5</v>
      </c>
      <c r="T18" s="912">
        <v>46156</v>
      </c>
      <c r="U18" s="8">
        <v>47</v>
      </c>
      <c r="V18" s="8">
        <v>47</v>
      </c>
      <c r="W18" s="8">
        <v>6.7</v>
      </c>
      <c r="X18" s="8">
        <v>2826.7</v>
      </c>
      <c r="Y18">
        <f t="shared" si="1"/>
        <v>1.1999999999998181</v>
      </c>
    </row>
    <row r="19" spans="1:25">
      <c r="A19" s="190" t="s">
        <v>350</v>
      </c>
      <c r="B19" s="190" t="s">
        <v>895</v>
      </c>
      <c r="C19" s="190" t="s">
        <v>359</v>
      </c>
      <c r="D19" s="190" t="s">
        <v>391</v>
      </c>
      <c r="E19" s="191">
        <v>93</v>
      </c>
      <c r="F19" s="191">
        <v>11</v>
      </c>
      <c r="G19" s="354">
        <f>5599+11</f>
        <v>5610</v>
      </c>
      <c r="H19" s="354"/>
      <c r="I19" s="358"/>
      <c r="J19" s="382">
        <v>260</v>
      </c>
      <c r="K19" s="539" t="s">
        <v>896</v>
      </c>
      <c r="L19" s="943">
        <v>90510</v>
      </c>
      <c r="M19" s="190" t="s">
        <v>418</v>
      </c>
      <c r="N19" s="546" t="s">
        <v>799</v>
      </c>
      <c r="O19" s="358" t="s">
        <v>868</v>
      </c>
      <c r="P19" s="356">
        <v>0.12</v>
      </c>
      <c r="Q19" s="14">
        <f t="shared" si="0"/>
        <v>29172</v>
      </c>
      <c r="R19" s="621">
        <v>70535</v>
      </c>
      <c r="S19" s="621">
        <v>5610.3</v>
      </c>
      <c r="T19" s="912">
        <v>46157</v>
      </c>
      <c r="U19" s="8">
        <v>94</v>
      </c>
      <c r="V19" s="8">
        <v>93</v>
      </c>
      <c r="W19" s="8">
        <v>24.4</v>
      </c>
      <c r="X19" s="8">
        <v>5604.4</v>
      </c>
      <c r="Y19">
        <f t="shared" si="1"/>
        <v>-5.9000000000005457</v>
      </c>
    </row>
    <row r="20" spans="1:25">
      <c r="A20" s="190" t="s">
        <v>350</v>
      </c>
      <c r="B20" s="190" t="s">
        <v>898</v>
      </c>
      <c r="C20" s="190" t="s">
        <v>747</v>
      </c>
      <c r="D20" s="190" t="s">
        <v>391</v>
      </c>
      <c r="E20" s="376">
        <v>180</v>
      </c>
      <c r="F20" s="191"/>
      <c r="G20" s="354">
        <v>11514</v>
      </c>
      <c r="H20" s="354"/>
      <c r="I20" s="358"/>
      <c r="J20" s="382">
        <v>260</v>
      </c>
      <c r="K20" s="539" t="s">
        <v>871</v>
      </c>
      <c r="L20" s="943">
        <v>90510</v>
      </c>
      <c r="M20" s="190" t="s">
        <v>418</v>
      </c>
      <c r="N20" s="545" t="s">
        <v>799</v>
      </c>
      <c r="O20" s="358" t="s">
        <v>894</v>
      </c>
      <c r="P20" s="356">
        <v>0.1</v>
      </c>
      <c r="Q20" s="14">
        <f t="shared" si="0"/>
        <v>59872.799999999996</v>
      </c>
      <c r="R20" s="621">
        <v>70537</v>
      </c>
      <c r="S20" s="621">
        <v>11514.4</v>
      </c>
      <c r="T20" s="912">
        <v>46157</v>
      </c>
      <c r="U20" s="8">
        <v>192</v>
      </c>
      <c r="V20" s="8">
        <v>191</v>
      </c>
      <c r="W20" s="8">
        <v>43.2</v>
      </c>
      <c r="X20" s="8">
        <v>11503</v>
      </c>
      <c r="Y20">
        <f t="shared" si="1"/>
        <v>-11.399999999999636</v>
      </c>
    </row>
    <row r="21" spans="1:25">
      <c r="A21" s="366" t="s">
        <v>745</v>
      </c>
      <c r="B21" s="14" t="s">
        <v>899</v>
      </c>
      <c r="C21" s="14" t="s">
        <v>243</v>
      </c>
      <c r="D21" s="14" t="s">
        <v>391</v>
      </c>
      <c r="E21" s="20">
        <v>56</v>
      </c>
      <c r="F21" s="20">
        <v>24</v>
      </c>
      <c r="G21" s="14">
        <v>3386</v>
      </c>
      <c r="H21" s="14"/>
      <c r="I21" s="358">
        <v>90510</v>
      </c>
      <c r="J21" s="382">
        <v>260</v>
      </c>
      <c r="K21" s="359" t="s">
        <v>799</v>
      </c>
      <c r="L21" s="943">
        <v>90510</v>
      </c>
      <c r="M21" s="190" t="s">
        <v>418</v>
      </c>
      <c r="N21" s="546" t="s">
        <v>799</v>
      </c>
      <c r="O21" s="14" t="s">
        <v>534</v>
      </c>
      <c r="P21" s="375"/>
      <c r="Q21" s="14">
        <f t="shared" si="0"/>
        <v>17607.199999999997</v>
      </c>
      <c r="R21" s="621">
        <v>70550</v>
      </c>
      <c r="S21" s="621">
        <v>3386.4</v>
      </c>
      <c r="T21" s="912">
        <v>46156</v>
      </c>
      <c r="U21" s="8">
        <v>57</v>
      </c>
      <c r="V21" s="8">
        <v>56</v>
      </c>
      <c r="W21" s="8">
        <v>37.700000000000003</v>
      </c>
      <c r="X21" s="8">
        <v>3397.7</v>
      </c>
      <c r="Y21">
        <f t="shared" si="1"/>
        <v>11.299999999999727</v>
      </c>
    </row>
    <row r="22" spans="1:25">
      <c r="A22" s="377" t="s">
        <v>13</v>
      </c>
      <c r="B22" s="378"/>
      <c r="C22" s="378"/>
      <c r="D22" s="378"/>
      <c r="E22" s="378">
        <f>G22/60</f>
        <v>2014.7166666666667</v>
      </c>
      <c r="F22" s="378"/>
      <c r="G22" s="379">
        <f>SUM(G2:G21)</f>
        <v>120883</v>
      </c>
      <c r="H22" s="379"/>
      <c r="I22" s="378"/>
      <c r="J22" s="537"/>
      <c r="K22" s="380"/>
      <c r="L22" s="380"/>
      <c r="M22" s="380"/>
      <c r="N22" s="378"/>
      <c r="O22" s="378"/>
      <c r="P22" s="381">
        <f>AVERAGE(P2:P17)</f>
        <v>0.13</v>
      </c>
      <c r="Q22" s="327">
        <f>SUM(Q2:Q21)</f>
        <v>628591.59999999986</v>
      </c>
      <c r="Y22">
        <f>SUM(Y2:Y21)</f>
        <v>-24.877000000003136</v>
      </c>
    </row>
    <row r="23" spans="1:25">
      <c r="H23" t="s">
        <v>1375</v>
      </c>
    </row>
    <row r="24" spans="1:25">
      <c r="H24" s="190">
        <v>350</v>
      </c>
    </row>
    <row r="25" spans="1:25">
      <c r="H25" s="190" t="s">
        <v>418</v>
      </c>
    </row>
    <row r="27" spans="1:25">
      <c r="H27" t="s">
        <v>418</v>
      </c>
    </row>
    <row r="28" spans="1:25">
      <c r="H28" t="s">
        <v>418</v>
      </c>
    </row>
    <row r="29" spans="1:25">
      <c r="H29" t="s">
        <v>418</v>
      </c>
    </row>
    <row r="40" spans="1:25">
      <c r="A40" s="377" t="s">
        <v>13</v>
      </c>
      <c r="B40" s="378"/>
      <c r="C40" s="378"/>
      <c r="D40" s="378"/>
      <c r="E40" s="378">
        <f>G40/60</f>
        <v>2263.0500000000002</v>
      </c>
      <c r="F40" s="378"/>
      <c r="G40" s="379">
        <f>SUM(G20:G39)</f>
        <v>135783</v>
      </c>
      <c r="H40" s="379"/>
      <c r="I40" s="378"/>
      <c r="J40" s="537"/>
      <c r="K40" s="380"/>
      <c r="L40" s="380"/>
      <c r="M40" s="380"/>
      <c r="N40" s="378"/>
      <c r="O40" s="378"/>
      <c r="P40" s="381">
        <f>AVERAGE(P20:P35)</f>
        <v>0.115</v>
      </c>
      <c r="Q40" s="327">
        <f>SUM(Q20:Q39)</f>
        <v>706071.59999999986</v>
      </c>
      <c r="Y40">
        <f>SUM(Y20:Y39)</f>
        <v>-24.977000000003045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autoFilter ref="A1:S22" xr:uid="{81094FD9-DFE7-4FCC-95EC-A95DF8C603C5}"/>
  <mergeCells count="28">
    <mergeCell ref="X11:X13"/>
    <mergeCell ref="T14:T15"/>
    <mergeCell ref="U14:U15"/>
    <mergeCell ref="V14:V15"/>
    <mergeCell ref="W14:W15"/>
    <mergeCell ref="X14:X15"/>
    <mergeCell ref="W11:W13"/>
    <mergeCell ref="X5:X6"/>
    <mergeCell ref="T9:T10"/>
    <mergeCell ref="U9:U10"/>
    <mergeCell ref="V9:V10"/>
    <mergeCell ref="W9:W10"/>
    <mergeCell ref="X9:X10"/>
    <mergeCell ref="W5:W6"/>
    <mergeCell ref="R14:R15"/>
    <mergeCell ref="S14:S15"/>
    <mergeCell ref="T5:T6"/>
    <mergeCell ref="U5:U6"/>
    <mergeCell ref="V5:V6"/>
    <mergeCell ref="T11:T13"/>
    <mergeCell ref="U11:U13"/>
    <mergeCell ref="V11:V13"/>
    <mergeCell ref="R5:R6"/>
    <mergeCell ref="S5:S6"/>
    <mergeCell ref="R9:R10"/>
    <mergeCell ref="S9:S10"/>
    <mergeCell ref="R11:R13"/>
    <mergeCell ref="S11:S1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499F-1996-4400-BDB8-672B5C286F0D}">
  <sheetPr>
    <tabColor theme="7" tint="0.79998168889431442"/>
  </sheetPr>
  <dimension ref="A1:X63"/>
  <sheetViews>
    <sheetView workbookViewId="0">
      <selection activeCell="K23" sqref="K23"/>
    </sheetView>
  </sheetViews>
  <sheetFormatPr defaultRowHeight="14.5"/>
  <cols>
    <col min="1" max="1" width="11.1796875" customWidth="1"/>
    <col min="2" max="2" width="10.453125" customWidth="1"/>
    <col min="3" max="3" width="16.81640625" customWidth="1"/>
    <col min="9" max="9" width="19.453125" bestFit="1" customWidth="1"/>
    <col min="10" max="10" width="14.36328125" bestFit="1" customWidth="1"/>
    <col min="11" max="11" width="14.54296875" bestFit="1" customWidth="1"/>
    <col min="12" max="12" width="11.54296875" hidden="1" customWidth="1"/>
    <col min="13" max="13" width="13.54296875" hidden="1" customWidth="1"/>
    <col min="14" max="14" width="0" hidden="1" customWidth="1"/>
    <col min="15" max="15" width="13.453125" hidden="1" customWidth="1"/>
    <col min="16" max="16" width="13.453125" customWidth="1"/>
    <col min="17" max="17" width="13.1796875" customWidth="1"/>
    <col min="18" max="18" width="12.81640625" customWidth="1"/>
    <col min="19" max="19" width="11.453125" bestFit="1" customWidth="1"/>
    <col min="20" max="20" width="13.453125" bestFit="1" customWidth="1"/>
    <col min="21" max="21" width="13.1796875" bestFit="1" customWidth="1"/>
    <col min="22" max="22" width="12.453125" bestFit="1" customWidth="1"/>
    <col min="23" max="23" width="11.81640625" bestFit="1" customWidth="1"/>
  </cols>
  <sheetData>
    <row r="1" spans="1:24" ht="42">
      <c r="A1" s="350" t="s">
        <v>739</v>
      </c>
      <c r="B1" s="350" t="s">
        <v>80</v>
      </c>
      <c r="C1" s="350" t="s">
        <v>740</v>
      </c>
      <c r="D1" s="350" t="s">
        <v>81</v>
      </c>
      <c r="E1" s="350" t="s">
        <v>741</v>
      </c>
      <c r="F1" s="350" t="s">
        <v>111</v>
      </c>
      <c r="G1" s="350" t="s">
        <v>862</v>
      </c>
      <c r="H1" s="350"/>
      <c r="I1" s="350" t="s">
        <v>902</v>
      </c>
      <c r="J1" s="350" t="s">
        <v>541</v>
      </c>
      <c r="K1" s="519" t="s">
        <v>865</v>
      </c>
      <c r="L1" s="351" t="s">
        <v>26</v>
      </c>
      <c r="M1" s="351" t="s">
        <v>348</v>
      </c>
      <c r="N1" s="352" t="s">
        <v>864</v>
      </c>
      <c r="O1" s="2" t="s">
        <v>407</v>
      </c>
      <c r="P1" s="942" t="s">
        <v>1206</v>
      </c>
      <c r="Q1" s="620" t="s">
        <v>405</v>
      </c>
      <c r="R1" s="620" t="s">
        <v>406</v>
      </c>
      <c r="S1" s="655" t="s">
        <v>1145</v>
      </c>
      <c r="T1" s="221" t="s">
        <v>705</v>
      </c>
      <c r="U1" s="221" t="s">
        <v>706</v>
      </c>
      <c r="V1" s="221" t="s">
        <v>704</v>
      </c>
      <c r="W1" s="221" t="s">
        <v>707</v>
      </c>
      <c r="X1" s="852" t="s">
        <v>244</v>
      </c>
    </row>
    <row r="2" spans="1:24">
      <c r="A2" s="190" t="s">
        <v>350</v>
      </c>
      <c r="B2" s="190" t="s">
        <v>881</v>
      </c>
      <c r="C2" s="190" t="s">
        <v>747</v>
      </c>
      <c r="D2" s="190" t="s">
        <v>392</v>
      </c>
      <c r="E2" s="382">
        <v>69</v>
      </c>
      <c r="F2" s="191">
        <v>25</v>
      </c>
      <c r="G2" s="354">
        <f>4146+25</f>
        <v>4171</v>
      </c>
      <c r="H2" s="354"/>
      <c r="I2" s="190" t="s">
        <v>418</v>
      </c>
      <c r="J2" s="532">
        <v>170</v>
      </c>
      <c r="K2" s="518">
        <v>90510</v>
      </c>
      <c r="L2" s="357" t="s">
        <v>730</v>
      </c>
      <c r="M2" s="358" t="s">
        <v>782</v>
      </c>
      <c r="N2" s="533">
        <v>0.48</v>
      </c>
      <c r="O2" s="8">
        <f>G2/60*J2*1.2</f>
        <v>14181.4</v>
      </c>
      <c r="P2" s="944">
        <v>90510</v>
      </c>
      <c r="Q2" s="621">
        <v>70541</v>
      </c>
      <c r="R2" s="621">
        <v>4171.1000000000004</v>
      </c>
      <c r="S2" s="846">
        <v>46153</v>
      </c>
      <c r="T2" s="344">
        <v>70</v>
      </c>
      <c r="U2" s="344">
        <v>69</v>
      </c>
      <c r="V2" s="344">
        <v>33</v>
      </c>
      <c r="W2" s="344">
        <v>4173</v>
      </c>
      <c r="X2">
        <f>W2-R2</f>
        <v>1.8999999999996362</v>
      </c>
    </row>
    <row r="3" spans="1:24">
      <c r="A3" s="190" t="s">
        <v>350</v>
      </c>
      <c r="B3" s="190" t="s">
        <v>883</v>
      </c>
      <c r="C3" s="190" t="s">
        <v>747</v>
      </c>
      <c r="D3" s="190" t="s">
        <v>392</v>
      </c>
      <c r="E3" s="382">
        <f>47+9</f>
        <v>56</v>
      </c>
      <c r="F3" s="191"/>
      <c r="G3" s="354">
        <f>2824+541</f>
        <v>3365</v>
      </c>
      <c r="H3" s="354"/>
      <c r="I3" s="190" t="s">
        <v>418</v>
      </c>
      <c r="J3" s="532">
        <v>170</v>
      </c>
      <c r="K3" s="518">
        <v>90510</v>
      </c>
      <c r="L3" s="359" t="s">
        <v>730</v>
      </c>
      <c r="M3" s="355" t="s">
        <v>782</v>
      </c>
      <c r="N3" s="533">
        <v>0.63</v>
      </c>
      <c r="O3" s="8">
        <f t="shared" ref="O3:O7" si="0">G3/60*J3*1.2</f>
        <v>11441.000000000002</v>
      </c>
      <c r="P3" s="944">
        <v>90510</v>
      </c>
      <c r="Q3" s="621">
        <v>70543</v>
      </c>
      <c r="R3" s="621">
        <v>3366.4</v>
      </c>
      <c r="S3" s="846">
        <v>46153</v>
      </c>
      <c r="T3" s="344">
        <v>56</v>
      </c>
      <c r="U3" s="344">
        <v>55</v>
      </c>
      <c r="V3" s="344">
        <v>56.6</v>
      </c>
      <c r="W3" s="344">
        <v>3356.6</v>
      </c>
      <c r="X3">
        <f t="shared" ref="X3:X7" si="1">W3-R3</f>
        <v>-9.8000000000001819</v>
      </c>
    </row>
    <row r="4" spans="1:24">
      <c r="A4" s="190" t="s">
        <v>350</v>
      </c>
      <c r="B4" s="190" t="s">
        <v>903</v>
      </c>
      <c r="C4" s="190" t="s">
        <v>236</v>
      </c>
      <c r="D4" s="190" t="s">
        <v>392</v>
      </c>
      <c r="E4" s="382">
        <v>30</v>
      </c>
      <c r="F4" s="191">
        <v>32</v>
      </c>
      <c r="G4" s="354">
        <f>1797+32</f>
        <v>1829</v>
      </c>
      <c r="H4" s="354"/>
      <c r="I4" s="190" t="s">
        <v>418</v>
      </c>
      <c r="J4" s="532">
        <v>170</v>
      </c>
      <c r="K4" s="518">
        <v>90510</v>
      </c>
      <c r="L4" s="357" t="s">
        <v>730</v>
      </c>
      <c r="M4" s="358" t="s">
        <v>782</v>
      </c>
      <c r="N4" s="533">
        <v>0.4</v>
      </c>
      <c r="O4" s="8">
        <f t="shared" si="0"/>
        <v>6218.6</v>
      </c>
      <c r="P4" s="944">
        <v>90510</v>
      </c>
      <c r="Q4" s="621">
        <v>70539</v>
      </c>
      <c r="R4" s="621">
        <v>1829.4</v>
      </c>
      <c r="S4" s="846">
        <v>46154</v>
      </c>
      <c r="T4" s="344">
        <v>31</v>
      </c>
      <c r="U4" s="344">
        <v>30</v>
      </c>
      <c r="V4" s="344">
        <v>40.1</v>
      </c>
      <c r="W4" s="344">
        <v>1840.1</v>
      </c>
      <c r="X4">
        <f t="shared" si="1"/>
        <v>10.699999999999818</v>
      </c>
    </row>
    <row r="5" spans="1:24">
      <c r="A5" s="363" t="s">
        <v>350</v>
      </c>
      <c r="B5" s="363" t="s">
        <v>886</v>
      </c>
      <c r="C5" s="363" t="s">
        <v>239</v>
      </c>
      <c r="D5" s="363" t="s">
        <v>392</v>
      </c>
      <c r="E5" s="383">
        <v>63</v>
      </c>
      <c r="F5" s="364">
        <v>49</v>
      </c>
      <c r="G5" s="365">
        <f>3783+49</f>
        <v>3832</v>
      </c>
      <c r="H5" s="365"/>
      <c r="I5" s="190" t="s">
        <v>418</v>
      </c>
      <c r="J5" s="532">
        <v>170</v>
      </c>
      <c r="K5" s="518">
        <v>90510</v>
      </c>
      <c r="L5" s="384" t="s">
        <v>730</v>
      </c>
      <c r="M5" s="361" t="s">
        <v>782</v>
      </c>
      <c r="N5" s="533">
        <v>0.51</v>
      </c>
      <c r="O5" s="8">
        <f t="shared" si="0"/>
        <v>13028.800000000001</v>
      </c>
      <c r="P5" s="944">
        <v>90510</v>
      </c>
      <c r="Q5" s="621">
        <v>70545</v>
      </c>
      <c r="R5" s="621">
        <v>3832.7</v>
      </c>
      <c r="S5" s="846">
        <v>46153</v>
      </c>
      <c r="T5" s="344">
        <v>64</v>
      </c>
      <c r="U5" s="344">
        <v>63</v>
      </c>
      <c r="V5" s="344">
        <v>59.4</v>
      </c>
      <c r="W5" s="344">
        <v>3839.4</v>
      </c>
      <c r="X5">
        <f t="shared" si="1"/>
        <v>6.7000000000002728</v>
      </c>
    </row>
    <row r="6" spans="1:24">
      <c r="A6" s="366" t="s">
        <v>745</v>
      </c>
      <c r="B6" s="14" t="s">
        <v>887</v>
      </c>
      <c r="C6" s="14" t="s">
        <v>233</v>
      </c>
      <c r="D6" s="14" t="s">
        <v>392</v>
      </c>
      <c r="E6" s="8">
        <v>26</v>
      </c>
      <c r="F6" s="14">
        <v>35</v>
      </c>
      <c r="G6" s="14">
        <v>1595</v>
      </c>
      <c r="H6" s="14"/>
      <c r="I6" s="190" t="s">
        <v>418</v>
      </c>
      <c r="J6" s="532">
        <v>170</v>
      </c>
      <c r="K6" s="518">
        <v>90510</v>
      </c>
      <c r="L6" s="384" t="s">
        <v>730</v>
      </c>
      <c r="M6" s="369" t="s">
        <v>401</v>
      </c>
      <c r="N6" s="534">
        <v>0.25</v>
      </c>
      <c r="O6" s="8">
        <f t="shared" si="0"/>
        <v>5422.9999999999991</v>
      </c>
      <c r="P6" s="944">
        <v>90510</v>
      </c>
      <c r="Q6" s="621">
        <v>70549</v>
      </c>
      <c r="R6" s="621">
        <v>1595.8</v>
      </c>
      <c r="S6" s="846">
        <v>46154</v>
      </c>
      <c r="T6" s="344">
        <v>27</v>
      </c>
      <c r="U6" s="344">
        <v>26</v>
      </c>
      <c r="V6" s="344">
        <v>39.700000000000003</v>
      </c>
      <c r="W6" s="344">
        <v>1599.7</v>
      </c>
      <c r="X6">
        <f t="shared" si="1"/>
        <v>3.9000000000000909</v>
      </c>
    </row>
    <row r="7" spans="1:24">
      <c r="A7" s="366" t="s">
        <v>745</v>
      </c>
      <c r="B7" s="14" t="s">
        <v>899</v>
      </c>
      <c r="C7" s="14" t="s">
        <v>243</v>
      </c>
      <c r="D7" s="14" t="s">
        <v>392</v>
      </c>
      <c r="E7" s="8">
        <v>11</v>
      </c>
      <c r="F7" s="14">
        <v>50</v>
      </c>
      <c r="G7" s="14">
        <v>708</v>
      </c>
      <c r="H7" s="14"/>
      <c r="I7" s="190" t="s">
        <v>418</v>
      </c>
      <c r="J7" s="532">
        <v>170</v>
      </c>
      <c r="K7" s="518">
        <v>90510</v>
      </c>
      <c r="L7" s="358" t="s">
        <v>730</v>
      </c>
      <c r="M7" s="14" t="s">
        <v>401</v>
      </c>
      <c r="N7" s="535">
        <v>0.3</v>
      </c>
      <c r="O7" s="8">
        <f t="shared" si="0"/>
        <v>2407.2000000000003</v>
      </c>
      <c r="P7" s="944">
        <v>90510</v>
      </c>
      <c r="Q7" s="621">
        <v>70551</v>
      </c>
      <c r="R7" s="621">
        <v>708.7</v>
      </c>
      <c r="S7" s="846">
        <v>46153</v>
      </c>
      <c r="T7" s="344">
        <v>12</v>
      </c>
      <c r="U7" s="344">
        <v>11</v>
      </c>
      <c r="V7" s="344">
        <v>53.2</v>
      </c>
      <c r="W7" s="344">
        <v>713.2</v>
      </c>
      <c r="X7">
        <f t="shared" si="1"/>
        <v>4.5</v>
      </c>
    </row>
    <row r="8" spans="1:24">
      <c r="A8" s="385" t="s">
        <v>13</v>
      </c>
      <c r="E8" s="386">
        <f>G8/60</f>
        <v>258.33333333333331</v>
      </c>
      <c r="F8" s="387"/>
      <c r="G8" s="388">
        <f>SUM(G2:G7)</f>
        <v>15500</v>
      </c>
      <c r="H8" s="196"/>
      <c r="K8" s="198"/>
      <c r="L8" s="198"/>
      <c r="N8" s="389">
        <f>AVERAGE(N2:N7)</f>
        <v>0.42833333333333323</v>
      </c>
      <c r="O8" s="536">
        <f>SUM(O2:O7)</f>
        <v>52700</v>
      </c>
      <c r="P8" s="16"/>
      <c r="R8">
        <f>SUM(R2:R7)</f>
        <v>15504.099999999999</v>
      </c>
      <c r="X8">
        <f>SUM(X4:X7)</f>
        <v>25.800000000000182</v>
      </c>
    </row>
    <row r="11" spans="1:24">
      <c r="E11" s="297" t="s">
        <v>1198</v>
      </c>
    </row>
    <row r="13" spans="1:24">
      <c r="U13">
        <f>SUM(U3:U12)</f>
        <v>185</v>
      </c>
    </row>
    <row r="16" spans="1:24">
      <c r="U16">
        <f>SUM(U14:U15)</f>
        <v>0</v>
      </c>
    </row>
    <row r="23" spans="8:8">
      <c r="H23" t="s">
        <v>1375</v>
      </c>
    </row>
    <row r="24" spans="8:8">
      <c r="H24">
        <v>350</v>
      </c>
    </row>
    <row r="29" spans="8:8">
      <c r="H29" t="s">
        <v>401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A37-5A31-4F0C-B467-09425350F243}">
  <dimension ref="A1:W63"/>
  <sheetViews>
    <sheetView zoomScale="85" zoomScaleNormal="85" workbookViewId="0">
      <selection activeCell="I25" sqref="I25"/>
    </sheetView>
  </sheetViews>
  <sheetFormatPr defaultColWidth="8.81640625" defaultRowHeight="16"/>
  <cols>
    <col min="1" max="1" width="17.54296875" style="293" customWidth="1"/>
    <col min="2" max="2" width="22.453125" style="293" customWidth="1"/>
    <col min="3" max="3" width="21.1796875" style="293" customWidth="1"/>
    <col min="4" max="4" width="13.1796875" style="293" customWidth="1"/>
    <col min="5" max="5" width="8.81640625" style="293"/>
    <col min="6" max="6" width="17.1796875" style="293" customWidth="1"/>
    <col min="7" max="8" width="15" style="293" customWidth="1"/>
    <col min="9" max="9" width="21.36328125" style="293" bestFit="1" customWidth="1"/>
    <col min="10" max="10" width="15.08984375" style="293" bestFit="1" customWidth="1"/>
    <col min="11" max="11" width="16.08984375" style="293" bestFit="1" customWidth="1"/>
    <col min="12" max="12" width="13.81640625" style="817" customWidth="1"/>
    <col min="13" max="13" width="16" style="293" customWidth="1"/>
    <col min="14" max="14" width="22.453125" style="293" customWidth="1"/>
    <col min="15" max="15" width="15.1796875" style="293" customWidth="1"/>
    <col min="16" max="16" width="34.81640625" style="866" customWidth="1"/>
    <col min="17" max="17" width="19.1796875" style="293" customWidth="1"/>
    <col min="18" max="18" width="15.453125" style="293" customWidth="1"/>
    <col min="19" max="19" width="13.453125" style="293" bestFit="1" customWidth="1"/>
    <col min="20" max="20" width="13.1796875" style="293" bestFit="1" customWidth="1"/>
    <col min="21" max="21" width="12.453125" style="293" bestFit="1" customWidth="1"/>
    <col min="22" max="22" width="11.81640625" style="293" bestFit="1" customWidth="1"/>
    <col min="23" max="23" width="16" style="293" bestFit="1" customWidth="1"/>
    <col min="24" max="16384" width="8.81640625" style="293"/>
  </cols>
  <sheetData>
    <row r="1" spans="1:23" ht="16.5" thickBot="1">
      <c r="P1" s="866" t="s">
        <v>158</v>
      </c>
      <c r="Q1" s="293">
        <v>283</v>
      </c>
    </row>
    <row r="2" spans="1:23" ht="31.5" thickBot="1">
      <c r="A2" s="780" t="s">
        <v>343</v>
      </c>
      <c r="B2" s="781" t="s">
        <v>22</v>
      </c>
      <c r="C2" s="781" t="s">
        <v>344</v>
      </c>
      <c r="D2" s="781" t="s">
        <v>23</v>
      </c>
      <c r="E2" s="781" t="s">
        <v>24</v>
      </c>
      <c r="F2" s="781" t="s">
        <v>39</v>
      </c>
      <c r="G2" s="781" t="s">
        <v>486</v>
      </c>
      <c r="H2" s="806"/>
      <c r="I2" s="806" t="s">
        <v>1206</v>
      </c>
      <c r="J2" s="806" t="s">
        <v>814</v>
      </c>
      <c r="K2" s="809" t="s">
        <v>163</v>
      </c>
      <c r="L2" s="812" t="s">
        <v>541</v>
      </c>
      <c r="M2" s="822" t="s">
        <v>26</v>
      </c>
      <c r="N2" s="822" t="s">
        <v>348</v>
      </c>
      <c r="O2" s="787" t="s">
        <v>1128</v>
      </c>
      <c r="P2" s="620" t="s">
        <v>405</v>
      </c>
      <c r="Q2" s="620" t="s">
        <v>406</v>
      </c>
      <c r="R2" s="655" t="s">
        <v>1145</v>
      </c>
      <c r="S2" s="221" t="s">
        <v>705</v>
      </c>
      <c r="T2" s="221" t="s">
        <v>706</v>
      </c>
      <c r="U2" s="221" t="s">
        <v>704</v>
      </c>
      <c r="V2" s="221" t="s">
        <v>707</v>
      </c>
      <c r="W2" s="293" t="s">
        <v>244</v>
      </c>
    </row>
    <row r="3" spans="1:23" ht="16.5" thickBot="1">
      <c r="A3" s="782" t="s">
        <v>350</v>
      </c>
      <c r="B3" s="783" t="s">
        <v>869</v>
      </c>
      <c r="C3" s="783" t="s">
        <v>241</v>
      </c>
      <c r="D3" s="783" t="s">
        <v>391</v>
      </c>
      <c r="E3" s="784">
        <v>5</v>
      </c>
      <c r="F3" s="784">
        <v>42</v>
      </c>
      <c r="G3" s="784">
        <v>342</v>
      </c>
      <c r="H3" s="1112"/>
      <c r="I3" s="940">
        <v>90510</v>
      </c>
      <c r="J3" s="791" t="s">
        <v>418</v>
      </c>
      <c r="K3" s="810"/>
      <c r="L3" s="813">
        <v>240</v>
      </c>
      <c r="M3" s="796" t="s">
        <v>799</v>
      </c>
      <c r="N3" s="797" t="s">
        <v>894</v>
      </c>
      <c r="O3" s="821">
        <f>G3/60*L3*1.2</f>
        <v>1641.6</v>
      </c>
      <c r="P3" s="867">
        <v>70584</v>
      </c>
      <c r="Q3" s="823">
        <v>342.5</v>
      </c>
      <c r="R3" s="913">
        <v>46163</v>
      </c>
      <c r="S3" s="914">
        <v>6</v>
      </c>
      <c r="T3" s="914">
        <v>5</v>
      </c>
      <c r="U3" s="914">
        <v>40.6</v>
      </c>
      <c r="V3" s="914">
        <v>340.6</v>
      </c>
      <c r="W3" s="293">
        <f>V3-Q3</f>
        <v>-1.8999999999999773</v>
      </c>
    </row>
    <row r="4" spans="1:23" ht="16.5" thickBot="1">
      <c r="A4" s="792" t="s">
        <v>350</v>
      </c>
      <c r="B4" s="793" t="s">
        <v>1170</v>
      </c>
      <c r="C4" s="793" t="s">
        <v>238</v>
      </c>
      <c r="D4" s="793" t="s">
        <v>391</v>
      </c>
      <c r="E4" s="794">
        <v>197</v>
      </c>
      <c r="F4" s="793">
        <v>32</v>
      </c>
      <c r="G4" s="794">
        <v>11869</v>
      </c>
      <c r="H4" s="1113"/>
      <c r="I4" s="940">
        <v>90510</v>
      </c>
      <c r="J4" s="795" t="s">
        <v>418</v>
      </c>
      <c r="K4" s="811"/>
      <c r="L4" s="814">
        <v>240</v>
      </c>
      <c r="M4" s="796" t="s">
        <v>799</v>
      </c>
      <c r="N4" s="797" t="s">
        <v>421</v>
      </c>
      <c r="O4" s="821">
        <f t="shared" ref="O4:O30" si="0">G4/60*L4*1.2</f>
        <v>56971.199999999997</v>
      </c>
      <c r="P4" s="868">
        <v>70585</v>
      </c>
      <c r="Q4" s="825">
        <v>11870.7</v>
      </c>
      <c r="R4" s="913">
        <v>46163</v>
      </c>
      <c r="S4" s="914">
        <v>198</v>
      </c>
      <c r="T4" s="914">
        <v>197</v>
      </c>
      <c r="U4" s="914">
        <v>59.8</v>
      </c>
      <c r="V4" s="914">
        <v>11879.8</v>
      </c>
      <c r="W4" s="293">
        <f t="shared" ref="W4:W11" si="1">V4-Q4</f>
        <v>9.0999999999985448</v>
      </c>
    </row>
    <row r="5" spans="1:23" ht="16.5" thickBot="1">
      <c r="A5" s="782" t="s">
        <v>350</v>
      </c>
      <c r="B5" s="783" t="s">
        <v>1171</v>
      </c>
      <c r="C5" s="783" t="s">
        <v>239</v>
      </c>
      <c r="D5" s="783" t="s">
        <v>391</v>
      </c>
      <c r="E5" s="784">
        <v>201</v>
      </c>
      <c r="F5" s="784">
        <v>24</v>
      </c>
      <c r="G5" s="784">
        <v>12116</v>
      </c>
      <c r="H5" s="1112"/>
      <c r="I5" s="940">
        <v>90510</v>
      </c>
      <c r="J5" s="791" t="s">
        <v>418</v>
      </c>
      <c r="K5" s="810"/>
      <c r="L5" s="813">
        <v>240</v>
      </c>
      <c r="M5" s="796" t="s">
        <v>799</v>
      </c>
      <c r="N5" s="797" t="s">
        <v>401</v>
      </c>
      <c r="O5" s="821">
        <f t="shared" si="0"/>
        <v>58156.799999999996</v>
      </c>
      <c r="P5" s="867">
        <v>70587</v>
      </c>
      <c r="Q5" s="823">
        <v>12116.5</v>
      </c>
      <c r="R5" s="913">
        <v>46163</v>
      </c>
      <c r="S5" s="914">
        <v>202</v>
      </c>
      <c r="T5" s="914">
        <v>201</v>
      </c>
      <c r="U5" s="914">
        <v>39.200000000000003</v>
      </c>
      <c r="V5" s="914">
        <v>12099.2</v>
      </c>
      <c r="W5" s="293">
        <f t="shared" si="1"/>
        <v>-17.299999999999272</v>
      </c>
    </row>
    <row r="6" spans="1:23" ht="16.5" thickBot="1">
      <c r="A6" s="782" t="s">
        <v>350</v>
      </c>
      <c r="B6" s="783" t="s">
        <v>866</v>
      </c>
      <c r="C6" s="783" t="s">
        <v>242</v>
      </c>
      <c r="D6" s="783" t="s">
        <v>391</v>
      </c>
      <c r="E6" s="784">
        <v>18</v>
      </c>
      <c r="F6" s="784">
        <v>39</v>
      </c>
      <c r="G6" s="784">
        <v>1120</v>
      </c>
      <c r="H6" s="1112"/>
      <c r="I6" s="940">
        <v>90510</v>
      </c>
      <c r="J6" s="791" t="s">
        <v>418</v>
      </c>
      <c r="K6" s="810"/>
      <c r="L6" s="813">
        <v>240</v>
      </c>
      <c r="M6" s="796" t="s">
        <v>799</v>
      </c>
      <c r="N6" s="797" t="s">
        <v>894</v>
      </c>
      <c r="O6" s="821">
        <f t="shared" si="0"/>
        <v>5376</v>
      </c>
      <c r="P6" s="867">
        <v>70588</v>
      </c>
      <c r="Q6" s="823">
        <v>1120.4000000000001</v>
      </c>
      <c r="R6" s="913">
        <v>46162</v>
      </c>
      <c r="S6" s="914">
        <v>19</v>
      </c>
      <c r="T6" s="914">
        <v>18</v>
      </c>
      <c r="U6" s="914">
        <v>36.9</v>
      </c>
      <c r="V6" s="914">
        <v>1116.9000000000001</v>
      </c>
      <c r="W6" s="293">
        <f t="shared" si="1"/>
        <v>-3.5</v>
      </c>
    </row>
    <row r="7" spans="1:23" ht="16.5" thickBot="1">
      <c r="A7" s="782" t="s">
        <v>350</v>
      </c>
      <c r="B7" s="783" t="s">
        <v>1172</v>
      </c>
      <c r="C7" s="783" t="s">
        <v>233</v>
      </c>
      <c r="D7" s="783" t="s">
        <v>391</v>
      </c>
      <c r="E7" s="784">
        <v>216</v>
      </c>
      <c r="F7" s="784">
        <v>47</v>
      </c>
      <c r="G7" s="784">
        <v>13014</v>
      </c>
      <c r="H7" s="1112"/>
      <c r="I7" s="940">
        <v>90510</v>
      </c>
      <c r="J7" s="791" t="s">
        <v>418</v>
      </c>
      <c r="K7" s="810"/>
      <c r="L7" s="815">
        <v>240</v>
      </c>
      <c r="M7" s="293" t="s">
        <v>440</v>
      </c>
      <c r="N7" s="799" t="s">
        <v>889</v>
      </c>
      <c r="O7" s="821">
        <f t="shared" si="0"/>
        <v>62467.199999999997</v>
      </c>
      <c r="P7" s="867">
        <v>70589</v>
      </c>
      <c r="Q7" s="823">
        <v>13015.3</v>
      </c>
      <c r="R7" s="913">
        <v>46162</v>
      </c>
      <c r="S7" s="914">
        <v>217</v>
      </c>
      <c r="T7" s="914">
        <v>216</v>
      </c>
      <c r="U7" s="914">
        <v>32.700000000000003</v>
      </c>
      <c r="V7" s="914">
        <v>12992.7</v>
      </c>
      <c r="W7" s="293">
        <f t="shared" si="1"/>
        <v>-22.599999999998545</v>
      </c>
    </row>
    <row r="8" spans="1:23" ht="16.5" thickBot="1">
      <c r="A8" s="782" t="s">
        <v>350</v>
      </c>
      <c r="B8" s="783" t="s">
        <v>892</v>
      </c>
      <c r="C8" s="783" t="s">
        <v>1173</v>
      </c>
      <c r="D8" s="783" t="s">
        <v>391</v>
      </c>
      <c r="E8" s="784">
        <v>10</v>
      </c>
      <c r="F8" s="784">
        <v>10</v>
      </c>
      <c r="G8" s="784">
        <v>611</v>
      </c>
      <c r="H8" s="1112"/>
      <c r="I8" s="940">
        <v>90510</v>
      </c>
      <c r="J8" s="791" t="s">
        <v>418</v>
      </c>
      <c r="K8" s="810"/>
      <c r="L8" s="813">
        <v>240</v>
      </c>
      <c r="M8" s="796" t="s">
        <v>799</v>
      </c>
      <c r="N8" s="797" t="s">
        <v>894</v>
      </c>
      <c r="O8" s="821">
        <f t="shared" si="0"/>
        <v>2932.7999999999997</v>
      </c>
      <c r="P8" s="867">
        <v>70590</v>
      </c>
      <c r="Q8" s="823">
        <v>611</v>
      </c>
      <c r="R8" s="913">
        <v>46162</v>
      </c>
      <c r="S8" s="914">
        <v>11</v>
      </c>
      <c r="T8" s="914">
        <v>10</v>
      </c>
      <c r="U8" s="914">
        <v>9.1</v>
      </c>
      <c r="V8" s="914">
        <v>609.1</v>
      </c>
      <c r="W8" s="293">
        <f t="shared" si="1"/>
        <v>-1.8999999999999773</v>
      </c>
    </row>
    <row r="9" spans="1:23" ht="16.5" thickBot="1">
      <c r="A9" s="782" t="s">
        <v>350</v>
      </c>
      <c r="B9" s="783" t="s">
        <v>903</v>
      </c>
      <c r="C9" s="783" t="s">
        <v>236</v>
      </c>
      <c r="D9" s="783" t="s">
        <v>391</v>
      </c>
      <c r="E9" s="784">
        <v>119</v>
      </c>
      <c r="F9" s="784">
        <v>57</v>
      </c>
      <c r="G9" s="784">
        <v>7187</v>
      </c>
      <c r="H9" s="1112"/>
      <c r="I9" s="940">
        <v>90510</v>
      </c>
      <c r="J9" s="791" t="s">
        <v>418</v>
      </c>
      <c r="K9" s="810"/>
      <c r="L9" s="813">
        <v>240</v>
      </c>
      <c r="M9" s="800" t="s">
        <v>799</v>
      </c>
      <c r="N9" s="798" t="s">
        <v>775</v>
      </c>
      <c r="O9" s="821">
        <f t="shared" si="0"/>
        <v>34497.599999999999</v>
      </c>
      <c r="P9" s="867">
        <v>70591</v>
      </c>
      <c r="Q9" s="823">
        <v>7187.9</v>
      </c>
      <c r="R9" s="913">
        <v>46167</v>
      </c>
      <c r="S9" s="914">
        <v>120</v>
      </c>
      <c r="T9" s="914">
        <v>120</v>
      </c>
      <c r="U9" s="914">
        <v>19</v>
      </c>
      <c r="V9" s="914">
        <v>7219</v>
      </c>
      <c r="W9" s="293">
        <f t="shared" si="1"/>
        <v>31.100000000000364</v>
      </c>
    </row>
    <row r="10" spans="1:23" ht="16.5" thickBot="1">
      <c r="A10" s="782" t="s">
        <v>350</v>
      </c>
      <c r="B10" s="783" t="s">
        <v>1174</v>
      </c>
      <c r="C10" s="783" t="s">
        <v>1175</v>
      </c>
      <c r="D10" s="783" t="s">
        <v>391</v>
      </c>
      <c r="E10" s="784">
        <v>198</v>
      </c>
      <c r="F10" s="784">
        <v>57</v>
      </c>
      <c r="G10" s="784">
        <v>11944</v>
      </c>
      <c r="H10" s="1112"/>
      <c r="I10" s="940">
        <v>90510</v>
      </c>
      <c r="J10" s="791" t="s">
        <v>418</v>
      </c>
      <c r="K10" s="810"/>
      <c r="L10" s="813">
        <v>240</v>
      </c>
      <c r="M10" s="801" t="s">
        <v>799</v>
      </c>
      <c r="N10" s="802" t="s">
        <v>1176</v>
      </c>
      <c r="O10" s="821">
        <f t="shared" si="0"/>
        <v>57331.199999999997</v>
      </c>
      <c r="P10" s="867">
        <v>70592</v>
      </c>
      <c r="Q10" s="823">
        <v>11945.6</v>
      </c>
      <c r="R10" s="913">
        <v>46160</v>
      </c>
      <c r="S10" s="914">
        <v>199</v>
      </c>
      <c r="T10" s="914">
        <v>199</v>
      </c>
      <c r="U10" s="914">
        <v>30.9</v>
      </c>
      <c r="V10" s="914">
        <v>11970.9</v>
      </c>
      <c r="W10" s="293">
        <f t="shared" si="1"/>
        <v>25.299999999999272</v>
      </c>
    </row>
    <row r="11" spans="1:23" ht="16.5" thickBot="1">
      <c r="A11" s="782" t="s">
        <v>350</v>
      </c>
      <c r="B11" s="783" t="s">
        <v>1177</v>
      </c>
      <c r="C11" s="783" t="s">
        <v>1175</v>
      </c>
      <c r="D11" s="783" t="s">
        <v>391</v>
      </c>
      <c r="E11" s="784">
        <v>172</v>
      </c>
      <c r="F11" s="784">
        <v>25</v>
      </c>
      <c r="G11" s="784">
        <v>10307</v>
      </c>
      <c r="H11" s="1112"/>
      <c r="I11" s="940">
        <v>90510</v>
      </c>
      <c r="J11" s="791" t="s">
        <v>418</v>
      </c>
      <c r="K11" s="810"/>
      <c r="L11" s="813">
        <v>240</v>
      </c>
      <c r="M11" s="796" t="s">
        <v>799</v>
      </c>
      <c r="N11" s="797" t="s">
        <v>1178</v>
      </c>
      <c r="O11" s="821">
        <f t="shared" si="0"/>
        <v>49473.599999999999</v>
      </c>
      <c r="P11" s="867">
        <v>70593</v>
      </c>
      <c r="Q11" s="823">
        <v>10307.6</v>
      </c>
      <c r="R11" s="913">
        <v>46162</v>
      </c>
      <c r="S11" s="914">
        <v>173</v>
      </c>
      <c r="T11" s="914">
        <v>171</v>
      </c>
      <c r="U11" s="914">
        <v>53.3</v>
      </c>
      <c r="V11" s="914">
        <v>10313.299999999999</v>
      </c>
      <c r="W11" s="293">
        <f t="shared" si="1"/>
        <v>5.6999999999989086</v>
      </c>
    </row>
    <row r="12" spans="1:23" ht="16.5" thickBot="1">
      <c r="A12" s="853" t="s">
        <v>350</v>
      </c>
      <c r="B12" s="854" t="s">
        <v>883</v>
      </c>
      <c r="C12" s="854" t="s">
        <v>239</v>
      </c>
      <c r="D12" s="854" t="s">
        <v>391</v>
      </c>
      <c r="E12" s="855">
        <v>150</v>
      </c>
      <c r="F12" s="855">
        <v>0</v>
      </c>
      <c r="G12" s="855">
        <v>9025</v>
      </c>
      <c r="H12" s="1114"/>
      <c r="I12" s="940">
        <v>90510</v>
      </c>
      <c r="J12" s="856" t="s">
        <v>418</v>
      </c>
      <c r="K12" s="857"/>
      <c r="L12" s="858">
        <v>240</v>
      </c>
      <c r="M12" s="859" t="s">
        <v>799</v>
      </c>
      <c r="N12" s="860" t="s">
        <v>1191</v>
      </c>
      <c r="O12" s="861">
        <f t="shared" si="0"/>
        <v>43320</v>
      </c>
      <c r="P12" s="869">
        <v>70612</v>
      </c>
      <c r="Q12" s="862">
        <v>9026.6</v>
      </c>
      <c r="R12" s="915">
        <v>46171</v>
      </c>
      <c r="S12" s="916">
        <v>137</v>
      </c>
      <c r="T12" s="916">
        <v>137</v>
      </c>
      <c r="U12" s="916">
        <v>12.7</v>
      </c>
      <c r="V12" s="916">
        <v>8232.7000000000007</v>
      </c>
      <c r="W12" s="910" t="s">
        <v>1200</v>
      </c>
    </row>
    <row r="13" spans="1:23" ht="16.5" thickBot="1">
      <c r="A13" s="853" t="s">
        <v>350</v>
      </c>
      <c r="B13" s="854" t="s">
        <v>377</v>
      </c>
      <c r="C13" s="854" t="s">
        <v>233</v>
      </c>
      <c r="D13" s="854" t="s">
        <v>46</v>
      </c>
      <c r="E13" s="855">
        <v>4</v>
      </c>
      <c r="F13" s="855">
        <v>36</v>
      </c>
      <c r="G13" s="855">
        <v>274</v>
      </c>
      <c r="H13" s="1114"/>
      <c r="I13" s="940">
        <v>90510</v>
      </c>
      <c r="J13" s="856" t="s">
        <v>418</v>
      </c>
      <c r="K13" s="857"/>
      <c r="L13" s="858">
        <v>247</v>
      </c>
      <c r="M13" s="859" t="s">
        <v>63</v>
      </c>
      <c r="N13" s="860"/>
      <c r="O13" s="861">
        <f t="shared" si="0"/>
        <v>1353.56</v>
      </c>
      <c r="P13" s="869">
        <v>70517</v>
      </c>
      <c r="Q13" s="862">
        <v>274.60000000000002</v>
      </c>
      <c r="R13" s="913">
        <v>46171</v>
      </c>
      <c r="S13" s="914">
        <v>5</v>
      </c>
      <c r="T13" s="914">
        <v>4</v>
      </c>
      <c r="U13" s="914">
        <f>SUM(U3:U12)</f>
        <v>334.20000000000005</v>
      </c>
      <c r="V13" s="914">
        <v>277.5</v>
      </c>
      <c r="W13" s="293">
        <f>V13-Q13</f>
        <v>2.8999999999999773</v>
      </c>
    </row>
    <row r="14" spans="1:23" ht="16.5" thickBot="1">
      <c r="A14" s="782" t="s">
        <v>350</v>
      </c>
      <c r="B14" s="783" t="s">
        <v>869</v>
      </c>
      <c r="C14" s="783" t="s">
        <v>241</v>
      </c>
      <c r="D14" s="783" t="s">
        <v>392</v>
      </c>
      <c r="E14" s="784">
        <v>11</v>
      </c>
      <c r="F14" s="783">
        <v>40</v>
      </c>
      <c r="G14" s="784">
        <v>700</v>
      </c>
      <c r="H14" s="1112"/>
      <c r="I14" s="940">
        <v>90510</v>
      </c>
      <c r="J14" s="791" t="s">
        <v>418</v>
      </c>
      <c r="K14" s="810"/>
      <c r="L14" s="813">
        <v>150</v>
      </c>
      <c r="M14" s="797" t="s">
        <v>442</v>
      </c>
      <c r="N14" s="803" t="s">
        <v>401</v>
      </c>
      <c r="O14" s="821">
        <f t="shared" si="0"/>
        <v>2100</v>
      </c>
      <c r="P14" s="868">
        <v>70594</v>
      </c>
      <c r="Q14" s="825">
        <v>700.9</v>
      </c>
      <c r="R14" s="913">
        <v>46163</v>
      </c>
      <c r="S14" s="914">
        <v>12</v>
      </c>
      <c r="T14" s="914">
        <v>11</v>
      </c>
      <c r="U14" s="914">
        <v>43.2</v>
      </c>
      <c r="V14" s="914">
        <v>703.2</v>
      </c>
      <c r="W14" s="293">
        <f t="shared" ref="W14:W30" si="2">V14-Q14</f>
        <v>2.3000000000000682</v>
      </c>
    </row>
    <row r="15" spans="1:23" ht="16.5" thickBot="1">
      <c r="A15" s="782" t="s">
        <v>350</v>
      </c>
      <c r="B15" s="783" t="s">
        <v>1170</v>
      </c>
      <c r="C15" s="783" t="s">
        <v>238</v>
      </c>
      <c r="D15" s="783" t="s">
        <v>392</v>
      </c>
      <c r="E15" s="784">
        <v>15</v>
      </c>
      <c r="F15" s="784">
        <v>40</v>
      </c>
      <c r="G15" s="784">
        <v>941</v>
      </c>
      <c r="H15" s="1112"/>
      <c r="I15" s="940">
        <v>90510</v>
      </c>
      <c r="J15" s="791" t="s">
        <v>418</v>
      </c>
      <c r="K15" s="810"/>
      <c r="L15" s="813">
        <v>150</v>
      </c>
      <c r="M15" s="797" t="s">
        <v>355</v>
      </c>
      <c r="N15" s="803" t="s">
        <v>401</v>
      </c>
      <c r="O15" s="821">
        <f t="shared" si="0"/>
        <v>2823</v>
      </c>
      <c r="P15" s="867">
        <v>70596</v>
      </c>
      <c r="Q15" s="823">
        <v>941.3</v>
      </c>
      <c r="R15" s="913">
        <v>46162</v>
      </c>
      <c r="S15" s="914">
        <v>16</v>
      </c>
      <c r="T15" s="914">
        <v>15</v>
      </c>
      <c r="U15" s="914">
        <v>39.6</v>
      </c>
      <c r="V15" s="914">
        <v>939.6</v>
      </c>
      <c r="W15" s="293">
        <f t="shared" si="2"/>
        <v>-1.6999999999999318</v>
      </c>
    </row>
    <row r="16" spans="1:23" ht="16.5" thickBot="1">
      <c r="A16" s="782" t="s">
        <v>350</v>
      </c>
      <c r="B16" s="783" t="s">
        <v>895</v>
      </c>
      <c r="C16" s="783" t="s">
        <v>234</v>
      </c>
      <c r="D16" s="783" t="s">
        <v>392</v>
      </c>
      <c r="E16" s="784">
        <v>12</v>
      </c>
      <c r="F16" s="783"/>
      <c r="G16" s="784">
        <v>720</v>
      </c>
      <c r="H16" s="1112"/>
      <c r="I16" s="940">
        <v>90510</v>
      </c>
      <c r="J16" s="791" t="s">
        <v>418</v>
      </c>
      <c r="K16" s="810"/>
      <c r="L16" s="813">
        <v>150</v>
      </c>
      <c r="M16" s="797" t="s">
        <v>355</v>
      </c>
      <c r="N16" s="803" t="s">
        <v>401</v>
      </c>
      <c r="O16" s="821">
        <f t="shared" si="0"/>
        <v>2160</v>
      </c>
      <c r="P16" s="867">
        <v>70597</v>
      </c>
      <c r="Q16" s="823">
        <v>720.2</v>
      </c>
      <c r="R16" s="913">
        <v>46163</v>
      </c>
      <c r="S16" s="914">
        <v>12</v>
      </c>
      <c r="T16" s="914">
        <v>12</v>
      </c>
      <c r="U16" s="914">
        <f>SUM(U14:U15)</f>
        <v>82.800000000000011</v>
      </c>
      <c r="V16" s="914">
        <v>720.2</v>
      </c>
    </row>
    <row r="17" spans="1:23" ht="16.5" thickBot="1">
      <c r="A17" s="782" t="s">
        <v>350</v>
      </c>
      <c r="B17" s="783" t="s">
        <v>890</v>
      </c>
      <c r="C17" s="783" t="s">
        <v>234</v>
      </c>
      <c r="D17" s="783" t="s">
        <v>392</v>
      </c>
      <c r="E17" s="784">
        <v>20</v>
      </c>
      <c r="F17" s="784">
        <v>68</v>
      </c>
      <c r="G17" s="784">
        <v>1262</v>
      </c>
      <c r="H17" s="1112"/>
      <c r="I17" s="940">
        <v>90510</v>
      </c>
      <c r="J17" s="791" t="s">
        <v>418</v>
      </c>
      <c r="K17" s="810"/>
      <c r="L17" s="813">
        <v>150</v>
      </c>
      <c r="M17" s="797" t="s">
        <v>355</v>
      </c>
      <c r="N17" s="803" t="s">
        <v>401</v>
      </c>
      <c r="O17" s="821">
        <f t="shared" si="0"/>
        <v>3786.0000000000005</v>
      </c>
      <c r="P17" s="867">
        <v>70598</v>
      </c>
      <c r="Q17" s="823">
        <v>1262.5999999999999</v>
      </c>
      <c r="R17" s="913">
        <v>46167</v>
      </c>
      <c r="S17" s="914">
        <v>21</v>
      </c>
      <c r="T17" s="914">
        <v>21</v>
      </c>
      <c r="U17" s="914">
        <v>7.1</v>
      </c>
      <c r="V17" s="914">
        <v>1267.0999999999999</v>
      </c>
      <c r="W17" s="293">
        <f t="shared" si="2"/>
        <v>4.5</v>
      </c>
    </row>
    <row r="18" spans="1:23" ht="16.5" thickBot="1">
      <c r="A18" s="782" t="s">
        <v>350</v>
      </c>
      <c r="B18" s="783" t="s">
        <v>878</v>
      </c>
      <c r="C18" s="783" t="s">
        <v>240</v>
      </c>
      <c r="D18" s="783" t="s">
        <v>392</v>
      </c>
      <c r="E18" s="784">
        <v>8</v>
      </c>
      <c r="F18" s="783"/>
      <c r="G18" s="784">
        <v>479</v>
      </c>
      <c r="H18" s="1112"/>
      <c r="I18" s="940">
        <v>90510</v>
      </c>
      <c r="J18" s="791" t="s">
        <v>418</v>
      </c>
      <c r="K18" s="810"/>
      <c r="L18" s="813">
        <v>150</v>
      </c>
      <c r="M18" s="797" t="s">
        <v>355</v>
      </c>
      <c r="N18" s="803" t="s">
        <v>401</v>
      </c>
      <c r="O18" s="821">
        <f t="shared" si="0"/>
        <v>1437</v>
      </c>
      <c r="P18" s="867">
        <v>70599</v>
      </c>
      <c r="Q18" s="823">
        <v>479.2</v>
      </c>
      <c r="R18" s="913">
        <v>46163</v>
      </c>
      <c r="S18" s="914">
        <v>8</v>
      </c>
      <c r="T18" s="914">
        <v>7</v>
      </c>
      <c r="U18" s="914">
        <v>58.8</v>
      </c>
      <c r="V18" s="914">
        <v>478.8</v>
      </c>
      <c r="W18" s="293">
        <f t="shared" si="2"/>
        <v>-0.39999999999997726</v>
      </c>
    </row>
    <row r="19" spans="1:23" ht="16.5" thickBot="1">
      <c r="A19" s="782" t="s">
        <v>350</v>
      </c>
      <c r="B19" s="783" t="s">
        <v>891</v>
      </c>
      <c r="C19" s="783" t="s">
        <v>240</v>
      </c>
      <c r="D19" s="783" t="s">
        <v>392</v>
      </c>
      <c r="E19" s="784">
        <v>8</v>
      </c>
      <c r="F19" s="784">
        <v>58</v>
      </c>
      <c r="G19" s="784">
        <v>538</v>
      </c>
      <c r="H19" s="1112"/>
      <c r="I19" s="940"/>
      <c r="J19" s="791" t="s">
        <v>418</v>
      </c>
      <c r="K19" s="810"/>
      <c r="L19" s="813">
        <v>150</v>
      </c>
      <c r="M19" s="796" t="s">
        <v>355</v>
      </c>
      <c r="N19" s="797" t="s">
        <v>401</v>
      </c>
      <c r="O19" s="821">
        <f t="shared" si="0"/>
        <v>1614</v>
      </c>
      <c r="P19" s="867">
        <v>70600</v>
      </c>
      <c r="Q19" s="823">
        <v>538.4</v>
      </c>
      <c r="R19" s="913">
        <v>46167</v>
      </c>
      <c r="S19" s="914">
        <v>9</v>
      </c>
      <c r="T19" s="914">
        <v>9</v>
      </c>
      <c r="U19" s="914">
        <v>0.9</v>
      </c>
      <c r="V19" s="914">
        <v>540.9</v>
      </c>
      <c r="W19" s="293">
        <f t="shared" si="2"/>
        <v>2.5</v>
      </c>
    </row>
    <row r="20" spans="1:23" ht="16.5" thickBot="1">
      <c r="A20" s="782" t="s">
        <v>350</v>
      </c>
      <c r="B20" s="783" t="s">
        <v>1171</v>
      </c>
      <c r="C20" s="783" t="s">
        <v>239</v>
      </c>
      <c r="D20" s="783" t="s">
        <v>392</v>
      </c>
      <c r="E20" s="784">
        <v>15</v>
      </c>
      <c r="F20" s="783"/>
      <c r="G20" s="784">
        <v>900</v>
      </c>
      <c r="H20" s="1112"/>
      <c r="I20" s="940"/>
      <c r="J20" s="791" t="s">
        <v>418</v>
      </c>
      <c r="K20" s="810"/>
      <c r="L20" s="813">
        <v>150</v>
      </c>
      <c r="M20" s="796" t="s">
        <v>730</v>
      </c>
      <c r="N20" s="797" t="s">
        <v>782</v>
      </c>
      <c r="O20" s="821">
        <f t="shared" si="0"/>
        <v>2700</v>
      </c>
      <c r="P20" s="867">
        <v>70601</v>
      </c>
      <c r="Q20" s="823">
        <v>900.9</v>
      </c>
      <c r="R20" s="913">
        <v>46171</v>
      </c>
      <c r="S20" s="914">
        <v>15</v>
      </c>
      <c r="T20" s="914">
        <v>14</v>
      </c>
      <c r="U20" s="914">
        <v>56.5</v>
      </c>
      <c r="V20" s="914">
        <v>896.5</v>
      </c>
      <c r="W20" s="293">
        <f t="shared" si="2"/>
        <v>-4.3999999999999773</v>
      </c>
    </row>
    <row r="21" spans="1:23" ht="16.5" thickBot="1">
      <c r="A21" s="782" t="s">
        <v>350</v>
      </c>
      <c r="B21" s="783" t="s">
        <v>875</v>
      </c>
      <c r="C21" s="783" t="s">
        <v>243</v>
      </c>
      <c r="D21" s="783" t="s">
        <v>392</v>
      </c>
      <c r="E21" s="784">
        <v>26</v>
      </c>
      <c r="F21" s="783"/>
      <c r="G21" s="784">
        <v>1550</v>
      </c>
      <c r="H21" s="1112"/>
      <c r="I21" s="940">
        <v>90510</v>
      </c>
      <c r="J21" s="791" t="s">
        <v>418</v>
      </c>
      <c r="K21" s="810"/>
      <c r="L21" s="815">
        <v>150</v>
      </c>
      <c r="M21" s="786" t="s">
        <v>355</v>
      </c>
      <c r="N21" s="798" t="s">
        <v>401</v>
      </c>
      <c r="O21" s="821">
        <f t="shared" si="0"/>
        <v>4650</v>
      </c>
      <c r="P21" s="867">
        <v>70602</v>
      </c>
      <c r="Q21" s="823">
        <v>1550.6</v>
      </c>
      <c r="R21" s="913">
        <v>46163</v>
      </c>
      <c r="S21" s="914">
        <v>26</v>
      </c>
      <c r="T21" s="914">
        <v>25</v>
      </c>
      <c r="U21" s="914">
        <v>53.6</v>
      </c>
      <c r="V21" s="914">
        <v>1553.6</v>
      </c>
      <c r="W21" s="293">
        <f t="shared" si="2"/>
        <v>3</v>
      </c>
    </row>
    <row r="22" spans="1:23" ht="16.5" thickBot="1">
      <c r="A22" s="782" t="s">
        <v>350</v>
      </c>
      <c r="B22" s="783" t="s">
        <v>866</v>
      </c>
      <c r="C22" s="783" t="s">
        <v>242</v>
      </c>
      <c r="D22" s="783" t="s">
        <v>392</v>
      </c>
      <c r="E22" s="784">
        <v>26</v>
      </c>
      <c r="F22" s="784">
        <v>18</v>
      </c>
      <c r="G22" s="784">
        <v>1578</v>
      </c>
      <c r="H22" s="1112"/>
      <c r="I22" s="940">
        <v>90510</v>
      </c>
      <c r="J22" s="791" t="s">
        <v>418</v>
      </c>
      <c r="K22" s="810"/>
      <c r="L22" s="813">
        <v>150</v>
      </c>
      <c r="M22" s="797" t="s">
        <v>355</v>
      </c>
      <c r="N22" s="797" t="s">
        <v>401</v>
      </c>
      <c r="O22" s="821">
        <f t="shared" si="0"/>
        <v>4734</v>
      </c>
      <c r="P22" s="867">
        <v>70603</v>
      </c>
      <c r="Q22" s="823">
        <v>1578</v>
      </c>
      <c r="R22" s="913">
        <v>46163</v>
      </c>
      <c r="S22" s="914">
        <v>27</v>
      </c>
      <c r="T22" s="914">
        <v>26</v>
      </c>
      <c r="U22" s="914">
        <v>19.7</v>
      </c>
      <c r="V22" s="914">
        <v>1579.7</v>
      </c>
      <c r="W22" s="293">
        <f t="shared" si="2"/>
        <v>1.7000000000000455</v>
      </c>
    </row>
    <row r="23" spans="1:23" ht="16.5" thickBot="1">
      <c r="A23" s="782" t="s">
        <v>350</v>
      </c>
      <c r="B23" s="783" t="s">
        <v>866</v>
      </c>
      <c r="C23" s="783" t="s">
        <v>242</v>
      </c>
      <c r="D23" s="783" t="s">
        <v>392</v>
      </c>
      <c r="E23" s="784">
        <v>2</v>
      </c>
      <c r="F23" s="784">
        <v>31</v>
      </c>
      <c r="G23" s="784">
        <v>151</v>
      </c>
      <c r="H23" s="1112" t="s">
        <v>1375</v>
      </c>
      <c r="I23" s="940">
        <v>90510</v>
      </c>
      <c r="J23" s="791" t="s">
        <v>418</v>
      </c>
      <c r="K23" s="810"/>
      <c r="L23" s="815">
        <v>150</v>
      </c>
      <c r="M23" s="804" t="s">
        <v>355</v>
      </c>
      <c r="N23" s="797" t="s">
        <v>401</v>
      </c>
      <c r="O23" s="821">
        <f t="shared" si="0"/>
        <v>453</v>
      </c>
      <c r="P23" s="867">
        <v>70604</v>
      </c>
      <c r="Q23" s="823">
        <v>151.19999999999999</v>
      </c>
      <c r="R23" s="913">
        <v>46162</v>
      </c>
      <c r="S23" s="914">
        <v>3</v>
      </c>
      <c r="T23" s="914">
        <v>2</v>
      </c>
      <c r="U23" s="914">
        <v>31.3</v>
      </c>
      <c r="V23" s="914">
        <v>151.30000000000001</v>
      </c>
      <c r="W23" s="293">
        <f t="shared" si="2"/>
        <v>0.10000000000002274</v>
      </c>
    </row>
    <row r="24" spans="1:23" ht="16.5" thickBot="1">
      <c r="A24" s="782" t="s">
        <v>350</v>
      </c>
      <c r="B24" s="783" t="s">
        <v>873</v>
      </c>
      <c r="C24" s="783" t="s">
        <v>1179</v>
      </c>
      <c r="D24" s="783" t="s">
        <v>392</v>
      </c>
      <c r="E24" s="784">
        <v>21</v>
      </c>
      <c r="F24" s="783"/>
      <c r="G24" s="784">
        <v>1255</v>
      </c>
      <c r="H24" s="859">
        <v>350</v>
      </c>
      <c r="I24" s="940">
        <v>90510</v>
      </c>
      <c r="J24" s="791" t="s">
        <v>418</v>
      </c>
      <c r="K24" s="810"/>
      <c r="L24" s="813">
        <v>150</v>
      </c>
      <c r="M24" s="797" t="s">
        <v>355</v>
      </c>
      <c r="N24" s="797" t="s">
        <v>401</v>
      </c>
      <c r="O24" s="821">
        <f t="shared" si="0"/>
        <v>3765</v>
      </c>
      <c r="P24" s="867">
        <v>70605</v>
      </c>
      <c r="Q24" s="823">
        <v>1255.0999999999999</v>
      </c>
      <c r="R24" s="913">
        <v>46167</v>
      </c>
      <c r="S24" s="914">
        <v>21</v>
      </c>
      <c r="T24" s="914">
        <v>21</v>
      </c>
      <c r="U24" s="914">
        <v>5.0999999999999996</v>
      </c>
      <c r="V24" s="914">
        <v>1265.0999999999999</v>
      </c>
      <c r="W24" s="293">
        <f t="shared" si="2"/>
        <v>10</v>
      </c>
    </row>
    <row r="25" spans="1:23" ht="16.5" thickBot="1">
      <c r="A25" s="782" t="s">
        <v>350</v>
      </c>
      <c r="B25" s="783" t="s">
        <v>1172</v>
      </c>
      <c r="C25" s="783" t="s">
        <v>233</v>
      </c>
      <c r="D25" s="783" t="s">
        <v>392</v>
      </c>
      <c r="E25" s="784">
        <v>13</v>
      </c>
      <c r="F25" s="784">
        <v>0</v>
      </c>
      <c r="G25" s="784">
        <v>779</v>
      </c>
      <c r="H25" s="859" t="s">
        <v>799</v>
      </c>
      <c r="I25" s="940">
        <v>90510</v>
      </c>
      <c r="J25" s="791" t="s">
        <v>418</v>
      </c>
      <c r="K25" s="810"/>
      <c r="L25" s="813">
        <v>150</v>
      </c>
      <c r="M25" s="797" t="s">
        <v>730</v>
      </c>
      <c r="N25" s="797" t="s">
        <v>782</v>
      </c>
      <c r="O25" s="821">
        <f t="shared" si="0"/>
        <v>2336.9999999999995</v>
      </c>
      <c r="P25" s="867">
        <v>70606</v>
      </c>
      <c r="Q25" s="823">
        <v>779.7</v>
      </c>
      <c r="R25" s="913">
        <v>46163</v>
      </c>
      <c r="S25" s="914">
        <v>13</v>
      </c>
      <c r="T25" s="914">
        <v>12</v>
      </c>
      <c r="U25" s="914">
        <v>58.3</v>
      </c>
      <c r="V25" s="914">
        <v>778.3</v>
      </c>
      <c r="W25" s="293">
        <f t="shared" si="2"/>
        <v>-1.4000000000000909</v>
      </c>
    </row>
    <row r="26" spans="1:23" ht="16.5" thickBot="1">
      <c r="A26" s="782" t="s">
        <v>350</v>
      </c>
      <c r="B26" s="783" t="s">
        <v>892</v>
      </c>
      <c r="C26" s="783" t="s">
        <v>1173</v>
      </c>
      <c r="D26" s="783" t="s">
        <v>392</v>
      </c>
      <c r="E26" s="784">
        <v>12</v>
      </c>
      <c r="F26" s="783"/>
      <c r="G26" s="784">
        <v>720</v>
      </c>
      <c r="H26" s="1112"/>
      <c r="I26" s="940">
        <v>90510</v>
      </c>
      <c r="J26" s="791" t="s">
        <v>418</v>
      </c>
      <c r="K26" s="810"/>
      <c r="L26" s="815">
        <v>150</v>
      </c>
      <c r="M26" s="805" t="s">
        <v>355</v>
      </c>
      <c r="N26" s="797" t="s">
        <v>401</v>
      </c>
      <c r="O26" s="821">
        <f t="shared" si="0"/>
        <v>2160</v>
      </c>
      <c r="P26" s="867">
        <v>70607</v>
      </c>
      <c r="Q26" s="823">
        <v>750.4</v>
      </c>
      <c r="R26" s="913">
        <v>46171</v>
      </c>
      <c r="S26" s="914">
        <v>13</v>
      </c>
      <c r="T26" s="914">
        <v>12</v>
      </c>
      <c r="U26" s="914">
        <v>31.3</v>
      </c>
      <c r="V26" s="914">
        <v>751.3</v>
      </c>
      <c r="W26" s="293">
        <f t="shared" si="2"/>
        <v>0.89999999999997726</v>
      </c>
    </row>
    <row r="27" spans="1:23" ht="16.5" thickBot="1">
      <c r="A27" s="782" t="s">
        <v>350</v>
      </c>
      <c r="B27" s="783" t="s">
        <v>892</v>
      </c>
      <c r="C27" s="783" t="s">
        <v>1173</v>
      </c>
      <c r="D27" s="783" t="s">
        <v>392</v>
      </c>
      <c r="E27" s="784">
        <v>1</v>
      </c>
      <c r="F27" s="784">
        <v>30</v>
      </c>
      <c r="G27" s="784">
        <v>90</v>
      </c>
      <c r="H27" s="1112" t="s">
        <v>442</v>
      </c>
      <c r="I27" s="940">
        <v>90510</v>
      </c>
      <c r="J27" s="791" t="s">
        <v>418</v>
      </c>
      <c r="K27" s="810"/>
      <c r="L27" s="813">
        <v>150</v>
      </c>
      <c r="M27" s="796" t="s">
        <v>355</v>
      </c>
      <c r="N27" s="797" t="s">
        <v>401</v>
      </c>
      <c r="O27" s="821">
        <f t="shared" si="0"/>
        <v>270</v>
      </c>
      <c r="P27" s="867" t="s">
        <v>1184</v>
      </c>
      <c r="Q27" s="823">
        <v>60</v>
      </c>
      <c r="R27" s="913">
        <v>46171</v>
      </c>
      <c r="S27" s="914">
        <v>1</v>
      </c>
      <c r="T27" s="914">
        <v>0</v>
      </c>
      <c r="U27" s="914">
        <v>59.1</v>
      </c>
      <c r="V27" s="914">
        <v>59.1</v>
      </c>
      <c r="W27" s="293">
        <f t="shared" si="2"/>
        <v>-0.89999999999999858</v>
      </c>
    </row>
    <row r="28" spans="1:23" ht="16.5" thickBot="1">
      <c r="A28" s="782" t="s">
        <v>350</v>
      </c>
      <c r="B28" s="783" t="s">
        <v>898</v>
      </c>
      <c r="C28" s="783" t="s">
        <v>236</v>
      </c>
      <c r="D28" s="783" t="s">
        <v>392</v>
      </c>
      <c r="E28" s="784">
        <v>20</v>
      </c>
      <c r="F28" s="783"/>
      <c r="G28" s="784">
        <v>1200</v>
      </c>
      <c r="H28" s="1112" t="s">
        <v>355</v>
      </c>
      <c r="I28" s="940">
        <v>90510</v>
      </c>
      <c r="J28" s="791" t="s">
        <v>418</v>
      </c>
      <c r="K28" s="810"/>
      <c r="L28" s="813">
        <v>150</v>
      </c>
      <c r="M28" s="796" t="s">
        <v>355</v>
      </c>
      <c r="N28" s="797" t="s">
        <v>401</v>
      </c>
      <c r="O28" s="821">
        <f t="shared" si="0"/>
        <v>3600</v>
      </c>
      <c r="P28" s="867">
        <v>70609</v>
      </c>
      <c r="Q28" s="823">
        <v>1200.4000000000001</v>
      </c>
      <c r="R28" s="913">
        <v>46167</v>
      </c>
      <c r="S28" s="914">
        <v>20</v>
      </c>
      <c r="T28" s="914">
        <v>20</v>
      </c>
      <c r="U28" s="914">
        <v>4</v>
      </c>
      <c r="V28" s="914">
        <v>1204</v>
      </c>
      <c r="W28" s="293">
        <f t="shared" si="2"/>
        <v>3.5999999999999091</v>
      </c>
    </row>
    <row r="29" spans="1:23" ht="16.5" thickBot="1">
      <c r="A29" s="782" t="s">
        <v>350</v>
      </c>
      <c r="B29" s="783" t="s">
        <v>1174</v>
      </c>
      <c r="C29" s="783" t="s">
        <v>1175</v>
      </c>
      <c r="D29" s="783" t="s">
        <v>392</v>
      </c>
      <c r="E29" s="784">
        <v>42</v>
      </c>
      <c r="F29" s="784">
        <v>27</v>
      </c>
      <c r="G29" s="784">
        <v>2551</v>
      </c>
      <c r="H29" s="1112" t="s">
        <v>799</v>
      </c>
      <c r="I29" s="940">
        <v>90510</v>
      </c>
      <c r="J29" s="791" t="s">
        <v>418</v>
      </c>
      <c r="K29" s="810"/>
      <c r="L29" s="815">
        <v>150</v>
      </c>
      <c r="M29" s="805" t="s">
        <v>730</v>
      </c>
      <c r="N29" s="797" t="s">
        <v>401</v>
      </c>
      <c r="O29" s="821">
        <f t="shared" si="0"/>
        <v>7653</v>
      </c>
      <c r="P29" s="867">
        <v>70610</v>
      </c>
      <c r="Q29" s="823">
        <v>2551.8000000000002</v>
      </c>
      <c r="R29" s="913">
        <v>46167</v>
      </c>
      <c r="S29" s="914">
        <v>43</v>
      </c>
      <c r="T29" s="914">
        <v>42</v>
      </c>
      <c r="U29" s="914">
        <v>28.3</v>
      </c>
      <c r="V29" s="914">
        <v>2548.3000000000002</v>
      </c>
      <c r="W29" s="293">
        <f t="shared" si="2"/>
        <v>-3.5</v>
      </c>
    </row>
    <row r="30" spans="1:23" ht="16.5" thickBot="1">
      <c r="A30" s="782" t="s">
        <v>350</v>
      </c>
      <c r="B30" s="783" t="s">
        <v>1177</v>
      </c>
      <c r="C30" s="783" t="s">
        <v>1175</v>
      </c>
      <c r="D30" s="783" t="s">
        <v>392</v>
      </c>
      <c r="E30" s="784">
        <v>9</v>
      </c>
      <c r="F30" s="784">
        <v>23</v>
      </c>
      <c r="G30" s="784">
        <v>562</v>
      </c>
      <c r="H30" s="1112"/>
      <c r="I30" s="940">
        <v>90510</v>
      </c>
      <c r="J30" s="791" t="s">
        <v>418</v>
      </c>
      <c r="K30" s="810"/>
      <c r="L30" s="813">
        <v>150</v>
      </c>
      <c r="M30" s="796" t="s">
        <v>355</v>
      </c>
      <c r="N30" s="797" t="s">
        <v>401</v>
      </c>
      <c r="O30" s="821">
        <f t="shared" si="0"/>
        <v>1686</v>
      </c>
      <c r="P30" s="867">
        <v>70611</v>
      </c>
      <c r="Q30" s="823">
        <v>562.5</v>
      </c>
      <c r="R30" s="913">
        <v>46171</v>
      </c>
      <c r="S30" s="914">
        <v>10</v>
      </c>
      <c r="T30" s="914">
        <v>9</v>
      </c>
      <c r="U30" s="914">
        <v>22</v>
      </c>
      <c r="V30" s="914">
        <v>562</v>
      </c>
      <c r="W30" s="293">
        <f t="shared" si="2"/>
        <v>-0.5</v>
      </c>
    </row>
    <row r="31" spans="1:23" ht="16.5" thickBot="1">
      <c r="A31" s="782"/>
      <c r="B31" s="783"/>
      <c r="C31" s="783"/>
      <c r="D31" s="783"/>
      <c r="E31" s="783"/>
      <c r="F31" s="783"/>
      <c r="G31" s="783">
        <f>SUM(G3:G30)</f>
        <v>93785</v>
      </c>
      <c r="H31" s="807"/>
      <c r="I31" s="807"/>
      <c r="J31" s="807"/>
      <c r="K31" s="807"/>
      <c r="L31" s="815"/>
      <c r="M31" s="788"/>
      <c r="N31" s="785"/>
      <c r="O31" s="789">
        <f>SUM(O3:O30)</f>
        <v>421449.55999999994</v>
      </c>
      <c r="P31" s="870"/>
      <c r="Q31" s="824">
        <f>SUM(Q3:Q30)</f>
        <v>93801.9</v>
      </c>
      <c r="V31" s="293">
        <f>SUM(V3:V30)</f>
        <v>93050.700000000026</v>
      </c>
      <c r="W31" s="293">
        <f>SUM(W3:W30)</f>
        <v>42.699999999999342</v>
      </c>
    </row>
    <row r="32" spans="1:23" ht="16.5" thickBot="1">
      <c r="A32" s="782"/>
      <c r="B32" s="783"/>
      <c r="C32" s="783"/>
      <c r="D32" s="783"/>
      <c r="E32" s="790"/>
      <c r="F32" s="790"/>
      <c r="G32" s="790"/>
      <c r="H32" s="808"/>
      <c r="I32" s="808"/>
      <c r="J32" s="808"/>
      <c r="K32" s="808"/>
      <c r="L32" s="816"/>
      <c r="M32" s="788"/>
      <c r="N32" s="785"/>
    </row>
    <row r="34" spans="1:23">
      <c r="O34" s="902">
        <f>O31/Q31*50</f>
        <v>224.64873312800697</v>
      </c>
    </row>
    <row r="35" spans="1:23">
      <c r="E35" s="293">
        <f>G31/60</f>
        <v>1563.0833333333333</v>
      </c>
    </row>
    <row r="36" spans="1:23">
      <c r="N36" s="901">
        <f>Q31/60</f>
        <v>1563.365</v>
      </c>
    </row>
    <row r="40" spans="1:23" ht="16.5" thickBot="1">
      <c r="A40" s="782" t="s">
        <v>350</v>
      </c>
      <c r="B40" s="783" t="s">
        <v>866</v>
      </c>
      <c r="C40" s="783" t="s">
        <v>242</v>
      </c>
      <c r="D40" s="783" t="s">
        <v>392</v>
      </c>
      <c r="E40" s="784">
        <v>26</v>
      </c>
      <c r="F40" s="784">
        <v>18</v>
      </c>
      <c r="G40" s="784">
        <v>1578</v>
      </c>
      <c r="H40" s="1112"/>
      <c r="I40" s="940">
        <v>90510</v>
      </c>
      <c r="J40" s="791" t="s">
        <v>418</v>
      </c>
      <c r="K40" s="810"/>
      <c r="L40" s="813">
        <v>150</v>
      </c>
      <c r="M40" s="797" t="s">
        <v>355</v>
      </c>
      <c r="N40" s="797" t="s">
        <v>401</v>
      </c>
      <c r="O40" s="821">
        <f t="shared" ref="O40:O46" si="3">G40/60*L40*1.2</f>
        <v>4734</v>
      </c>
      <c r="P40" s="867">
        <v>70603</v>
      </c>
      <c r="Q40" s="823">
        <v>1578</v>
      </c>
      <c r="R40" s="913">
        <v>46163</v>
      </c>
      <c r="S40" s="914">
        <v>27</v>
      </c>
      <c r="T40" s="914">
        <v>26</v>
      </c>
      <c r="U40" s="914">
        <v>19.7</v>
      </c>
      <c r="V40" s="914">
        <v>1579.7</v>
      </c>
      <c r="W40" s="293">
        <f t="shared" ref="W40:W46" si="4">V40-Q40</f>
        <v>1.7000000000000455</v>
      </c>
    </row>
    <row r="41" spans="1:23" ht="16.5" thickBot="1">
      <c r="A41" s="782" t="s">
        <v>350</v>
      </c>
      <c r="B41" s="783" t="s">
        <v>866</v>
      </c>
      <c r="C41" s="783" t="s">
        <v>242</v>
      </c>
      <c r="D41" s="783" t="s">
        <v>392</v>
      </c>
      <c r="E41" s="784">
        <v>2</v>
      </c>
      <c r="F41" s="784">
        <v>31</v>
      </c>
      <c r="G41" s="784">
        <v>151</v>
      </c>
      <c r="H41" s="1112"/>
      <c r="I41" s="940">
        <v>90510</v>
      </c>
      <c r="J41" s="791" t="s">
        <v>418</v>
      </c>
      <c r="K41" s="810"/>
      <c r="L41" s="815">
        <v>150</v>
      </c>
      <c r="M41" s="804" t="s">
        <v>355</v>
      </c>
      <c r="N41" s="797" t="s">
        <v>401</v>
      </c>
      <c r="O41" s="821">
        <f t="shared" si="3"/>
        <v>453</v>
      </c>
      <c r="P41" s="867">
        <v>70604</v>
      </c>
      <c r="Q41" s="823">
        <v>151.19999999999999</v>
      </c>
      <c r="R41" s="913">
        <v>46162</v>
      </c>
      <c r="S41" s="914">
        <v>3</v>
      </c>
      <c r="T41" s="914">
        <v>2</v>
      </c>
      <c r="U41" s="914">
        <v>31.3</v>
      </c>
      <c r="V41" s="914">
        <v>151.30000000000001</v>
      </c>
      <c r="W41" s="293">
        <f t="shared" si="4"/>
        <v>0.10000000000002274</v>
      </c>
    </row>
    <row r="42" spans="1:23" ht="16.5" thickBot="1">
      <c r="A42" s="782" t="s">
        <v>350</v>
      </c>
      <c r="B42" s="783" t="s">
        <v>873</v>
      </c>
      <c r="C42" s="783" t="s">
        <v>1179</v>
      </c>
      <c r="D42" s="783" t="s">
        <v>392</v>
      </c>
      <c r="E42" s="784">
        <v>21</v>
      </c>
      <c r="F42" s="783"/>
      <c r="G42" s="784">
        <v>1255</v>
      </c>
      <c r="H42" s="1112"/>
      <c r="I42" s="940">
        <v>90510</v>
      </c>
      <c r="J42" s="791" t="s">
        <v>418</v>
      </c>
      <c r="K42" s="810"/>
      <c r="L42" s="813">
        <v>150</v>
      </c>
      <c r="M42" s="797" t="s">
        <v>355</v>
      </c>
      <c r="N42" s="797" t="s">
        <v>401</v>
      </c>
      <c r="O42" s="821">
        <f t="shared" si="3"/>
        <v>3765</v>
      </c>
      <c r="P42" s="867">
        <v>70605</v>
      </c>
      <c r="Q42" s="823">
        <v>1255.0999999999999</v>
      </c>
      <c r="R42" s="913">
        <v>46167</v>
      </c>
      <c r="S42" s="914">
        <v>21</v>
      </c>
      <c r="T42" s="914">
        <v>21</v>
      </c>
      <c r="U42" s="914">
        <v>5.0999999999999996</v>
      </c>
      <c r="V42" s="914">
        <v>1265.0999999999999</v>
      </c>
      <c r="W42" s="293">
        <f t="shared" si="4"/>
        <v>10</v>
      </c>
    </row>
    <row r="43" spans="1:23" ht="16.5" thickBot="1">
      <c r="A43" s="782" t="s">
        <v>350</v>
      </c>
      <c r="B43" s="783" t="s">
        <v>1172</v>
      </c>
      <c r="C43" s="783" t="s">
        <v>233</v>
      </c>
      <c r="D43" s="783" t="s">
        <v>392</v>
      </c>
      <c r="E43" s="784">
        <v>13</v>
      </c>
      <c r="F43" s="784">
        <v>0</v>
      </c>
      <c r="G43" s="784">
        <v>779</v>
      </c>
      <c r="H43" s="1112"/>
      <c r="I43" s="940">
        <v>90510</v>
      </c>
      <c r="J43" s="791" t="s">
        <v>418</v>
      </c>
      <c r="K43" s="810"/>
      <c r="L43" s="813">
        <v>150</v>
      </c>
      <c r="M43" s="797" t="s">
        <v>730</v>
      </c>
      <c r="N43" s="797" t="s">
        <v>782</v>
      </c>
      <c r="O43" s="821">
        <f t="shared" si="3"/>
        <v>2336.9999999999995</v>
      </c>
      <c r="P43" s="867">
        <v>70606</v>
      </c>
      <c r="Q43" s="823">
        <v>779.7</v>
      </c>
      <c r="R43" s="913">
        <v>46163</v>
      </c>
      <c r="S43" s="914">
        <v>13</v>
      </c>
      <c r="T43" s="914">
        <v>12</v>
      </c>
      <c r="U43" s="914">
        <v>58.3</v>
      </c>
      <c r="V43" s="914">
        <v>778.3</v>
      </c>
      <c r="W43" s="293">
        <f t="shared" si="4"/>
        <v>-1.4000000000000909</v>
      </c>
    </row>
    <row r="44" spans="1:23" ht="16.5" thickBot="1">
      <c r="A44" s="782" t="s">
        <v>350</v>
      </c>
      <c r="B44" s="783" t="s">
        <v>892</v>
      </c>
      <c r="C44" s="783" t="s">
        <v>1173</v>
      </c>
      <c r="D44" s="783" t="s">
        <v>392</v>
      </c>
      <c r="E44" s="784">
        <v>12</v>
      </c>
      <c r="F44" s="783"/>
      <c r="G44" s="784">
        <v>720</v>
      </c>
      <c r="H44" s="1112"/>
      <c r="I44" s="940">
        <v>90510</v>
      </c>
      <c r="J44" s="791" t="s">
        <v>418</v>
      </c>
      <c r="K44" s="810"/>
      <c r="L44" s="815">
        <v>150</v>
      </c>
      <c r="M44" s="805" t="s">
        <v>355</v>
      </c>
      <c r="N44" s="797" t="s">
        <v>401</v>
      </c>
      <c r="O44" s="821">
        <f t="shared" si="3"/>
        <v>2160</v>
      </c>
      <c r="P44" s="867">
        <v>70607</v>
      </c>
      <c r="Q44" s="823">
        <v>750.4</v>
      </c>
      <c r="R44" s="913">
        <v>46171</v>
      </c>
      <c r="S44" s="914">
        <v>13</v>
      </c>
      <c r="T44" s="914">
        <v>12</v>
      </c>
      <c r="U44" s="914">
        <v>31.3</v>
      </c>
      <c r="V44" s="914">
        <v>751.3</v>
      </c>
      <c r="W44" s="293">
        <f t="shared" si="4"/>
        <v>0.89999999999997726</v>
      </c>
    </row>
    <row r="45" spans="1:23" ht="16.5" thickBot="1">
      <c r="A45" s="782" t="s">
        <v>350</v>
      </c>
      <c r="B45" s="783" t="s">
        <v>1174</v>
      </c>
      <c r="C45" s="783" t="s">
        <v>1175</v>
      </c>
      <c r="D45" s="783" t="s">
        <v>392</v>
      </c>
      <c r="E45" s="784">
        <v>42</v>
      </c>
      <c r="F45" s="784">
        <v>27</v>
      </c>
      <c r="G45" s="784">
        <v>2551</v>
      </c>
      <c r="H45" s="1112"/>
      <c r="I45" s="940">
        <v>90510</v>
      </c>
      <c r="J45" s="791" t="s">
        <v>418</v>
      </c>
      <c r="K45" s="810"/>
      <c r="L45" s="815">
        <v>150</v>
      </c>
      <c r="M45" s="805" t="s">
        <v>730</v>
      </c>
      <c r="N45" s="797" t="s">
        <v>401</v>
      </c>
      <c r="O45" s="821">
        <f t="shared" si="3"/>
        <v>7653</v>
      </c>
      <c r="P45" s="867">
        <v>70610</v>
      </c>
      <c r="Q45" s="823">
        <v>2551.8000000000002</v>
      </c>
      <c r="R45" s="913">
        <v>46167</v>
      </c>
      <c r="S45" s="914">
        <v>43</v>
      </c>
      <c r="T45" s="914">
        <v>42</v>
      </c>
      <c r="U45" s="914">
        <v>28.3</v>
      </c>
      <c r="V45" s="914">
        <v>2548.3000000000002</v>
      </c>
      <c r="W45" s="293">
        <f t="shared" si="4"/>
        <v>-3.5</v>
      </c>
    </row>
    <row r="46" spans="1:23" ht="16.5" thickBot="1">
      <c r="A46" s="782" t="s">
        <v>350</v>
      </c>
      <c r="B46" s="783" t="s">
        <v>1177</v>
      </c>
      <c r="C46" s="783" t="s">
        <v>1175</v>
      </c>
      <c r="D46" s="783" t="s">
        <v>392</v>
      </c>
      <c r="E46" s="784">
        <v>9</v>
      </c>
      <c r="F46" s="784">
        <v>23</v>
      </c>
      <c r="G46" s="784">
        <v>562</v>
      </c>
      <c r="H46" s="1112"/>
      <c r="I46" s="940">
        <v>90510</v>
      </c>
      <c r="J46" s="791" t="s">
        <v>418</v>
      </c>
      <c r="K46" s="810"/>
      <c r="L46" s="813">
        <v>150</v>
      </c>
      <c r="M46" s="796" t="s">
        <v>355</v>
      </c>
      <c r="N46" s="797" t="s">
        <v>401</v>
      </c>
      <c r="O46" s="821">
        <f t="shared" si="3"/>
        <v>1686</v>
      </c>
      <c r="P46" s="867">
        <v>70611</v>
      </c>
      <c r="Q46" s="823">
        <v>562.5</v>
      </c>
      <c r="R46" s="913">
        <v>46171</v>
      </c>
      <c r="S46" s="914">
        <v>10</v>
      </c>
      <c r="T46" s="914">
        <v>9</v>
      </c>
      <c r="U46" s="914">
        <v>22</v>
      </c>
      <c r="V46" s="914">
        <v>562</v>
      </c>
      <c r="W46" s="293">
        <f t="shared" si="4"/>
        <v>-0.5</v>
      </c>
    </row>
    <row r="47" spans="1:23" ht="16.5" thickBot="1">
      <c r="A47" s="782"/>
      <c r="B47" s="783"/>
      <c r="C47" s="783"/>
      <c r="D47" s="783"/>
      <c r="E47" s="783"/>
      <c r="F47" s="783"/>
      <c r="G47" s="783">
        <f>SUM(G21:G46)</f>
        <v>111817</v>
      </c>
      <c r="H47" s="807"/>
      <c r="I47" s="807"/>
      <c r="J47" s="807"/>
      <c r="K47" s="807"/>
      <c r="L47" s="815"/>
      <c r="M47" s="788"/>
      <c r="N47" s="785"/>
      <c r="O47" s="789">
        <f>SUM(O21:O46)</f>
        <v>475770.20873312792</v>
      </c>
      <c r="P47" s="870"/>
      <c r="Q47" s="824">
        <f>SUM(Q21:Q46)</f>
        <v>111870.29999999999</v>
      </c>
      <c r="V47" s="293">
        <f>SUM(V21:V46)</f>
        <v>111139.40000000004</v>
      </c>
      <c r="W47" s="293">
        <f>SUM(W21:W46)</f>
        <v>62.999999999999162</v>
      </c>
    </row>
    <row r="48" spans="1:23" ht="16.5" thickBot="1">
      <c r="A48" s="782"/>
      <c r="B48" s="783"/>
      <c r="C48" s="783"/>
      <c r="D48" s="783"/>
      <c r="E48" s="790"/>
      <c r="F48" s="790"/>
      <c r="G48" s="790"/>
      <c r="H48" s="808"/>
      <c r="I48" s="808"/>
      <c r="J48" s="808"/>
      <c r="K48" s="808"/>
      <c r="L48" s="816"/>
      <c r="M48" s="788"/>
      <c r="N48" s="785"/>
    </row>
    <row r="50" spans="1:23">
      <c r="O50" s="902">
        <f>O47/Q47*50</f>
        <v>212.64366356983396</v>
      </c>
    </row>
    <row r="51" spans="1:23">
      <c r="E51" s="293">
        <f>G47/60</f>
        <v>1863.6166666666666</v>
      </c>
    </row>
    <row r="52" spans="1:23">
      <c r="I52" s="787">
        <f>SUM(I42:I51)</f>
        <v>452550</v>
      </c>
      <c r="V52" s="293">
        <f>SUM(V42:V51)</f>
        <v>117044.40000000004</v>
      </c>
    </row>
    <row r="53" spans="1:23" ht="16.5" thickBot="1">
      <c r="I53" s="787">
        <f>I52/60</f>
        <v>7542.5</v>
      </c>
    </row>
    <row r="54" spans="1:23" ht="16.5" thickBot="1">
      <c r="A54" s="782" t="s">
        <v>350</v>
      </c>
      <c r="B54" s="783" t="s">
        <v>892</v>
      </c>
      <c r="C54" s="783" t="s">
        <v>1173</v>
      </c>
      <c r="D54" s="783" t="s">
        <v>392</v>
      </c>
      <c r="E54" s="784">
        <v>1</v>
      </c>
      <c r="F54" s="784">
        <v>30</v>
      </c>
      <c r="G54" s="784">
        <v>90</v>
      </c>
      <c r="H54" s="1112"/>
      <c r="I54" s="940">
        <v>90510</v>
      </c>
      <c r="J54" s="791" t="s">
        <v>418</v>
      </c>
      <c r="K54" s="810"/>
      <c r="L54" s="813">
        <v>150</v>
      </c>
      <c r="M54" s="796" t="s">
        <v>355</v>
      </c>
      <c r="N54" s="797" t="s">
        <v>401</v>
      </c>
      <c r="O54" s="821">
        <f>G54/60*L54*1.2</f>
        <v>270</v>
      </c>
      <c r="P54" s="867" t="s">
        <v>1184</v>
      </c>
      <c r="Q54" s="823">
        <v>60</v>
      </c>
      <c r="R54" s="913">
        <v>46171</v>
      </c>
      <c r="S54" s="914">
        <v>1</v>
      </c>
      <c r="T54" s="914">
        <v>0</v>
      </c>
      <c r="U54" s="914">
        <v>59.1</v>
      </c>
      <c r="V54" s="914">
        <v>59.1</v>
      </c>
      <c r="W54" s="293">
        <f>V54-Q54</f>
        <v>-0.89999999999999858</v>
      </c>
    </row>
    <row r="55" spans="1:23" ht="16.5" thickBot="1">
      <c r="A55" s="782" t="s">
        <v>350</v>
      </c>
      <c r="B55" s="783" t="s">
        <v>898</v>
      </c>
      <c r="C55" s="783" t="s">
        <v>236</v>
      </c>
      <c r="D55" s="783" t="s">
        <v>392</v>
      </c>
      <c r="E55" s="784">
        <v>20</v>
      </c>
      <c r="F55" s="783"/>
      <c r="G55" s="784">
        <v>1200</v>
      </c>
      <c r="H55" s="1112"/>
      <c r="I55" s="940">
        <v>90510</v>
      </c>
      <c r="J55" s="791" t="s">
        <v>418</v>
      </c>
      <c r="K55" s="810"/>
      <c r="L55" s="813">
        <v>150</v>
      </c>
      <c r="M55" s="796" t="s">
        <v>355</v>
      </c>
      <c r="N55" s="797" t="s">
        <v>401</v>
      </c>
      <c r="O55" s="821">
        <f>G55/60*L55*1.2</f>
        <v>3600</v>
      </c>
      <c r="P55" s="867">
        <v>70609</v>
      </c>
      <c r="Q55" s="823">
        <v>1200.4000000000001</v>
      </c>
      <c r="R55" s="913">
        <v>46167</v>
      </c>
      <c r="S55" s="914">
        <v>20</v>
      </c>
      <c r="T55" s="914">
        <v>20</v>
      </c>
      <c r="U55" s="914">
        <v>4</v>
      </c>
      <c r="V55" s="914">
        <v>1204</v>
      </c>
      <c r="W55" s="293">
        <f>V55-Q55</f>
        <v>3.5999999999999091</v>
      </c>
    </row>
    <row r="56" spans="1:23">
      <c r="I56" s="787">
        <f>SUM(I54:I55)</f>
        <v>181020</v>
      </c>
      <c r="V56" s="293">
        <f>SUM(V54:V55)</f>
        <v>1263.0999999999999</v>
      </c>
    </row>
    <row r="57" spans="1:23">
      <c r="I57" s="1053">
        <f>I56/60</f>
        <v>3017</v>
      </c>
    </row>
    <row r="61" spans="1:23">
      <c r="G61" s="1104"/>
      <c r="H61" s="1104"/>
      <c r="I61" s="1104" t="s">
        <v>1372</v>
      </c>
      <c r="J61" s="1104" t="s">
        <v>1373</v>
      </c>
      <c r="K61" s="1104" t="s">
        <v>1374</v>
      </c>
      <c r="L61" s="866"/>
    </row>
    <row r="62" spans="1:23">
      <c r="G62" s="1104" t="s">
        <v>354</v>
      </c>
      <c r="H62" s="1104"/>
      <c r="I62" s="1104">
        <v>30087</v>
      </c>
      <c r="J62" s="1104">
        <v>30223.7</v>
      </c>
      <c r="K62" s="1104">
        <v>30163</v>
      </c>
      <c r="L62" s="866"/>
    </row>
    <row r="63" spans="1:23">
      <c r="G63" s="1104" t="s">
        <v>856</v>
      </c>
      <c r="H63" s="1104"/>
      <c r="I63" s="1104">
        <v>88</v>
      </c>
      <c r="J63" s="1104">
        <v>88</v>
      </c>
      <c r="K63" s="1104">
        <v>89</v>
      </c>
      <c r="L63" s="866"/>
    </row>
  </sheetData>
  <autoFilter ref="A2:Q31" xr:uid="{9BD94A37-5A31-4F0C-B467-09425350F243}"/>
  <phoneticPr fontId="86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5CD5-C9E4-4925-AB54-5017FF1316A5}">
  <dimension ref="A1:V63"/>
  <sheetViews>
    <sheetView workbookViewId="0">
      <selection activeCell="H30" sqref="H30"/>
    </sheetView>
  </sheetViews>
  <sheetFormatPr defaultRowHeight="14.5"/>
  <cols>
    <col min="1" max="1" width="14.81640625" customWidth="1"/>
    <col min="2" max="2" width="7.1796875" customWidth="1"/>
    <col min="3" max="3" width="9.453125" customWidth="1"/>
    <col min="4" max="4" width="11.54296875" customWidth="1"/>
    <col min="5" max="5" width="11.453125" customWidth="1"/>
    <col min="6" max="6" width="12.453125" customWidth="1"/>
    <col min="7" max="8" width="17.1796875" customWidth="1"/>
    <col min="9" max="9" width="19.453125" bestFit="1" customWidth="1"/>
    <col min="10" max="10" width="14.36328125" bestFit="1" customWidth="1"/>
    <col min="11" max="11" width="16" bestFit="1" customWidth="1"/>
    <col min="12" max="12" width="12.453125" customWidth="1"/>
    <col min="14" max="14" width="12.453125" customWidth="1"/>
    <col min="15" max="15" width="12.54296875" customWidth="1"/>
    <col min="16" max="16" width="11.453125" customWidth="1"/>
  </cols>
  <sheetData>
    <row r="1" spans="1:21">
      <c r="N1" s="1743" t="s">
        <v>1168</v>
      </c>
      <c r="O1" s="1743"/>
      <c r="P1" s="1743"/>
      <c r="Q1" t="s">
        <v>68</v>
      </c>
    </row>
    <row r="2" spans="1:21">
      <c r="A2" s="614" t="s">
        <v>740</v>
      </c>
      <c r="B2" s="614" t="s">
        <v>81</v>
      </c>
      <c r="C2" s="614" t="s">
        <v>741</v>
      </c>
      <c r="D2" s="614" t="s">
        <v>1160</v>
      </c>
      <c r="E2" s="614" t="s">
        <v>1153</v>
      </c>
      <c r="F2" s="614" t="s">
        <v>1154</v>
      </c>
      <c r="G2" s="614" t="s">
        <v>541</v>
      </c>
      <c r="H2" s="614"/>
      <c r="I2" s="614" t="s">
        <v>4</v>
      </c>
      <c r="J2" s="614" t="s">
        <v>1206</v>
      </c>
      <c r="K2" s="2" t="s">
        <v>1155</v>
      </c>
      <c r="L2" s="2" t="s">
        <v>1124</v>
      </c>
      <c r="M2" s="2" t="s">
        <v>1156</v>
      </c>
      <c r="N2" s="614" t="s">
        <v>741</v>
      </c>
      <c r="O2" s="614" t="s">
        <v>1160</v>
      </c>
      <c r="P2" s="774" t="s">
        <v>1153</v>
      </c>
    </row>
    <row r="3" spans="1:21">
      <c r="A3" s="190" t="s">
        <v>1157</v>
      </c>
      <c r="B3" s="190" t="s">
        <v>42</v>
      </c>
      <c r="C3" s="382">
        <v>58</v>
      </c>
      <c r="D3" s="382">
        <v>0</v>
      </c>
      <c r="E3" s="191">
        <f>C3*60</f>
        <v>3480</v>
      </c>
      <c r="F3" s="354">
        <v>349</v>
      </c>
      <c r="G3" s="382">
        <f>(F3+5)*1.1023</f>
        <v>390.21420000000001</v>
      </c>
      <c r="H3" s="382"/>
      <c r="I3" s="191" t="s">
        <v>94</v>
      </c>
      <c r="J3" s="941" t="s">
        <v>1211</v>
      </c>
      <c r="K3" s="8" t="s">
        <v>351</v>
      </c>
      <c r="L3" s="14" t="s">
        <v>633</v>
      </c>
      <c r="M3" s="615" t="s">
        <v>1161</v>
      </c>
      <c r="N3" s="382">
        <v>58</v>
      </c>
      <c r="O3" s="382">
        <v>1</v>
      </c>
      <c r="P3" s="775">
        <f>N3*60+O3</f>
        <v>3481</v>
      </c>
    </row>
    <row r="4" spans="1:21">
      <c r="A4" s="190" t="s">
        <v>1157</v>
      </c>
      <c r="B4" s="190" t="s">
        <v>42</v>
      </c>
      <c r="C4" s="382">
        <v>73</v>
      </c>
      <c r="D4" s="382">
        <v>0</v>
      </c>
      <c r="E4" s="191">
        <f t="shared" ref="E4:E7" si="0">C4*60</f>
        <v>4380</v>
      </c>
      <c r="F4" s="354">
        <v>334</v>
      </c>
      <c r="G4" s="382">
        <f>(F4+5)*1.1023</f>
        <v>373.67970000000003</v>
      </c>
      <c r="H4" s="382"/>
      <c r="I4" s="191" t="s">
        <v>45</v>
      </c>
      <c r="J4" s="941" t="s">
        <v>1210</v>
      </c>
      <c r="K4" s="8" t="s">
        <v>354</v>
      </c>
      <c r="L4" s="14" t="s">
        <v>434</v>
      </c>
      <c r="M4" s="615" t="s">
        <v>1162</v>
      </c>
      <c r="N4" s="382">
        <v>73</v>
      </c>
      <c r="O4" s="382">
        <v>6</v>
      </c>
      <c r="P4" s="775">
        <f t="shared" ref="P4:P7" si="1">N4*60+O4</f>
        <v>4386</v>
      </c>
    </row>
    <row r="5" spans="1:21">
      <c r="A5" s="616" t="s">
        <v>1157</v>
      </c>
      <c r="B5" s="616" t="s">
        <v>43</v>
      </c>
      <c r="C5" s="647">
        <v>48</v>
      </c>
      <c r="D5" s="382">
        <v>0</v>
      </c>
      <c r="E5" s="191">
        <f t="shared" si="0"/>
        <v>2880</v>
      </c>
      <c r="F5" s="354">
        <v>324</v>
      </c>
      <c r="G5" s="382">
        <f t="shared" ref="G5:G7" si="2">(F5+5)*1.1023</f>
        <v>362.6567</v>
      </c>
      <c r="H5" s="382"/>
      <c r="I5" s="617" t="s">
        <v>45</v>
      </c>
      <c r="J5" s="941" t="s">
        <v>1210</v>
      </c>
      <c r="K5" s="8" t="s">
        <v>354</v>
      </c>
      <c r="L5" s="618" t="s">
        <v>697</v>
      </c>
      <c r="M5" s="619" t="s">
        <v>1163</v>
      </c>
      <c r="N5" s="647">
        <v>48</v>
      </c>
      <c r="O5" s="382">
        <v>22</v>
      </c>
      <c r="P5" s="775">
        <f t="shared" si="1"/>
        <v>2902</v>
      </c>
    </row>
    <row r="6" spans="1:21">
      <c r="A6" s="190" t="s">
        <v>1157</v>
      </c>
      <c r="B6" s="190" t="s">
        <v>45</v>
      </c>
      <c r="C6" s="382">
        <v>56</v>
      </c>
      <c r="D6" s="382">
        <v>0</v>
      </c>
      <c r="E6" s="191">
        <f t="shared" si="0"/>
        <v>3360</v>
      </c>
      <c r="F6" s="354">
        <v>314</v>
      </c>
      <c r="G6" s="382">
        <f t="shared" si="2"/>
        <v>351.63370000000003</v>
      </c>
      <c r="H6" s="382"/>
      <c r="I6" s="191" t="s">
        <v>45</v>
      </c>
      <c r="J6" s="941" t="s">
        <v>1210</v>
      </c>
      <c r="K6" s="8" t="s">
        <v>354</v>
      </c>
      <c r="L6" s="14" t="s">
        <v>1159</v>
      </c>
      <c r="M6" s="615" t="s">
        <v>1164</v>
      </c>
      <c r="N6" s="382">
        <v>56</v>
      </c>
      <c r="O6" s="382">
        <v>6</v>
      </c>
      <c r="P6" s="775">
        <f t="shared" si="1"/>
        <v>3366</v>
      </c>
    </row>
    <row r="7" spans="1:21">
      <c r="A7" s="190" t="s">
        <v>1157</v>
      </c>
      <c r="B7" s="190" t="s">
        <v>1165</v>
      </c>
      <c r="C7" s="647">
        <v>12</v>
      </c>
      <c r="D7" s="382">
        <v>0</v>
      </c>
      <c r="E7" s="617">
        <f t="shared" si="0"/>
        <v>720</v>
      </c>
      <c r="F7" s="648">
        <v>319</v>
      </c>
      <c r="G7" s="382">
        <f t="shared" si="2"/>
        <v>357.14520000000005</v>
      </c>
      <c r="H7" s="382"/>
      <c r="I7" s="191" t="s">
        <v>54</v>
      </c>
      <c r="J7" s="941" t="s">
        <v>1210</v>
      </c>
      <c r="K7" s="8" t="s">
        <v>354</v>
      </c>
      <c r="L7" s="14" t="s">
        <v>697</v>
      </c>
      <c r="M7" s="615" t="s">
        <v>1158</v>
      </c>
      <c r="N7" s="647">
        <v>12</v>
      </c>
      <c r="O7" s="382">
        <v>0</v>
      </c>
      <c r="P7" s="775">
        <f t="shared" si="1"/>
        <v>720</v>
      </c>
    </row>
    <row r="8" spans="1:21">
      <c r="C8" s="649">
        <f>SUM(C3:C7)</f>
        <v>247</v>
      </c>
      <c r="D8" s="649"/>
      <c r="N8" s="773">
        <f>P8/60</f>
        <v>247.58333333333334</v>
      </c>
      <c r="P8" s="776">
        <f>SUM(P3:P7)</f>
        <v>14855</v>
      </c>
    </row>
    <row r="13" spans="1:21">
      <c r="U13">
        <f>SUM(U3:U12)</f>
        <v>0</v>
      </c>
    </row>
    <row r="16" spans="1:21">
      <c r="U16">
        <f>SUM(U14:U15)</f>
        <v>0</v>
      </c>
    </row>
    <row r="17" spans="4:8">
      <c r="D17">
        <v>1</v>
      </c>
    </row>
    <row r="23" spans="4:8">
      <c r="H23" t="s">
        <v>1375</v>
      </c>
    </row>
    <row r="24" spans="4:8">
      <c r="H24">
        <v>350</v>
      </c>
    </row>
    <row r="29" spans="4:8">
      <c r="H29" t="s">
        <v>1164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mergeCells count="1">
    <mergeCell ref="N1:P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C4EB-0549-407C-A0EB-39CE9A74C712}">
  <sheetPr>
    <tabColor rgb="FF00B0F0"/>
  </sheetPr>
  <dimension ref="A1:V63"/>
  <sheetViews>
    <sheetView topLeftCell="E1" workbookViewId="0">
      <selection activeCell="H30" sqref="H30"/>
    </sheetView>
  </sheetViews>
  <sheetFormatPr defaultRowHeight="14.5"/>
  <cols>
    <col min="1" max="1" width="16" customWidth="1"/>
    <col min="2" max="2" width="11.81640625" customWidth="1"/>
    <col min="3" max="3" width="12.1796875" customWidth="1"/>
    <col min="4" max="5" width="8.81640625" customWidth="1"/>
    <col min="6" max="6" width="11.54296875" customWidth="1"/>
    <col min="7" max="8" width="12.1796875" customWidth="1"/>
    <col min="9" max="9" width="19.453125" bestFit="1" customWidth="1"/>
    <col min="10" max="10" width="14.90625" bestFit="1" customWidth="1"/>
    <col min="11" max="11" width="15.54296875" bestFit="1" customWidth="1"/>
    <col min="12" max="12" width="14.1796875" customWidth="1"/>
    <col min="13" max="13" width="8.81640625" customWidth="1"/>
    <col min="14" max="14" width="14.81640625" customWidth="1"/>
    <col min="15" max="15" width="18.81640625" customWidth="1"/>
    <col min="16" max="19" width="18" customWidth="1"/>
  </cols>
  <sheetData>
    <row r="1" spans="1:22" ht="15" thickBot="1">
      <c r="K1" t="s">
        <v>1217</v>
      </c>
      <c r="M1">
        <v>250</v>
      </c>
      <c r="O1" s="16"/>
      <c r="T1" t="s">
        <v>1274</v>
      </c>
    </row>
    <row r="2" spans="1:22">
      <c r="A2" s="976" t="s">
        <v>1218</v>
      </c>
      <c r="B2" s="977" t="s">
        <v>22</v>
      </c>
      <c r="C2" s="977" t="s">
        <v>23</v>
      </c>
      <c r="D2" s="977" t="s">
        <v>24</v>
      </c>
      <c r="E2" s="977" t="s">
        <v>1160</v>
      </c>
      <c r="F2" s="977" t="s">
        <v>112</v>
      </c>
      <c r="G2" s="977" t="s">
        <v>1219</v>
      </c>
      <c r="H2" s="978"/>
      <c r="I2" s="978" t="s">
        <v>1220</v>
      </c>
      <c r="J2" s="979" t="s">
        <v>1221</v>
      </c>
      <c r="K2" s="979" t="s">
        <v>348</v>
      </c>
      <c r="L2" s="979" t="s">
        <v>1205</v>
      </c>
      <c r="M2" s="979" t="s">
        <v>814</v>
      </c>
      <c r="N2" s="979" t="s">
        <v>679</v>
      </c>
      <c r="O2" s="980" t="s">
        <v>30</v>
      </c>
      <c r="P2" s="620" t="s">
        <v>405</v>
      </c>
      <c r="Q2" s="620" t="s">
        <v>1235</v>
      </c>
      <c r="R2" s="620" t="s">
        <v>1236</v>
      </c>
      <c r="S2" s="620" t="s">
        <v>406</v>
      </c>
      <c r="T2" s="620" t="s">
        <v>24</v>
      </c>
      <c r="U2" s="620" t="s">
        <v>161</v>
      </c>
      <c r="V2" s="620" t="s">
        <v>486</v>
      </c>
    </row>
    <row r="3" spans="1:22">
      <c r="A3" s="981" t="s">
        <v>1222</v>
      </c>
      <c r="B3" s="981" t="s">
        <v>1223</v>
      </c>
      <c r="C3" s="981" t="s">
        <v>43</v>
      </c>
      <c r="D3" s="981">
        <v>26</v>
      </c>
      <c r="E3" s="981">
        <v>21</v>
      </c>
      <c r="F3" s="982">
        <v>1581</v>
      </c>
      <c r="G3" s="981">
        <v>298</v>
      </c>
      <c r="H3" s="981"/>
      <c r="I3" s="982">
        <f t="shared" ref="I3:I18" si="0">F3/60*G3*1.2</f>
        <v>9422.76</v>
      </c>
      <c r="J3" s="14" t="s">
        <v>54</v>
      </c>
      <c r="K3" s="14"/>
      <c r="L3" s="14">
        <v>90534</v>
      </c>
      <c r="M3" s="14" t="s">
        <v>354</v>
      </c>
      <c r="N3" s="14" t="s">
        <v>697</v>
      </c>
      <c r="O3" s="44">
        <f>G3/1.1023-$M$1</f>
        <v>20.343826544497858</v>
      </c>
      <c r="P3" s="14" t="s">
        <v>1237</v>
      </c>
      <c r="Q3" s="14">
        <v>26</v>
      </c>
      <c r="R3" s="14">
        <v>21</v>
      </c>
      <c r="S3" s="999">
        <v>1581</v>
      </c>
      <c r="T3" s="14">
        <v>26</v>
      </c>
      <c r="U3" s="14">
        <v>25</v>
      </c>
      <c r="V3" s="14">
        <v>1584.7</v>
      </c>
    </row>
    <row r="4" spans="1:22">
      <c r="A4" s="981" t="s">
        <v>1222</v>
      </c>
      <c r="B4" s="981" t="s">
        <v>1223</v>
      </c>
      <c r="C4" s="981" t="s">
        <v>44</v>
      </c>
      <c r="D4" s="981">
        <v>3</v>
      </c>
      <c r="E4" s="981" t="s">
        <v>1224</v>
      </c>
      <c r="F4" s="981">
        <v>180</v>
      </c>
      <c r="G4" s="981">
        <v>298</v>
      </c>
      <c r="H4" s="981"/>
      <c r="I4" s="982">
        <f t="shared" si="0"/>
        <v>1072.8</v>
      </c>
      <c r="J4" s="14" t="s">
        <v>54</v>
      </c>
      <c r="K4" s="14"/>
      <c r="L4" s="14">
        <v>90534</v>
      </c>
      <c r="M4" s="14" t="s">
        <v>354</v>
      </c>
      <c r="N4" s="14" t="s">
        <v>697</v>
      </c>
      <c r="O4" s="44">
        <f t="shared" ref="O4:O29" si="1">G4/1.1023-$M$1</f>
        <v>20.343826544497858</v>
      </c>
      <c r="P4" s="14" t="s">
        <v>1238</v>
      </c>
      <c r="Q4" s="14">
        <v>3</v>
      </c>
      <c r="R4" s="14">
        <v>0</v>
      </c>
      <c r="S4" s="999">
        <v>178</v>
      </c>
      <c r="T4" s="14">
        <v>2</v>
      </c>
      <c r="U4" s="14">
        <v>56</v>
      </c>
      <c r="V4" s="14">
        <v>176.3</v>
      </c>
    </row>
    <row r="5" spans="1:22">
      <c r="A5" s="981" t="s">
        <v>1222</v>
      </c>
      <c r="B5" s="981" t="s">
        <v>1223</v>
      </c>
      <c r="C5" s="981" t="s">
        <v>45</v>
      </c>
      <c r="D5" s="981">
        <v>16</v>
      </c>
      <c r="E5" s="981">
        <v>46</v>
      </c>
      <c r="F5" s="982">
        <v>1006</v>
      </c>
      <c r="G5" s="981">
        <v>277</v>
      </c>
      <c r="H5" s="981"/>
      <c r="I5" s="982">
        <f t="shared" si="0"/>
        <v>5573.24</v>
      </c>
      <c r="J5" s="14" t="s">
        <v>56</v>
      </c>
      <c r="K5" s="14"/>
      <c r="L5" s="14">
        <v>90534</v>
      </c>
      <c r="M5" s="14" t="s">
        <v>354</v>
      </c>
      <c r="N5" s="14" t="s">
        <v>435</v>
      </c>
      <c r="O5" s="44">
        <f t="shared" si="1"/>
        <v>1.2927515195500234</v>
      </c>
      <c r="P5" s="14" t="s">
        <v>1239</v>
      </c>
      <c r="Q5" s="14">
        <v>16</v>
      </c>
      <c r="R5" s="14">
        <v>46</v>
      </c>
      <c r="S5" s="999">
        <v>1006</v>
      </c>
      <c r="T5" s="14">
        <v>16</v>
      </c>
      <c r="U5" s="14">
        <v>50</v>
      </c>
      <c r="V5" s="14">
        <v>1009.7</v>
      </c>
    </row>
    <row r="6" spans="1:22">
      <c r="A6" s="981" t="s">
        <v>1222</v>
      </c>
      <c r="B6" s="981" t="s">
        <v>1225</v>
      </c>
      <c r="C6" s="981" t="s">
        <v>42</v>
      </c>
      <c r="D6" s="981" t="s">
        <v>1224</v>
      </c>
      <c r="E6" s="981">
        <v>26</v>
      </c>
      <c r="F6" s="981">
        <v>26</v>
      </c>
      <c r="G6" s="981">
        <v>298</v>
      </c>
      <c r="H6" s="981"/>
      <c r="I6" s="982">
        <f t="shared" si="0"/>
        <v>154.95999999999998</v>
      </c>
      <c r="J6" s="14" t="s">
        <v>56</v>
      </c>
      <c r="K6" s="14"/>
      <c r="L6" s="14">
        <v>90534</v>
      </c>
      <c r="M6" s="14" t="s">
        <v>354</v>
      </c>
      <c r="N6" s="14" t="s">
        <v>426</v>
      </c>
      <c r="O6" s="44">
        <f t="shared" si="1"/>
        <v>20.343826544497858</v>
      </c>
      <c r="P6" s="14" t="s">
        <v>1240</v>
      </c>
      <c r="Q6" s="14">
        <v>0</v>
      </c>
      <c r="R6" s="14">
        <v>26</v>
      </c>
      <c r="S6" s="999">
        <v>26</v>
      </c>
      <c r="T6" s="14">
        <v>0</v>
      </c>
      <c r="U6" s="14">
        <v>25</v>
      </c>
      <c r="V6" s="14">
        <v>25.1</v>
      </c>
    </row>
    <row r="7" spans="1:22">
      <c r="A7" s="981" t="s">
        <v>1222</v>
      </c>
      <c r="B7" s="981" t="s">
        <v>1225</v>
      </c>
      <c r="C7" s="981" t="s">
        <v>43</v>
      </c>
      <c r="D7" s="981">
        <v>2</v>
      </c>
      <c r="E7" s="981">
        <v>45</v>
      </c>
      <c r="F7" s="981">
        <v>165</v>
      </c>
      <c r="G7" s="981">
        <v>287</v>
      </c>
      <c r="H7" s="981"/>
      <c r="I7" s="982">
        <f t="shared" si="0"/>
        <v>947.09999999999991</v>
      </c>
      <c r="J7" s="14" t="s">
        <v>56</v>
      </c>
      <c r="K7" s="14"/>
      <c r="L7" s="14">
        <v>90534</v>
      </c>
      <c r="M7" s="14" t="s">
        <v>354</v>
      </c>
      <c r="N7" s="14" t="s">
        <v>749</v>
      </c>
      <c r="O7" s="44">
        <f t="shared" si="1"/>
        <v>10.36469200762042</v>
      </c>
      <c r="P7" s="14" t="s">
        <v>1241</v>
      </c>
      <c r="Q7" s="14">
        <v>2</v>
      </c>
      <c r="R7" s="14">
        <v>45</v>
      </c>
      <c r="S7" s="999">
        <v>165</v>
      </c>
      <c r="T7" s="14">
        <v>2</v>
      </c>
      <c r="U7" s="14">
        <v>44</v>
      </c>
      <c r="V7" s="14">
        <v>164.3</v>
      </c>
    </row>
    <row r="8" spans="1:22">
      <c r="A8" s="981" t="s">
        <v>1222</v>
      </c>
      <c r="B8" s="981" t="s">
        <v>1225</v>
      </c>
      <c r="C8" s="981" t="s">
        <v>44</v>
      </c>
      <c r="D8" s="981" t="s">
        <v>1224</v>
      </c>
      <c r="E8" s="981">
        <v>14</v>
      </c>
      <c r="F8" s="981">
        <v>14</v>
      </c>
      <c r="G8" s="981">
        <v>287</v>
      </c>
      <c r="H8" s="981"/>
      <c r="I8" s="982">
        <f t="shared" si="0"/>
        <v>80.36</v>
      </c>
      <c r="J8" s="14" t="s">
        <v>57</v>
      </c>
      <c r="K8" s="14"/>
      <c r="L8" s="14">
        <v>90534</v>
      </c>
      <c r="M8" s="14" t="s">
        <v>354</v>
      </c>
      <c r="N8" s="14" t="s">
        <v>749</v>
      </c>
      <c r="O8" s="44">
        <f t="shared" si="1"/>
        <v>10.36469200762042</v>
      </c>
      <c r="P8" s="14" t="s">
        <v>1242</v>
      </c>
      <c r="Q8" s="14">
        <v>0</v>
      </c>
      <c r="R8" s="14">
        <v>14</v>
      </c>
      <c r="S8" s="999">
        <v>14</v>
      </c>
      <c r="T8" s="14">
        <v>0</v>
      </c>
      <c r="U8" s="14">
        <v>14</v>
      </c>
      <c r="V8" s="14">
        <v>14.1</v>
      </c>
    </row>
    <row r="9" spans="1:22">
      <c r="A9" s="981" t="s">
        <v>1222</v>
      </c>
      <c r="B9" s="981" t="s">
        <v>1225</v>
      </c>
      <c r="C9" s="981" t="s">
        <v>45</v>
      </c>
      <c r="D9" s="981">
        <v>2</v>
      </c>
      <c r="E9" s="981">
        <v>13</v>
      </c>
      <c r="F9" s="981">
        <v>133</v>
      </c>
      <c r="G9" s="981">
        <v>271</v>
      </c>
      <c r="H9" s="981"/>
      <c r="I9" s="982">
        <f t="shared" si="0"/>
        <v>720.86</v>
      </c>
      <c r="J9" s="14" t="s">
        <v>56</v>
      </c>
      <c r="K9" s="14"/>
      <c r="L9" s="14">
        <v>90534</v>
      </c>
      <c r="M9" s="14" t="s">
        <v>354</v>
      </c>
      <c r="N9" s="14" t="s">
        <v>435</v>
      </c>
      <c r="O9" s="44">
        <f t="shared" si="1"/>
        <v>-4.1504127732922313</v>
      </c>
      <c r="P9" s="14" t="s">
        <v>1243</v>
      </c>
      <c r="Q9" s="14">
        <v>2</v>
      </c>
      <c r="R9" s="14">
        <v>13</v>
      </c>
      <c r="S9" s="999">
        <v>133</v>
      </c>
      <c r="T9" s="14">
        <v>2</v>
      </c>
      <c r="U9" s="14">
        <v>12</v>
      </c>
      <c r="V9" s="14">
        <v>132.30000000000001</v>
      </c>
    </row>
    <row r="10" spans="1:22">
      <c r="A10" s="981" t="s">
        <v>1222</v>
      </c>
      <c r="B10" s="981" t="s">
        <v>1226</v>
      </c>
      <c r="C10" s="981" t="s">
        <v>42</v>
      </c>
      <c r="D10" s="981" t="s">
        <v>1224</v>
      </c>
      <c r="E10" s="981">
        <v>18</v>
      </c>
      <c r="F10" s="981">
        <v>18</v>
      </c>
      <c r="G10" s="981">
        <v>292</v>
      </c>
      <c r="H10" s="981"/>
      <c r="I10" s="982">
        <f t="shared" si="0"/>
        <v>105.11999999999999</v>
      </c>
      <c r="J10" s="14" t="s">
        <v>56</v>
      </c>
      <c r="K10" s="14"/>
      <c r="L10" s="14">
        <v>90534</v>
      </c>
      <c r="M10" s="14" t="s">
        <v>354</v>
      </c>
      <c r="N10" s="14" t="s">
        <v>426</v>
      </c>
      <c r="O10" s="44">
        <f t="shared" si="1"/>
        <v>14.900662251655604</v>
      </c>
      <c r="P10" s="14" t="s">
        <v>1244</v>
      </c>
      <c r="Q10" s="14">
        <v>0</v>
      </c>
      <c r="R10" s="14">
        <v>18</v>
      </c>
      <c r="S10" s="999">
        <v>18</v>
      </c>
      <c r="T10" s="14">
        <v>0</v>
      </c>
      <c r="U10" s="14">
        <v>17</v>
      </c>
      <c r="V10" s="14">
        <v>17.100000000000001</v>
      </c>
    </row>
    <row r="11" spans="1:22">
      <c r="A11" s="981" t="s">
        <v>1222</v>
      </c>
      <c r="B11" s="981" t="s">
        <v>1226</v>
      </c>
      <c r="C11" s="981" t="s">
        <v>43</v>
      </c>
      <c r="D11" s="981">
        <v>2</v>
      </c>
      <c r="E11" s="981">
        <v>48</v>
      </c>
      <c r="F11" s="981">
        <v>168</v>
      </c>
      <c r="G11" s="981">
        <v>287</v>
      </c>
      <c r="H11" s="981"/>
      <c r="I11" s="982">
        <f t="shared" si="0"/>
        <v>964.31999999999982</v>
      </c>
      <c r="J11" s="14" t="s">
        <v>56</v>
      </c>
      <c r="K11" s="14"/>
      <c r="L11" s="14">
        <v>90534</v>
      </c>
      <c r="M11" s="14" t="s">
        <v>354</v>
      </c>
      <c r="N11" s="14" t="s">
        <v>749</v>
      </c>
      <c r="O11" s="44">
        <f t="shared" si="1"/>
        <v>10.36469200762042</v>
      </c>
      <c r="P11" s="14" t="s">
        <v>1245</v>
      </c>
      <c r="Q11" s="14">
        <v>2</v>
      </c>
      <c r="R11" s="14">
        <v>48</v>
      </c>
      <c r="S11" s="999">
        <v>168</v>
      </c>
      <c r="T11" s="14">
        <v>2</v>
      </c>
      <c r="U11" s="14">
        <v>50</v>
      </c>
      <c r="V11" s="14">
        <v>170.3</v>
      </c>
    </row>
    <row r="12" spans="1:22">
      <c r="A12" s="981" t="s">
        <v>1222</v>
      </c>
      <c r="B12" s="981" t="s">
        <v>1226</v>
      </c>
      <c r="C12" s="981" t="s">
        <v>44</v>
      </c>
      <c r="D12" s="981" t="s">
        <v>1224</v>
      </c>
      <c r="E12" s="981">
        <v>14</v>
      </c>
      <c r="F12" s="981">
        <v>14</v>
      </c>
      <c r="G12" s="981">
        <v>287</v>
      </c>
      <c r="H12" s="981"/>
      <c r="I12" s="982">
        <f t="shared" si="0"/>
        <v>80.36</v>
      </c>
      <c r="J12" s="14" t="s">
        <v>57</v>
      </c>
      <c r="K12" s="14"/>
      <c r="L12" s="14">
        <v>90534</v>
      </c>
      <c r="M12" s="14" t="s">
        <v>354</v>
      </c>
      <c r="N12" s="14" t="s">
        <v>749</v>
      </c>
      <c r="O12" s="44">
        <f t="shared" si="1"/>
        <v>10.36469200762042</v>
      </c>
      <c r="P12" s="14" t="s">
        <v>1246</v>
      </c>
      <c r="Q12" s="14">
        <v>0</v>
      </c>
      <c r="R12" s="14">
        <v>14</v>
      </c>
      <c r="S12" s="999">
        <v>14</v>
      </c>
      <c r="T12" s="14">
        <v>0</v>
      </c>
      <c r="U12" s="14">
        <v>14</v>
      </c>
      <c r="V12" s="14">
        <v>14.1</v>
      </c>
    </row>
    <row r="13" spans="1:22">
      <c r="A13" s="981" t="s">
        <v>1222</v>
      </c>
      <c r="B13" s="981" t="s">
        <v>1226</v>
      </c>
      <c r="C13" s="981" t="s">
        <v>45</v>
      </c>
      <c r="D13" s="981">
        <v>3</v>
      </c>
      <c r="E13" s="981" t="s">
        <v>1224</v>
      </c>
      <c r="F13" s="981">
        <v>180</v>
      </c>
      <c r="G13" s="981">
        <v>271</v>
      </c>
      <c r="H13" s="981"/>
      <c r="I13" s="982">
        <f t="shared" si="0"/>
        <v>975.59999999999991</v>
      </c>
      <c r="J13" s="14" t="s">
        <v>56</v>
      </c>
      <c r="K13" s="14"/>
      <c r="L13" s="14">
        <v>90534</v>
      </c>
      <c r="M13" s="14" t="s">
        <v>354</v>
      </c>
      <c r="N13" s="14" t="s">
        <v>435</v>
      </c>
      <c r="O13" s="44">
        <f t="shared" si="1"/>
        <v>-4.1504127732922313</v>
      </c>
      <c r="P13" s="14" t="s">
        <v>1247</v>
      </c>
      <c r="Q13" s="14">
        <v>3</v>
      </c>
      <c r="R13" s="14">
        <v>0</v>
      </c>
      <c r="S13" s="999">
        <v>180</v>
      </c>
      <c r="T13" s="14">
        <v>2</v>
      </c>
      <c r="U13" s="14">
        <f>SUM(U3:U12)</f>
        <v>307</v>
      </c>
      <c r="V13" s="14">
        <v>179.3</v>
      </c>
    </row>
    <row r="14" spans="1:22">
      <c r="A14" s="981" t="s">
        <v>1227</v>
      </c>
      <c r="B14" s="981" t="s">
        <v>1228</v>
      </c>
      <c r="C14" s="981" t="s">
        <v>43</v>
      </c>
      <c r="D14" s="981">
        <v>22</v>
      </c>
      <c r="E14" s="981">
        <v>18</v>
      </c>
      <c r="F14" s="982">
        <v>1338</v>
      </c>
      <c r="G14" s="981">
        <v>300</v>
      </c>
      <c r="H14" s="981"/>
      <c r="I14" s="982">
        <f t="shared" si="0"/>
        <v>8028</v>
      </c>
      <c r="J14" s="983" t="s">
        <v>54</v>
      </c>
      <c r="K14" s="983"/>
      <c r="L14" s="14">
        <v>90534</v>
      </c>
      <c r="M14" s="14" t="s">
        <v>354</v>
      </c>
      <c r="N14" s="14" t="s">
        <v>697</v>
      </c>
      <c r="O14" s="44">
        <f t="shared" si="1"/>
        <v>22.158214642111943</v>
      </c>
      <c r="P14" s="14" t="s">
        <v>1248</v>
      </c>
      <c r="Q14" s="14">
        <v>22</v>
      </c>
      <c r="R14" s="14">
        <v>18</v>
      </c>
      <c r="S14" s="999">
        <v>1338</v>
      </c>
      <c r="T14" s="14">
        <v>22</v>
      </c>
      <c r="U14" s="14">
        <v>24</v>
      </c>
      <c r="V14" s="14">
        <v>1344.3</v>
      </c>
    </row>
    <row r="15" spans="1:22">
      <c r="A15" s="981" t="s">
        <v>1227</v>
      </c>
      <c r="B15" s="981" t="s">
        <v>1228</v>
      </c>
      <c r="C15" s="981" t="s">
        <v>45</v>
      </c>
      <c r="D15" s="981">
        <v>20</v>
      </c>
      <c r="E15" s="981">
        <v>48</v>
      </c>
      <c r="F15" s="982">
        <v>1248</v>
      </c>
      <c r="G15" s="981">
        <v>277</v>
      </c>
      <c r="H15" s="981"/>
      <c r="I15" s="982">
        <f t="shared" si="0"/>
        <v>6913.92</v>
      </c>
      <c r="J15" s="983" t="s">
        <v>56</v>
      </c>
      <c r="K15" s="983"/>
      <c r="L15" s="14">
        <v>90534</v>
      </c>
      <c r="M15" s="14" t="s">
        <v>354</v>
      </c>
      <c r="N15" s="14" t="s">
        <v>435</v>
      </c>
      <c r="O15" s="44">
        <f t="shared" si="1"/>
        <v>1.2927515195500234</v>
      </c>
      <c r="P15" s="14" t="s">
        <v>1249</v>
      </c>
      <c r="Q15" s="14">
        <v>20</v>
      </c>
      <c r="R15" s="14">
        <v>48</v>
      </c>
      <c r="S15" s="999">
        <v>1248</v>
      </c>
      <c r="T15" s="14">
        <v>20</v>
      </c>
      <c r="U15" s="14">
        <v>53</v>
      </c>
      <c r="V15" s="14">
        <v>1253.0999999999999</v>
      </c>
    </row>
    <row r="16" spans="1:22">
      <c r="A16" s="981" t="s">
        <v>1227</v>
      </c>
      <c r="B16" s="981" t="s">
        <v>1229</v>
      </c>
      <c r="C16" s="981" t="s">
        <v>43</v>
      </c>
      <c r="D16" s="981">
        <v>3</v>
      </c>
      <c r="E16" s="981">
        <v>38</v>
      </c>
      <c r="F16" s="981">
        <v>218</v>
      </c>
      <c r="G16" s="981">
        <v>298</v>
      </c>
      <c r="H16" s="981"/>
      <c r="I16" s="982">
        <f t="shared" si="0"/>
        <v>1299.28</v>
      </c>
      <c r="J16" s="983" t="s">
        <v>56</v>
      </c>
      <c r="K16" s="983"/>
      <c r="L16" s="14">
        <v>90534</v>
      </c>
      <c r="M16" s="14" t="s">
        <v>354</v>
      </c>
      <c r="N16" s="14" t="s">
        <v>749</v>
      </c>
      <c r="O16" s="44">
        <f t="shared" si="1"/>
        <v>20.343826544497858</v>
      </c>
      <c r="P16" s="14" t="s">
        <v>1250</v>
      </c>
      <c r="Q16" s="14">
        <v>3</v>
      </c>
      <c r="R16" s="14">
        <v>38</v>
      </c>
      <c r="S16" s="999">
        <v>218</v>
      </c>
      <c r="T16" s="14">
        <v>3</v>
      </c>
      <c r="U16" s="14">
        <f>SUM(U14:U15)</f>
        <v>77</v>
      </c>
      <c r="V16" s="14">
        <v>217.4</v>
      </c>
    </row>
    <row r="17" spans="1:22">
      <c r="A17" s="981" t="s">
        <v>1227</v>
      </c>
      <c r="B17" s="981" t="s">
        <v>1230</v>
      </c>
      <c r="C17" s="981" t="s">
        <v>44</v>
      </c>
      <c r="D17" s="981" t="s">
        <v>1224</v>
      </c>
      <c r="E17" s="981">
        <v>12</v>
      </c>
      <c r="F17" s="981">
        <v>12</v>
      </c>
      <c r="G17" s="981">
        <v>298</v>
      </c>
      <c r="H17" s="981"/>
      <c r="I17" s="982">
        <f t="shared" si="0"/>
        <v>71.52</v>
      </c>
      <c r="J17" s="983" t="s">
        <v>56</v>
      </c>
      <c r="K17" s="983"/>
      <c r="L17" s="14">
        <v>90534</v>
      </c>
      <c r="M17" s="14" t="s">
        <v>354</v>
      </c>
      <c r="N17" s="14" t="s">
        <v>749</v>
      </c>
      <c r="O17" s="44">
        <f t="shared" si="1"/>
        <v>20.343826544497858</v>
      </c>
      <c r="P17" s="14" t="s">
        <v>1251</v>
      </c>
      <c r="Q17" s="14">
        <v>0</v>
      </c>
      <c r="R17" s="14">
        <v>12</v>
      </c>
      <c r="S17" s="999">
        <v>12</v>
      </c>
      <c r="T17" s="14">
        <v>0</v>
      </c>
      <c r="U17" s="14">
        <v>11</v>
      </c>
      <c r="V17" s="14">
        <v>11.1</v>
      </c>
    </row>
    <row r="18" spans="1:22">
      <c r="A18" s="981" t="s">
        <v>1227</v>
      </c>
      <c r="B18" s="981" t="s">
        <v>1230</v>
      </c>
      <c r="C18" s="981" t="s">
        <v>45</v>
      </c>
      <c r="D18" s="981">
        <v>4</v>
      </c>
      <c r="E18" s="981">
        <v>12</v>
      </c>
      <c r="F18" s="981">
        <v>252</v>
      </c>
      <c r="G18" s="981">
        <v>277</v>
      </c>
      <c r="H18" s="981"/>
      <c r="I18" s="982">
        <f t="shared" si="0"/>
        <v>1396.0800000000002</v>
      </c>
      <c r="J18" s="983" t="s">
        <v>57</v>
      </c>
      <c r="K18" s="983"/>
      <c r="L18" s="14">
        <v>90534</v>
      </c>
      <c r="M18" s="14" t="s">
        <v>354</v>
      </c>
      <c r="N18" s="14" t="s">
        <v>932</v>
      </c>
      <c r="O18" s="44">
        <f t="shared" si="1"/>
        <v>1.2927515195500234</v>
      </c>
      <c r="P18" s="14" t="s">
        <v>1252</v>
      </c>
      <c r="Q18" s="14">
        <v>4</v>
      </c>
      <c r="R18" s="14">
        <v>12</v>
      </c>
      <c r="S18" s="999">
        <v>252</v>
      </c>
      <c r="T18" s="14">
        <v>4</v>
      </c>
      <c r="U18" s="14">
        <v>13</v>
      </c>
      <c r="V18" s="14">
        <v>252.5</v>
      </c>
    </row>
    <row r="19" spans="1:22">
      <c r="A19" s="981" t="s">
        <v>1227</v>
      </c>
      <c r="B19" s="981" t="s">
        <v>1231</v>
      </c>
      <c r="C19" s="981" t="s">
        <v>42</v>
      </c>
      <c r="D19" s="981" t="s">
        <v>1224</v>
      </c>
      <c r="E19" s="981">
        <v>23</v>
      </c>
      <c r="F19" s="981">
        <v>23</v>
      </c>
      <c r="G19" s="981">
        <v>300</v>
      </c>
      <c r="H19" s="981"/>
      <c r="I19" s="982"/>
      <c r="J19" s="983" t="s">
        <v>56</v>
      </c>
      <c r="K19" s="983"/>
      <c r="L19" s="14">
        <v>90534</v>
      </c>
      <c r="M19" s="14" t="s">
        <v>354</v>
      </c>
      <c r="N19" s="14" t="s">
        <v>426</v>
      </c>
      <c r="O19" s="44">
        <f t="shared" si="1"/>
        <v>22.158214642111943</v>
      </c>
      <c r="P19" s="14" t="s">
        <v>1253</v>
      </c>
      <c r="Q19" s="14">
        <v>0</v>
      </c>
      <c r="R19" s="14">
        <v>23</v>
      </c>
      <c r="S19" s="999">
        <v>23</v>
      </c>
      <c r="T19" s="14">
        <v>0</v>
      </c>
      <c r="U19" s="14">
        <v>23</v>
      </c>
      <c r="V19" s="14">
        <v>23.1</v>
      </c>
    </row>
    <row r="20" spans="1:22">
      <c r="A20" s="981" t="s">
        <v>1227</v>
      </c>
      <c r="B20" s="981" t="s">
        <v>1231</v>
      </c>
      <c r="C20" s="981" t="s">
        <v>43</v>
      </c>
      <c r="D20" s="981">
        <v>5</v>
      </c>
      <c r="E20" s="981">
        <v>52</v>
      </c>
      <c r="F20" s="981">
        <v>352</v>
      </c>
      <c r="G20" s="981">
        <v>298</v>
      </c>
      <c r="H20" s="981"/>
      <c r="I20" s="982"/>
      <c r="J20" s="983" t="s">
        <v>56</v>
      </c>
      <c r="K20" s="983"/>
      <c r="L20" s="14">
        <v>90534</v>
      </c>
      <c r="M20" s="14" t="s">
        <v>354</v>
      </c>
      <c r="N20" s="14" t="s">
        <v>749</v>
      </c>
      <c r="O20" s="44">
        <f t="shared" si="1"/>
        <v>20.343826544497858</v>
      </c>
      <c r="P20" s="14" t="s">
        <v>1254</v>
      </c>
      <c r="Q20" s="14">
        <v>5</v>
      </c>
      <c r="R20" s="14">
        <v>52</v>
      </c>
      <c r="S20" s="999">
        <v>352</v>
      </c>
      <c r="T20" s="14">
        <v>5</v>
      </c>
      <c r="U20" s="14">
        <v>53</v>
      </c>
      <c r="V20" s="14">
        <v>352.6</v>
      </c>
    </row>
    <row r="21" spans="1:22">
      <c r="A21" s="981" t="s">
        <v>1227</v>
      </c>
      <c r="B21" s="984" t="s">
        <v>1231</v>
      </c>
      <c r="C21" s="984" t="s">
        <v>44</v>
      </c>
      <c r="D21" s="984" t="s">
        <v>1224</v>
      </c>
      <c r="E21" s="984">
        <v>20</v>
      </c>
      <c r="F21" s="981">
        <v>20</v>
      </c>
      <c r="G21" s="984">
        <v>298</v>
      </c>
      <c r="H21" s="984"/>
      <c r="I21" s="982">
        <f t="shared" ref="I21:I29" si="2">F21/60*G21*1.2</f>
        <v>119.19999999999999</v>
      </c>
      <c r="J21" s="983" t="s">
        <v>56</v>
      </c>
      <c r="K21" s="983"/>
      <c r="L21" s="14">
        <v>90534</v>
      </c>
      <c r="M21" s="14" t="s">
        <v>354</v>
      </c>
      <c r="N21" s="14" t="s">
        <v>749</v>
      </c>
      <c r="O21" s="44">
        <f t="shared" si="1"/>
        <v>20.343826544497858</v>
      </c>
      <c r="P21" s="14" t="s">
        <v>1255</v>
      </c>
      <c r="Q21" s="14">
        <v>0</v>
      </c>
      <c r="R21" s="14">
        <v>20</v>
      </c>
      <c r="S21" s="999">
        <v>20</v>
      </c>
      <c r="T21" s="14">
        <v>0</v>
      </c>
      <c r="U21" s="14">
        <v>20</v>
      </c>
      <c r="V21" s="14">
        <v>20.100000000000001</v>
      </c>
    </row>
    <row r="22" spans="1:22">
      <c r="A22" s="981" t="s">
        <v>1227</v>
      </c>
      <c r="B22" s="984" t="s">
        <v>1231</v>
      </c>
      <c r="C22" s="984" t="s">
        <v>45</v>
      </c>
      <c r="D22" s="984">
        <v>8</v>
      </c>
      <c r="E22" s="984">
        <v>20</v>
      </c>
      <c r="F22" s="981">
        <v>500</v>
      </c>
      <c r="G22" s="984">
        <v>277</v>
      </c>
      <c r="H22" s="984"/>
      <c r="I22" s="982">
        <f t="shared" si="2"/>
        <v>2770</v>
      </c>
      <c r="J22" s="983" t="s">
        <v>57</v>
      </c>
      <c r="K22" s="983"/>
      <c r="L22" s="14">
        <v>90534</v>
      </c>
      <c r="M22" s="14" t="s">
        <v>354</v>
      </c>
      <c r="N22" s="14" t="s">
        <v>932</v>
      </c>
      <c r="O22" s="44">
        <f t="shared" si="1"/>
        <v>1.2927515195500234</v>
      </c>
      <c r="P22" s="14" t="s">
        <v>1256</v>
      </c>
      <c r="Q22" s="14">
        <v>8</v>
      </c>
      <c r="R22" s="14">
        <v>20</v>
      </c>
      <c r="S22" s="999">
        <v>500</v>
      </c>
      <c r="T22" s="14">
        <v>8</v>
      </c>
      <c r="U22" s="14">
        <v>22</v>
      </c>
      <c r="V22" s="14">
        <v>501.9</v>
      </c>
    </row>
    <row r="23" spans="1:22">
      <c r="A23" s="981" t="s">
        <v>1227</v>
      </c>
      <c r="B23" s="984" t="s">
        <v>1232</v>
      </c>
      <c r="C23" s="984" t="s">
        <v>42</v>
      </c>
      <c r="D23" s="984" t="s">
        <v>1224</v>
      </c>
      <c r="E23" s="984">
        <v>35</v>
      </c>
      <c r="F23" s="981">
        <v>35</v>
      </c>
      <c r="G23" s="984">
        <v>260</v>
      </c>
      <c r="H23" s="984" t="s">
        <v>1375</v>
      </c>
      <c r="I23" s="982">
        <f t="shared" si="2"/>
        <v>182.00000000000003</v>
      </c>
      <c r="J23" s="983" t="s">
        <v>525</v>
      </c>
      <c r="K23" s="983"/>
      <c r="L23" s="14">
        <v>90534</v>
      </c>
      <c r="M23" s="14" t="s">
        <v>354</v>
      </c>
      <c r="N23" s="14" t="s">
        <v>426</v>
      </c>
      <c r="O23" s="44">
        <f t="shared" si="1"/>
        <v>-14.12954731016967</v>
      </c>
      <c r="P23" s="14" t="s">
        <v>1257</v>
      </c>
      <c r="Q23" s="14">
        <v>0</v>
      </c>
      <c r="R23" s="14">
        <v>35</v>
      </c>
      <c r="S23" s="999">
        <v>35</v>
      </c>
      <c r="T23" s="14">
        <v>0</v>
      </c>
      <c r="U23" s="14">
        <v>35</v>
      </c>
      <c r="V23" s="14">
        <v>35.1</v>
      </c>
    </row>
    <row r="24" spans="1:22">
      <c r="A24" s="981" t="s">
        <v>1227</v>
      </c>
      <c r="B24" s="984" t="s">
        <v>1232</v>
      </c>
      <c r="C24" s="984" t="s">
        <v>43</v>
      </c>
      <c r="D24" s="984">
        <v>6</v>
      </c>
      <c r="E24" s="984">
        <v>65</v>
      </c>
      <c r="F24" s="981">
        <v>425</v>
      </c>
      <c r="G24" s="984">
        <v>250</v>
      </c>
      <c r="H24" s="14">
        <v>350</v>
      </c>
      <c r="I24" s="982">
        <f t="shared" si="2"/>
        <v>2125</v>
      </c>
      <c r="J24" s="983" t="s">
        <v>525</v>
      </c>
      <c r="K24" s="983"/>
      <c r="L24" s="14">
        <v>90534</v>
      </c>
      <c r="M24" s="14" t="s">
        <v>354</v>
      </c>
      <c r="N24" s="14" t="s">
        <v>749</v>
      </c>
      <c r="O24" s="44">
        <f t="shared" si="1"/>
        <v>-23.201487798240066</v>
      </c>
      <c r="P24" s="14" t="s">
        <v>1258</v>
      </c>
      <c r="Q24" s="14">
        <v>6</v>
      </c>
      <c r="R24" s="14">
        <v>65</v>
      </c>
      <c r="S24" s="999">
        <v>425</v>
      </c>
      <c r="T24" s="14">
        <v>7</v>
      </c>
      <c r="U24" s="14">
        <v>6</v>
      </c>
      <c r="V24" s="14">
        <v>425.7</v>
      </c>
    </row>
    <row r="25" spans="1:22">
      <c r="A25" s="981" t="s">
        <v>1227</v>
      </c>
      <c r="B25" s="984" t="s">
        <v>1232</v>
      </c>
      <c r="C25" s="984" t="s">
        <v>44</v>
      </c>
      <c r="D25" s="984" t="s">
        <v>1224</v>
      </c>
      <c r="E25" s="984">
        <v>49</v>
      </c>
      <c r="F25" s="981">
        <v>49</v>
      </c>
      <c r="G25" s="984">
        <v>250</v>
      </c>
      <c r="H25" s="14" t="s">
        <v>354</v>
      </c>
      <c r="I25" s="982">
        <f t="shared" si="2"/>
        <v>244.99999999999997</v>
      </c>
      <c r="J25" s="983" t="s">
        <v>525</v>
      </c>
      <c r="K25" s="983"/>
      <c r="L25" s="14">
        <v>90534</v>
      </c>
      <c r="M25" s="14" t="s">
        <v>354</v>
      </c>
      <c r="N25" s="14" t="s">
        <v>749</v>
      </c>
      <c r="O25" s="44">
        <f t="shared" si="1"/>
        <v>-23.201487798240066</v>
      </c>
      <c r="P25" s="14" t="s">
        <v>1259</v>
      </c>
      <c r="Q25" s="14">
        <v>0</v>
      </c>
      <c r="R25" s="14">
        <v>49</v>
      </c>
      <c r="S25" s="999">
        <v>49</v>
      </c>
      <c r="T25" s="14">
        <v>0</v>
      </c>
      <c r="U25" s="14">
        <v>49</v>
      </c>
      <c r="V25" s="14">
        <v>49.1</v>
      </c>
    </row>
    <row r="26" spans="1:22">
      <c r="A26" s="981" t="s">
        <v>1227</v>
      </c>
      <c r="B26" s="984" t="s">
        <v>1232</v>
      </c>
      <c r="C26" s="984" t="s">
        <v>45</v>
      </c>
      <c r="D26" s="984">
        <v>15</v>
      </c>
      <c r="E26" s="984">
        <v>13</v>
      </c>
      <c r="F26" s="981">
        <v>913</v>
      </c>
      <c r="G26" s="984">
        <v>235</v>
      </c>
      <c r="H26" s="984"/>
      <c r="I26" s="982">
        <f t="shared" si="2"/>
        <v>4291.0999999999995</v>
      </c>
      <c r="J26" s="983" t="s">
        <v>60</v>
      </c>
      <c r="K26" s="983"/>
      <c r="L26" s="14">
        <v>90534</v>
      </c>
      <c r="M26" s="14" t="s">
        <v>354</v>
      </c>
      <c r="N26" s="14" t="s">
        <v>932</v>
      </c>
      <c r="O26" s="44">
        <f t="shared" si="1"/>
        <v>-36.809398530345646</v>
      </c>
      <c r="P26" s="14" t="s">
        <v>1260</v>
      </c>
      <c r="Q26" s="14">
        <v>15</v>
      </c>
      <c r="R26" s="14">
        <v>13</v>
      </c>
      <c r="S26" s="999">
        <v>913</v>
      </c>
      <c r="T26" s="14">
        <v>15</v>
      </c>
      <c r="U26" s="14">
        <v>14</v>
      </c>
      <c r="V26" s="14">
        <v>913.6</v>
      </c>
    </row>
    <row r="27" spans="1:22">
      <c r="A27" s="981" t="s">
        <v>1227</v>
      </c>
      <c r="B27" s="984" t="s">
        <v>1232</v>
      </c>
      <c r="C27" s="984" t="s">
        <v>47</v>
      </c>
      <c r="D27" s="984">
        <v>10</v>
      </c>
      <c r="E27" s="984">
        <v>67</v>
      </c>
      <c r="F27" s="981">
        <v>667</v>
      </c>
      <c r="G27" s="984">
        <v>145</v>
      </c>
      <c r="H27" s="984" t="s">
        <v>354</v>
      </c>
      <c r="I27" s="982">
        <f t="shared" si="2"/>
        <v>1934.3</v>
      </c>
      <c r="J27" s="983" t="s">
        <v>62</v>
      </c>
      <c r="L27" s="14">
        <v>90535</v>
      </c>
      <c r="M27" s="983" t="s">
        <v>418</v>
      </c>
      <c r="N27" s="14" t="s">
        <v>419</v>
      </c>
      <c r="O27" s="44">
        <f t="shared" si="1"/>
        <v>-118.45686292297924</v>
      </c>
      <c r="P27" s="14" t="s">
        <v>1261</v>
      </c>
      <c r="Q27" s="14">
        <v>10</v>
      </c>
      <c r="R27" s="14">
        <v>67</v>
      </c>
      <c r="S27" s="999">
        <v>667</v>
      </c>
      <c r="T27" s="14">
        <v>11</v>
      </c>
      <c r="U27" s="14">
        <v>7</v>
      </c>
      <c r="V27" s="14">
        <v>667</v>
      </c>
    </row>
    <row r="28" spans="1:22">
      <c r="A28" s="981" t="s">
        <v>1227</v>
      </c>
      <c r="B28" s="984" t="s">
        <v>1263</v>
      </c>
      <c r="C28" s="984" t="s">
        <v>391</v>
      </c>
      <c r="D28" s="981">
        <v>16</v>
      </c>
      <c r="E28" s="981">
        <v>68</v>
      </c>
      <c r="F28" s="982">
        <v>1028</v>
      </c>
      <c r="G28" s="981">
        <v>170</v>
      </c>
      <c r="H28" s="981" t="s">
        <v>354</v>
      </c>
      <c r="I28" s="982">
        <f t="shared" si="2"/>
        <v>3495.2</v>
      </c>
      <c r="J28" s="983" t="s">
        <v>442</v>
      </c>
      <c r="K28" s="983" t="s">
        <v>782</v>
      </c>
      <c r="L28" s="14">
        <v>90535</v>
      </c>
      <c r="M28" s="983" t="s">
        <v>418</v>
      </c>
      <c r="N28" s="14" t="s">
        <v>1233</v>
      </c>
      <c r="O28" s="44">
        <f t="shared" si="1"/>
        <v>-95.777011702803236</v>
      </c>
      <c r="P28" s="14" t="s">
        <v>1264</v>
      </c>
      <c r="Q28" s="14">
        <v>16</v>
      </c>
      <c r="R28" s="14">
        <v>68</v>
      </c>
      <c r="S28" s="999">
        <v>1028</v>
      </c>
      <c r="T28" s="14">
        <v>17</v>
      </c>
      <c r="U28" s="14">
        <v>11</v>
      </c>
      <c r="V28" s="14">
        <v>1030.7</v>
      </c>
    </row>
    <row r="29" spans="1:22">
      <c r="A29" s="981" t="s">
        <v>1227</v>
      </c>
      <c r="B29" s="984" t="s">
        <v>1234</v>
      </c>
      <c r="C29" s="981" t="s">
        <v>392</v>
      </c>
      <c r="D29" s="981">
        <v>9</v>
      </c>
      <c r="E29" s="981">
        <v>34</v>
      </c>
      <c r="F29" s="981">
        <v>574</v>
      </c>
      <c r="G29" s="981">
        <v>110</v>
      </c>
      <c r="H29" s="981" t="s">
        <v>354</v>
      </c>
      <c r="I29" s="982">
        <f t="shared" si="2"/>
        <v>1262.8</v>
      </c>
      <c r="J29" s="983" t="s">
        <v>355</v>
      </c>
      <c r="K29" s="983" t="s">
        <v>782</v>
      </c>
      <c r="L29" s="14">
        <v>90535</v>
      </c>
      <c r="M29" s="983" t="s">
        <v>418</v>
      </c>
      <c r="N29" s="14" t="s">
        <v>1062</v>
      </c>
      <c r="O29" s="44">
        <f t="shared" si="1"/>
        <v>-150.20865463122561</v>
      </c>
      <c r="P29" s="14" t="s">
        <v>1262</v>
      </c>
      <c r="Q29" s="14">
        <v>9</v>
      </c>
      <c r="R29" s="14">
        <v>34</v>
      </c>
      <c r="S29" s="999">
        <v>574</v>
      </c>
      <c r="T29" s="14">
        <v>9</v>
      </c>
      <c r="U29" s="14">
        <v>35</v>
      </c>
      <c r="V29" s="14">
        <v>575</v>
      </c>
    </row>
    <row r="30" spans="1:22">
      <c r="D30">
        <f>F30/60</f>
        <v>185.65</v>
      </c>
      <c r="F30" s="985">
        <f>SUM(F3:F29)</f>
        <v>11139</v>
      </c>
      <c r="I30" s="986">
        <f>SUM(I3:I29)</f>
        <v>54230.87999999999</v>
      </c>
      <c r="Q30">
        <f>S30/60</f>
        <v>185.61666666666667</v>
      </c>
      <c r="S30">
        <f>SUM(S3:S29)</f>
        <v>11137</v>
      </c>
      <c r="T30" s="14">
        <f>SUM(T3:T29)</f>
        <v>173</v>
      </c>
      <c r="U30" s="14"/>
      <c r="V30" s="14">
        <f>SUM(V3:V29)</f>
        <v>11159.600000000002</v>
      </c>
    </row>
    <row r="32" spans="1:22">
      <c r="T32">
        <f>V30/60</f>
        <v>185.99333333333337</v>
      </c>
    </row>
    <row r="40" spans="1:22">
      <c r="A40" s="981" t="s">
        <v>1227</v>
      </c>
      <c r="B40" s="984" t="s">
        <v>1231</v>
      </c>
      <c r="C40" s="984" t="s">
        <v>45</v>
      </c>
      <c r="D40" s="984">
        <v>8</v>
      </c>
      <c r="E40" s="984">
        <v>20</v>
      </c>
      <c r="F40" s="981">
        <v>500</v>
      </c>
      <c r="G40" s="984">
        <v>277</v>
      </c>
      <c r="H40" s="984"/>
      <c r="I40" s="982">
        <f t="shared" ref="I40:I45" si="3">F40/60*G40*1.2</f>
        <v>2770</v>
      </c>
      <c r="J40" s="983" t="s">
        <v>57</v>
      </c>
      <c r="K40" s="983"/>
      <c r="L40" s="14">
        <v>90534</v>
      </c>
      <c r="M40" s="14" t="s">
        <v>354</v>
      </c>
      <c r="N40" s="14" t="s">
        <v>932</v>
      </c>
      <c r="O40" s="44">
        <f t="shared" ref="O40:O45" si="4">G40/1.1023-$M$1</f>
        <v>1.2927515195500234</v>
      </c>
      <c r="P40" s="14" t="s">
        <v>1256</v>
      </c>
      <c r="Q40" s="14">
        <v>8</v>
      </c>
      <c r="R40" s="14">
        <v>20</v>
      </c>
      <c r="S40" s="999">
        <v>500</v>
      </c>
      <c r="T40" s="14">
        <v>8</v>
      </c>
      <c r="U40" s="14">
        <v>22</v>
      </c>
      <c r="V40" s="14">
        <v>501.9</v>
      </c>
    </row>
    <row r="41" spans="1:22">
      <c r="A41" s="981" t="s">
        <v>1227</v>
      </c>
      <c r="B41" s="984" t="s">
        <v>1232</v>
      </c>
      <c r="C41" s="984" t="s">
        <v>42</v>
      </c>
      <c r="D41" s="984" t="s">
        <v>1224</v>
      </c>
      <c r="E41" s="984">
        <v>35</v>
      </c>
      <c r="F41" s="981">
        <v>35</v>
      </c>
      <c r="G41" s="984">
        <v>260</v>
      </c>
      <c r="H41" s="984"/>
      <c r="I41" s="982">
        <f t="shared" si="3"/>
        <v>182.00000000000003</v>
      </c>
      <c r="J41" s="983" t="s">
        <v>525</v>
      </c>
      <c r="K41" s="983"/>
      <c r="L41" s="14">
        <v>90534</v>
      </c>
      <c r="M41" s="14" t="s">
        <v>354</v>
      </c>
      <c r="N41" s="14" t="s">
        <v>426</v>
      </c>
      <c r="O41" s="44">
        <f t="shared" si="4"/>
        <v>-14.12954731016967</v>
      </c>
      <c r="P41" s="14" t="s">
        <v>1257</v>
      </c>
      <c r="Q41" s="14">
        <v>0</v>
      </c>
      <c r="R41" s="14">
        <v>35</v>
      </c>
      <c r="S41" s="999">
        <v>35</v>
      </c>
      <c r="T41" s="14">
        <v>0</v>
      </c>
      <c r="U41" s="14">
        <v>35</v>
      </c>
      <c r="V41" s="14">
        <v>35.1</v>
      </c>
    </row>
    <row r="42" spans="1:22">
      <c r="A42" s="981" t="s">
        <v>1227</v>
      </c>
      <c r="B42" s="984" t="s">
        <v>1232</v>
      </c>
      <c r="C42" s="984" t="s">
        <v>43</v>
      </c>
      <c r="D42" s="984">
        <v>6</v>
      </c>
      <c r="E42" s="984">
        <v>65</v>
      </c>
      <c r="F42" s="981">
        <v>425</v>
      </c>
      <c r="G42" s="984">
        <v>250</v>
      </c>
      <c r="H42" s="984"/>
      <c r="I42" s="982">
        <f t="shared" si="3"/>
        <v>2125</v>
      </c>
      <c r="J42" s="983" t="s">
        <v>525</v>
      </c>
      <c r="K42" s="983"/>
      <c r="L42" s="14">
        <v>90534</v>
      </c>
      <c r="M42" s="14" t="s">
        <v>354</v>
      </c>
      <c r="N42" s="14" t="s">
        <v>749</v>
      </c>
      <c r="O42" s="44">
        <f t="shared" si="4"/>
        <v>-23.201487798240066</v>
      </c>
      <c r="P42" s="14" t="s">
        <v>1258</v>
      </c>
      <c r="Q42" s="14">
        <v>6</v>
      </c>
      <c r="R42" s="14">
        <v>65</v>
      </c>
      <c r="S42" s="999">
        <v>425</v>
      </c>
      <c r="T42" s="14">
        <v>7</v>
      </c>
      <c r="U42" s="14">
        <v>6</v>
      </c>
      <c r="V42" s="14">
        <v>425.7</v>
      </c>
    </row>
    <row r="43" spans="1:22">
      <c r="A43" s="981" t="s">
        <v>1227</v>
      </c>
      <c r="B43" s="984" t="s">
        <v>1232</v>
      </c>
      <c r="C43" s="984" t="s">
        <v>44</v>
      </c>
      <c r="D43" s="984" t="s">
        <v>1224</v>
      </c>
      <c r="E43" s="984">
        <v>49</v>
      </c>
      <c r="F43" s="981">
        <v>49</v>
      </c>
      <c r="G43" s="984">
        <v>250</v>
      </c>
      <c r="H43" s="984"/>
      <c r="I43" s="982">
        <f t="shared" si="3"/>
        <v>244.99999999999997</v>
      </c>
      <c r="J43" s="983" t="s">
        <v>525</v>
      </c>
      <c r="K43" s="983"/>
      <c r="L43" s="14">
        <v>90534</v>
      </c>
      <c r="M43" s="14" t="s">
        <v>354</v>
      </c>
      <c r="N43" s="14" t="s">
        <v>749</v>
      </c>
      <c r="O43" s="44">
        <f t="shared" si="4"/>
        <v>-23.201487798240066</v>
      </c>
      <c r="P43" s="14" t="s">
        <v>1259</v>
      </c>
      <c r="Q43" s="14">
        <v>0</v>
      </c>
      <c r="R43" s="14">
        <v>49</v>
      </c>
      <c r="S43" s="999">
        <v>49</v>
      </c>
      <c r="T43" s="14">
        <v>0</v>
      </c>
      <c r="U43" s="14">
        <v>49</v>
      </c>
      <c r="V43" s="14">
        <v>49.1</v>
      </c>
    </row>
    <row r="44" spans="1:22">
      <c r="A44" s="981" t="s">
        <v>1227</v>
      </c>
      <c r="B44" s="984" t="s">
        <v>1232</v>
      </c>
      <c r="C44" s="984" t="s">
        <v>45</v>
      </c>
      <c r="D44" s="984">
        <v>15</v>
      </c>
      <c r="E44" s="984">
        <v>13</v>
      </c>
      <c r="F44" s="981">
        <v>913</v>
      </c>
      <c r="G44" s="984">
        <v>235</v>
      </c>
      <c r="H44" s="984"/>
      <c r="I44" s="982">
        <f t="shared" si="3"/>
        <v>4291.0999999999995</v>
      </c>
      <c r="J44" s="983" t="s">
        <v>60</v>
      </c>
      <c r="K44" s="983"/>
      <c r="L44" s="14">
        <v>90534</v>
      </c>
      <c r="M44" s="14" t="s">
        <v>354</v>
      </c>
      <c r="N44" s="14" t="s">
        <v>932</v>
      </c>
      <c r="O44" s="44">
        <f t="shared" si="4"/>
        <v>-36.809398530345646</v>
      </c>
      <c r="P44" s="14" t="s">
        <v>1260</v>
      </c>
      <c r="Q44" s="14">
        <v>15</v>
      </c>
      <c r="R44" s="14">
        <v>13</v>
      </c>
      <c r="S44" s="999">
        <v>913</v>
      </c>
      <c r="T44" s="14">
        <v>15</v>
      </c>
      <c r="U44" s="14">
        <v>14</v>
      </c>
      <c r="V44" s="14">
        <v>913.6</v>
      </c>
    </row>
    <row r="45" spans="1:22">
      <c r="A45" s="981" t="s">
        <v>1227</v>
      </c>
      <c r="B45" s="984" t="s">
        <v>1234</v>
      </c>
      <c r="C45" s="981" t="s">
        <v>392</v>
      </c>
      <c r="D45" s="981">
        <v>9</v>
      </c>
      <c r="E45" s="981">
        <v>34</v>
      </c>
      <c r="F45" s="981">
        <v>574</v>
      </c>
      <c r="G45" s="981">
        <v>110</v>
      </c>
      <c r="H45" s="981"/>
      <c r="I45" s="982">
        <f t="shared" si="3"/>
        <v>1262.8</v>
      </c>
      <c r="J45" s="983" t="s">
        <v>355</v>
      </c>
      <c r="K45" s="983" t="s">
        <v>782</v>
      </c>
      <c r="L45" s="14">
        <v>90535</v>
      </c>
      <c r="M45" s="983" t="s">
        <v>418</v>
      </c>
      <c r="N45" s="14" t="s">
        <v>1062</v>
      </c>
      <c r="O45" s="44">
        <f t="shared" si="4"/>
        <v>-150.20865463122561</v>
      </c>
      <c r="P45" s="14" t="s">
        <v>1262</v>
      </c>
      <c r="Q45" s="14">
        <v>9</v>
      </c>
      <c r="R45" s="14">
        <v>34</v>
      </c>
      <c r="S45" s="999">
        <v>574</v>
      </c>
      <c r="T45" s="14">
        <v>9</v>
      </c>
      <c r="U45" s="14">
        <v>35</v>
      </c>
      <c r="V45" s="14">
        <v>575</v>
      </c>
    </row>
    <row r="46" spans="1:22">
      <c r="D46">
        <f>F46/60</f>
        <v>297.43333333333334</v>
      </c>
      <c r="F46" s="985">
        <f>SUM(F21:F45)</f>
        <v>17846</v>
      </c>
      <c r="I46" s="986">
        <f>SUM(I21:I45)</f>
        <v>81531.37999999999</v>
      </c>
      <c r="Q46">
        <f>S46/60</f>
        <v>297.39999999999998</v>
      </c>
      <c r="S46">
        <f>SUM(S21:S45)</f>
        <v>17844</v>
      </c>
      <c r="T46" s="14">
        <f>SUM(T21:T45)</f>
        <v>464.99333333333334</v>
      </c>
      <c r="U46" s="14"/>
      <c r="V46" s="14">
        <f>SUM(V21:V45)</f>
        <v>17878.2</v>
      </c>
    </row>
    <row r="48" spans="1:22">
      <c r="T48">
        <f>V46/60</f>
        <v>297.97000000000003</v>
      </c>
    </row>
    <row r="52" spans="1:22">
      <c r="I52" s="1045">
        <f>SUM(I42:I51)</f>
        <v>89455.279999999984</v>
      </c>
      <c r="V52">
        <f>SUM(V42:V51)</f>
        <v>19841.600000000002</v>
      </c>
    </row>
    <row r="53" spans="1:22">
      <c r="I53" s="17">
        <f>I52/60</f>
        <v>1490.921333333333</v>
      </c>
    </row>
    <row r="54" spans="1:22">
      <c r="A54" s="981" t="s">
        <v>1227</v>
      </c>
      <c r="B54" s="984" t="s">
        <v>1232</v>
      </c>
      <c r="C54" s="984" t="s">
        <v>47</v>
      </c>
      <c r="D54" s="984">
        <v>10</v>
      </c>
      <c r="E54" s="984">
        <v>67</v>
      </c>
      <c r="F54" s="981">
        <v>667</v>
      </c>
      <c r="G54" s="984">
        <v>145</v>
      </c>
      <c r="H54" s="984"/>
      <c r="I54" s="982">
        <f>F54/60*G54*1.2</f>
        <v>1934.3</v>
      </c>
      <c r="J54" s="983" t="s">
        <v>62</v>
      </c>
      <c r="L54" s="14">
        <v>90535</v>
      </c>
      <c r="M54" s="983" t="s">
        <v>418</v>
      </c>
      <c r="N54" s="14" t="s">
        <v>419</v>
      </c>
      <c r="O54" s="44">
        <f>G54/1.1023-$M$1</f>
        <v>-118.45686292297924</v>
      </c>
      <c r="P54" s="14" t="s">
        <v>1261</v>
      </c>
      <c r="Q54" s="14">
        <v>10</v>
      </c>
      <c r="R54" s="14">
        <v>67</v>
      </c>
      <c r="S54" s="999">
        <v>667</v>
      </c>
      <c r="T54" s="14">
        <v>11</v>
      </c>
      <c r="U54" s="14">
        <v>7</v>
      </c>
      <c r="V54" s="14">
        <v>667</v>
      </c>
    </row>
    <row r="55" spans="1:22">
      <c r="A55" s="981" t="s">
        <v>1227</v>
      </c>
      <c r="B55" s="984" t="s">
        <v>1263</v>
      </c>
      <c r="C55" s="984" t="s">
        <v>391</v>
      </c>
      <c r="D55" s="981">
        <v>16</v>
      </c>
      <c r="E55" s="981">
        <v>68</v>
      </c>
      <c r="F55" s="982">
        <v>1028</v>
      </c>
      <c r="G55" s="981">
        <v>170</v>
      </c>
      <c r="H55" s="981"/>
      <c r="I55" s="982">
        <f>F55/60*G55*1.2</f>
        <v>3495.2</v>
      </c>
      <c r="J55" s="983" t="s">
        <v>442</v>
      </c>
      <c r="K55" s="983" t="s">
        <v>782</v>
      </c>
      <c r="L55" s="14">
        <v>90535</v>
      </c>
      <c r="M55" s="983" t="s">
        <v>418</v>
      </c>
      <c r="N55" s="14" t="s">
        <v>1233</v>
      </c>
      <c r="O55" s="44">
        <f>G55/1.1023-$M$1</f>
        <v>-95.777011702803236</v>
      </c>
      <c r="P55" s="14" t="s">
        <v>1264</v>
      </c>
      <c r="Q55" s="14">
        <v>16</v>
      </c>
      <c r="R55" s="14">
        <v>68</v>
      </c>
      <c r="S55" s="999">
        <v>1028</v>
      </c>
      <c r="T55" s="14">
        <v>17</v>
      </c>
      <c r="U55" s="14">
        <v>11</v>
      </c>
      <c r="V55" s="14">
        <v>1030.7</v>
      </c>
    </row>
    <row r="56" spans="1:22">
      <c r="I56" s="1045">
        <f>SUM(I54:I55)</f>
        <v>5429.5</v>
      </c>
      <c r="V56">
        <f>SUM(V54:V55)</f>
        <v>1697.7</v>
      </c>
    </row>
    <row r="57" spans="1:22">
      <c r="I57" s="111">
        <f>I56/60</f>
        <v>90.49166666666666</v>
      </c>
    </row>
    <row r="61" spans="1:22">
      <c r="G61" s="8"/>
      <c r="H61" s="8"/>
      <c r="I61" s="8" t="s">
        <v>1372</v>
      </c>
      <c r="J61" s="8" t="s">
        <v>1373</v>
      </c>
      <c r="K61" s="8" t="s">
        <v>1374</v>
      </c>
    </row>
    <row r="62" spans="1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1:22">
      <c r="G63" s="8" t="s">
        <v>856</v>
      </c>
      <c r="H63" s="8"/>
      <c r="I63" s="8">
        <v>88</v>
      </c>
      <c r="J63" s="8">
        <v>88</v>
      </c>
      <c r="K63" s="8">
        <v>89</v>
      </c>
    </row>
  </sheetData>
  <autoFilter ref="A2:O30" xr:uid="{DE54C4EB-0549-407C-A0EB-39CE9A74C712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964B-7B8F-4140-B4AD-4BC6157F53FF}">
  <dimension ref="A1:AK63"/>
  <sheetViews>
    <sheetView topLeftCell="F1" zoomScale="90" zoomScaleNormal="90" workbookViewId="0">
      <selection activeCell="W24" sqref="W24"/>
    </sheetView>
  </sheetViews>
  <sheetFormatPr defaultRowHeight="14.5"/>
  <cols>
    <col min="1" max="1" width="12.54296875" customWidth="1"/>
    <col min="2" max="2" width="10.81640625" customWidth="1"/>
    <col min="3" max="3" width="9.54296875" customWidth="1"/>
    <col min="4" max="5" width="10.54296875" customWidth="1"/>
    <col min="7" max="8" width="10.1796875" customWidth="1"/>
    <col min="9" max="9" width="19.453125" bestFit="1" customWidth="1"/>
    <col min="10" max="10" width="14.36328125" bestFit="1" customWidth="1"/>
    <col min="11" max="11" width="20.36328125" bestFit="1" customWidth="1"/>
    <col min="12" max="12" width="24.54296875" bestFit="1" customWidth="1"/>
    <col min="13" max="13" width="11.54296875" customWidth="1"/>
    <col min="14" max="14" width="14.453125" customWidth="1"/>
    <col min="17" max="17" width="10.90625" customWidth="1"/>
    <col min="19" max="19" width="14.36328125" bestFit="1" customWidth="1"/>
  </cols>
  <sheetData>
    <row r="1" spans="1:37">
      <c r="N1">
        <v>267</v>
      </c>
      <c r="O1" s="17" t="s">
        <v>1274</v>
      </c>
      <c r="P1" s="17"/>
    </row>
    <row r="2" spans="1:37" ht="28">
      <c r="A2" s="987" t="s">
        <v>22</v>
      </c>
      <c r="B2" s="987" t="s">
        <v>1218</v>
      </c>
      <c r="C2" s="987" t="s">
        <v>23</v>
      </c>
      <c r="D2" s="988" t="s">
        <v>24</v>
      </c>
      <c r="E2" s="987" t="s">
        <v>1160</v>
      </c>
      <c r="F2" s="987" t="s">
        <v>112</v>
      </c>
      <c r="G2" s="987" t="s">
        <v>1128</v>
      </c>
      <c r="H2" s="987"/>
      <c r="I2" s="987" t="s">
        <v>1206</v>
      </c>
      <c r="J2" s="989" t="s">
        <v>1265</v>
      </c>
      <c r="K2" s="989" t="s">
        <v>814</v>
      </c>
      <c r="L2" s="989" t="s">
        <v>679</v>
      </c>
      <c r="M2" s="990" t="s">
        <v>541</v>
      </c>
      <c r="N2" s="991" t="s">
        <v>1266</v>
      </c>
      <c r="O2" s="2" t="s">
        <v>24</v>
      </c>
      <c r="P2" s="2" t="s">
        <v>1160</v>
      </c>
      <c r="Q2" s="2" t="s">
        <v>1153</v>
      </c>
    </row>
    <row r="3" spans="1:37">
      <c r="A3" s="994" t="s">
        <v>1267</v>
      </c>
      <c r="B3" s="994" t="s">
        <v>1268</v>
      </c>
      <c r="C3" s="995" t="s">
        <v>42</v>
      </c>
      <c r="D3" s="995">
        <v>9</v>
      </c>
      <c r="E3" s="995">
        <v>15</v>
      </c>
      <c r="F3" s="995">
        <v>555</v>
      </c>
      <c r="G3" s="995">
        <f>F3/60*M3*1.2</f>
        <v>3607.5</v>
      </c>
      <c r="H3" s="995"/>
      <c r="I3" s="995">
        <v>90540</v>
      </c>
      <c r="J3" s="996" t="s">
        <v>54</v>
      </c>
      <c r="K3" s="996" t="s">
        <v>354</v>
      </c>
      <c r="L3" s="996" t="s">
        <v>434</v>
      </c>
      <c r="M3" s="988">
        <v>325</v>
      </c>
      <c r="N3" s="44">
        <f>M3/1.1023-$N$1</f>
        <v>27.83806586228792</v>
      </c>
      <c r="O3" s="14"/>
      <c r="P3" s="14"/>
      <c r="Q3" s="14"/>
    </row>
    <row r="4" spans="1:37">
      <c r="A4" s="994" t="s">
        <v>1267</v>
      </c>
      <c r="B4" s="994" t="s">
        <v>1268</v>
      </c>
      <c r="C4" s="995" t="s">
        <v>43</v>
      </c>
      <c r="D4" s="995">
        <v>53</v>
      </c>
      <c r="E4" s="995">
        <v>56</v>
      </c>
      <c r="F4" s="995">
        <v>3236</v>
      </c>
      <c r="G4" s="995">
        <f t="shared" ref="G4:G9" si="0">F4/60*M4*1.2</f>
        <v>20063.199999999997</v>
      </c>
      <c r="H4" s="995"/>
      <c r="I4" s="995">
        <v>90540</v>
      </c>
      <c r="J4" s="996" t="s">
        <v>54</v>
      </c>
      <c r="K4" s="996" t="s">
        <v>354</v>
      </c>
      <c r="L4" s="996" t="s">
        <v>697</v>
      </c>
      <c r="M4" s="988">
        <v>310</v>
      </c>
      <c r="N4" s="44">
        <f t="shared" ref="N4:N9" si="1">M4/1.1023-$N$1</f>
        <v>14.230155130182311</v>
      </c>
      <c r="O4" s="14"/>
      <c r="P4" s="14"/>
      <c r="Q4" s="14"/>
    </row>
    <row r="5" spans="1:37">
      <c r="A5" s="994" t="s">
        <v>1267</v>
      </c>
      <c r="B5" s="994" t="s">
        <v>1268</v>
      </c>
      <c r="C5" s="995" t="s">
        <v>45</v>
      </c>
      <c r="D5" s="995">
        <v>27</v>
      </c>
      <c r="E5" s="995">
        <v>21</v>
      </c>
      <c r="F5" s="995">
        <v>1641</v>
      </c>
      <c r="G5" s="995">
        <f t="shared" si="0"/>
        <v>9353.6999999999989</v>
      </c>
      <c r="H5" s="995"/>
      <c r="I5" s="995">
        <v>90540</v>
      </c>
      <c r="J5" s="996" t="s">
        <v>54</v>
      </c>
      <c r="K5" s="996" t="s">
        <v>354</v>
      </c>
      <c r="L5" s="996" t="s">
        <v>435</v>
      </c>
      <c r="M5" s="988">
        <v>285</v>
      </c>
      <c r="N5" s="44">
        <f t="shared" si="1"/>
        <v>-8.4496960899936653</v>
      </c>
      <c r="O5" s="14"/>
      <c r="P5" s="14"/>
      <c r="Q5" s="14"/>
    </row>
    <row r="6" spans="1:37">
      <c r="A6" s="994" t="s">
        <v>1267</v>
      </c>
      <c r="B6" s="994" t="s">
        <v>1268</v>
      </c>
      <c r="C6" s="995" t="s">
        <v>44</v>
      </c>
      <c r="D6" s="995">
        <v>6</v>
      </c>
      <c r="E6" s="995">
        <v>48</v>
      </c>
      <c r="F6" s="995">
        <v>408</v>
      </c>
      <c r="G6" s="995">
        <f t="shared" si="0"/>
        <v>2529.6</v>
      </c>
      <c r="H6" s="995"/>
      <c r="I6" s="995">
        <v>90540</v>
      </c>
      <c r="J6" s="996" t="s">
        <v>54</v>
      </c>
      <c r="K6" s="996" t="s">
        <v>354</v>
      </c>
      <c r="L6" s="996" t="s">
        <v>697</v>
      </c>
      <c r="M6" s="7">
        <v>310</v>
      </c>
      <c r="N6" s="44">
        <f t="shared" si="1"/>
        <v>14.230155130182311</v>
      </c>
      <c r="O6" s="14"/>
      <c r="P6" s="14"/>
      <c r="Q6" s="14"/>
    </row>
    <row r="7" spans="1:37">
      <c r="A7" s="994" t="s">
        <v>1267</v>
      </c>
      <c r="B7" s="994" t="s">
        <v>1268</v>
      </c>
      <c r="C7" s="995" t="s">
        <v>47</v>
      </c>
      <c r="D7" s="995">
        <v>4</v>
      </c>
      <c r="E7" s="995">
        <v>51</v>
      </c>
      <c r="F7" s="995">
        <v>291</v>
      </c>
      <c r="G7" s="995">
        <f t="shared" si="0"/>
        <v>1425.8999999999999</v>
      </c>
      <c r="H7" s="995"/>
      <c r="I7" s="995">
        <v>90541</v>
      </c>
      <c r="J7" s="996" t="s">
        <v>60</v>
      </c>
      <c r="K7" s="996" t="s">
        <v>418</v>
      </c>
      <c r="L7" s="996" t="s">
        <v>418</v>
      </c>
      <c r="M7" s="7">
        <v>245</v>
      </c>
      <c r="N7" s="44">
        <f t="shared" si="1"/>
        <v>-44.73745804227525</v>
      </c>
      <c r="O7" s="14"/>
      <c r="P7" s="14"/>
      <c r="Q7" s="14"/>
    </row>
    <row r="8" spans="1:37">
      <c r="A8" s="994" t="s">
        <v>1267</v>
      </c>
      <c r="B8" s="994" t="s">
        <v>1268</v>
      </c>
      <c r="C8" s="995" t="s">
        <v>48</v>
      </c>
      <c r="D8" s="995">
        <v>0</v>
      </c>
      <c r="E8" s="995">
        <v>17</v>
      </c>
      <c r="F8" s="995">
        <v>17</v>
      </c>
      <c r="G8" s="995">
        <f t="shared" si="0"/>
        <v>86.7</v>
      </c>
      <c r="H8" s="995"/>
      <c r="I8" s="995">
        <v>90541</v>
      </c>
      <c r="J8" s="996" t="s">
        <v>60</v>
      </c>
      <c r="K8" s="996" t="s">
        <v>418</v>
      </c>
      <c r="L8" s="996" t="s">
        <v>418</v>
      </c>
      <c r="M8" s="7">
        <v>255</v>
      </c>
      <c r="N8" s="44">
        <f t="shared" si="1"/>
        <v>-35.665517554204854</v>
      </c>
      <c r="O8" s="14"/>
      <c r="P8" s="14"/>
      <c r="Q8" s="14"/>
    </row>
    <row r="9" spans="1:37">
      <c r="A9" s="994" t="s">
        <v>1267</v>
      </c>
      <c r="B9" s="994" t="s">
        <v>1268</v>
      </c>
      <c r="C9" s="995" t="s">
        <v>46</v>
      </c>
      <c r="D9" s="995">
        <v>1</v>
      </c>
      <c r="E9" s="995">
        <v>9</v>
      </c>
      <c r="F9" s="995">
        <v>69</v>
      </c>
      <c r="G9" s="995">
        <f t="shared" si="0"/>
        <v>358.8</v>
      </c>
      <c r="H9" s="995"/>
      <c r="I9" s="995">
        <v>90541</v>
      </c>
      <c r="J9" s="996" t="s">
        <v>397</v>
      </c>
      <c r="K9" s="996" t="s">
        <v>418</v>
      </c>
      <c r="L9" s="996" t="s">
        <v>436</v>
      </c>
      <c r="M9" s="7">
        <v>260</v>
      </c>
      <c r="N9" s="44">
        <f t="shared" si="1"/>
        <v>-31.12954731016967</v>
      </c>
      <c r="O9" s="14"/>
      <c r="P9" s="14"/>
      <c r="Q9" s="14"/>
    </row>
    <row r="10" spans="1:37" ht="15.5">
      <c r="A10" s="992"/>
      <c r="B10" s="992"/>
      <c r="C10" s="992"/>
      <c r="D10" s="990">
        <f>F10/60</f>
        <v>103.61666666666666</v>
      </c>
      <c r="E10" s="992"/>
      <c r="F10" s="997">
        <f>SUM(F3:F9)</f>
        <v>6217</v>
      </c>
      <c r="G10" s="997">
        <f>SUM(G3:G9)</f>
        <v>37425.399999999994</v>
      </c>
      <c r="H10" s="997"/>
      <c r="I10" s="993"/>
      <c r="J10" s="14"/>
      <c r="K10" s="14"/>
      <c r="L10" s="14"/>
      <c r="M10" s="14"/>
      <c r="N10" s="14"/>
      <c r="O10" s="14"/>
      <c r="P10" s="14"/>
      <c r="Q10" s="14"/>
    </row>
    <row r="13" spans="1:37">
      <c r="U13">
        <f>SUM(U3:U12)</f>
        <v>0</v>
      </c>
    </row>
    <row r="15" spans="1:37">
      <c r="A15" s="1744" t="s">
        <v>1359</v>
      </c>
      <c r="B15" s="1744"/>
      <c r="C15" s="1744"/>
    </row>
    <row r="16" spans="1:37">
      <c r="A16" s="340" t="s">
        <v>1318</v>
      </c>
      <c r="B16" s="340" t="s">
        <v>838</v>
      </c>
      <c r="C16" s="340" t="s">
        <v>839</v>
      </c>
      <c r="D16" s="340" t="s">
        <v>840</v>
      </c>
      <c r="E16" s="340" t="s">
        <v>739</v>
      </c>
      <c r="F16" s="340" t="s">
        <v>824</v>
      </c>
      <c r="G16" s="340" t="s">
        <v>33</v>
      </c>
      <c r="H16" s="340"/>
      <c r="I16" s="340" t="s">
        <v>82</v>
      </c>
      <c r="J16" s="340" t="s">
        <v>825</v>
      </c>
      <c r="K16" s="340" t="s">
        <v>1320</v>
      </c>
      <c r="L16" s="340" t="s">
        <v>1321</v>
      </c>
      <c r="M16" s="1031" t="s">
        <v>1322</v>
      </c>
      <c r="N16" s="340" t="s">
        <v>824</v>
      </c>
      <c r="O16" s="340" t="s">
        <v>33</v>
      </c>
      <c r="P16" s="340" t="s">
        <v>82</v>
      </c>
      <c r="Q16" s="340" t="s">
        <v>825</v>
      </c>
      <c r="R16" s="340" t="s">
        <v>1321</v>
      </c>
      <c r="S16" s="1031" t="s">
        <v>1322</v>
      </c>
      <c r="T16" s="340" t="s">
        <v>824</v>
      </c>
      <c r="U16" s="340">
        <f>SUM(U14:U15)</f>
        <v>0</v>
      </c>
      <c r="V16" s="340" t="s">
        <v>82</v>
      </c>
      <c r="W16" s="340"/>
      <c r="X16" s="340" t="s">
        <v>1323</v>
      </c>
      <c r="Y16" s="340" t="s">
        <v>824</v>
      </c>
      <c r="Z16" s="340" t="s">
        <v>825</v>
      </c>
      <c r="AA16" s="340" t="s">
        <v>1324</v>
      </c>
      <c r="AB16" s="340" t="s">
        <v>1325</v>
      </c>
      <c r="AC16" s="340" t="s">
        <v>824</v>
      </c>
      <c r="AD16" s="340" t="s">
        <v>825</v>
      </c>
      <c r="AE16" s="340" t="s">
        <v>1325</v>
      </c>
      <c r="AF16" s="340" t="s">
        <v>825</v>
      </c>
      <c r="AG16" s="340" t="s">
        <v>1326</v>
      </c>
      <c r="AH16" s="340" t="s">
        <v>1327</v>
      </c>
      <c r="AI16" s="1031" t="s">
        <v>1328</v>
      </c>
      <c r="AJ16" s="340" t="s">
        <v>1329</v>
      </c>
      <c r="AK16" s="340" t="s">
        <v>1330</v>
      </c>
    </row>
    <row r="17" spans="1:37">
      <c r="A17" s="339" t="s">
        <v>1360</v>
      </c>
      <c r="B17" s="339" t="s">
        <v>1267</v>
      </c>
      <c r="C17" s="339" t="s">
        <v>1361</v>
      </c>
      <c r="D17" s="339" t="s">
        <v>44</v>
      </c>
      <c r="E17" s="339" t="s">
        <v>350</v>
      </c>
      <c r="F17" s="338">
        <v>7</v>
      </c>
      <c r="G17" s="338">
        <v>6</v>
      </c>
      <c r="H17" s="338"/>
      <c r="I17" s="337">
        <v>48</v>
      </c>
      <c r="J17" s="338">
        <v>408</v>
      </c>
      <c r="K17" s="339" t="s">
        <v>1332</v>
      </c>
      <c r="L17" s="339" t="s">
        <v>1333</v>
      </c>
      <c r="M17" s="909">
        <v>46217</v>
      </c>
      <c r="N17" s="338">
        <v>7</v>
      </c>
      <c r="O17" s="337">
        <v>6</v>
      </c>
      <c r="P17" s="338">
        <v>48</v>
      </c>
      <c r="Q17" s="338">
        <v>408</v>
      </c>
      <c r="R17" s="339" t="s">
        <v>1333</v>
      </c>
      <c r="S17" s="909">
        <v>46217</v>
      </c>
      <c r="T17" s="337">
        <v>7</v>
      </c>
      <c r="U17" s="338">
        <v>6</v>
      </c>
      <c r="V17" s="337">
        <v>49.7</v>
      </c>
      <c r="W17" s="338">
        <v>409.7</v>
      </c>
      <c r="X17" s="339" t="s">
        <v>1362</v>
      </c>
      <c r="Y17" s="337">
        <v>0</v>
      </c>
      <c r="Z17" s="337">
        <v>1.7</v>
      </c>
      <c r="AA17" s="337">
        <v>0.42</v>
      </c>
      <c r="AB17" s="339" t="s">
        <v>1335</v>
      </c>
      <c r="AC17" s="339"/>
      <c r="AD17" s="339"/>
      <c r="AE17" s="339"/>
      <c r="AF17" s="337">
        <v>0</v>
      </c>
      <c r="AG17" s="339" t="s">
        <v>1336</v>
      </c>
      <c r="AH17" s="339"/>
      <c r="AI17" s="909">
        <v>46216</v>
      </c>
      <c r="AJ17" s="339"/>
      <c r="AK17" s="339" t="s">
        <v>65</v>
      </c>
    </row>
    <row r="18" spans="1:37">
      <c r="A18" s="339" t="s">
        <v>1360</v>
      </c>
      <c r="B18" s="339" t="s">
        <v>1267</v>
      </c>
      <c r="C18" s="339" t="s">
        <v>1363</v>
      </c>
      <c r="D18" s="339" t="s">
        <v>47</v>
      </c>
      <c r="E18" s="339" t="s">
        <v>350</v>
      </c>
      <c r="F18" s="338">
        <v>5</v>
      </c>
      <c r="G18" s="338">
        <v>4</v>
      </c>
      <c r="H18" s="338"/>
      <c r="I18" s="337">
        <v>51</v>
      </c>
      <c r="J18" s="338">
        <v>291</v>
      </c>
      <c r="K18" s="339" t="s">
        <v>1332</v>
      </c>
      <c r="L18" s="339" t="s">
        <v>1333</v>
      </c>
      <c r="M18" s="909">
        <v>46217</v>
      </c>
      <c r="N18" s="338">
        <v>5</v>
      </c>
      <c r="O18" s="337">
        <v>4</v>
      </c>
      <c r="P18" s="338">
        <v>51</v>
      </c>
      <c r="Q18" s="338">
        <v>291</v>
      </c>
      <c r="R18" s="339" t="s">
        <v>1333</v>
      </c>
      <c r="S18" s="909">
        <v>46217</v>
      </c>
      <c r="T18" s="337">
        <v>5</v>
      </c>
      <c r="U18" s="338">
        <v>4</v>
      </c>
      <c r="V18" s="337">
        <v>52.5</v>
      </c>
      <c r="W18" s="338">
        <v>292.5</v>
      </c>
      <c r="X18" s="339" t="s">
        <v>1343</v>
      </c>
      <c r="Y18" s="337">
        <v>0</v>
      </c>
      <c r="Z18" s="337">
        <v>1.5</v>
      </c>
      <c r="AA18" s="337">
        <v>0.52</v>
      </c>
      <c r="AB18" s="339" t="s">
        <v>1335</v>
      </c>
      <c r="AC18" s="339"/>
      <c r="AD18" s="339"/>
      <c r="AE18" s="339"/>
      <c r="AF18" s="337">
        <v>0</v>
      </c>
      <c r="AG18" s="339" t="s">
        <v>1336</v>
      </c>
      <c r="AH18" s="339"/>
      <c r="AI18" s="909">
        <v>46216</v>
      </c>
      <c r="AJ18" s="339"/>
      <c r="AK18" s="339" t="s">
        <v>65</v>
      </c>
    </row>
    <row r="19" spans="1:37">
      <c r="A19" s="339" t="s">
        <v>1360</v>
      </c>
      <c r="B19" s="339" t="s">
        <v>1267</v>
      </c>
      <c r="C19" s="339" t="s">
        <v>1364</v>
      </c>
      <c r="D19" s="339" t="s">
        <v>42</v>
      </c>
      <c r="E19" s="339" t="s">
        <v>350</v>
      </c>
      <c r="F19" s="338">
        <v>10</v>
      </c>
      <c r="G19" s="338">
        <v>9</v>
      </c>
      <c r="H19" s="338"/>
      <c r="I19" s="337"/>
      <c r="J19" s="338">
        <v>555</v>
      </c>
      <c r="K19" s="339" t="s">
        <v>1332</v>
      </c>
      <c r="L19" s="339" t="s">
        <v>1333</v>
      </c>
      <c r="M19" s="909">
        <v>46217</v>
      </c>
      <c r="N19" s="338">
        <v>10</v>
      </c>
      <c r="O19" s="337">
        <v>9</v>
      </c>
      <c r="P19" s="338">
        <v>15</v>
      </c>
      <c r="Q19" s="338">
        <v>555</v>
      </c>
      <c r="R19" s="339" t="s">
        <v>1333</v>
      </c>
      <c r="S19" s="909">
        <v>46217</v>
      </c>
      <c r="T19" s="337">
        <v>10</v>
      </c>
      <c r="U19" s="338">
        <v>9</v>
      </c>
      <c r="V19" s="337">
        <v>16</v>
      </c>
      <c r="W19" s="338">
        <v>556</v>
      </c>
      <c r="X19" s="339" t="s">
        <v>1338</v>
      </c>
      <c r="Y19" s="337">
        <v>0</v>
      </c>
      <c r="Z19" s="337">
        <v>1</v>
      </c>
      <c r="AA19" s="337">
        <v>0.18</v>
      </c>
      <c r="AB19" s="339" t="s">
        <v>1335</v>
      </c>
      <c r="AC19" s="339"/>
      <c r="AD19" s="339"/>
      <c r="AE19" s="339"/>
      <c r="AF19" s="337">
        <v>0</v>
      </c>
      <c r="AG19" s="339" t="s">
        <v>1336</v>
      </c>
      <c r="AH19" s="339"/>
      <c r="AI19" s="909">
        <v>46216</v>
      </c>
      <c r="AJ19" s="339"/>
      <c r="AK19" s="339" t="s">
        <v>65</v>
      </c>
    </row>
    <row r="20" spans="1:37">
      <c r="A20" s="339" t="s">
        <v>1360</v>
      </c>
      <c r="B20" s="339" t="s">
        <v>1267</v>
      </c>
      <c r="C20" s="339" t="s">
        <v>1365</v>
      </c>
      <c r="D20" s="339" t="s">
        <v>45</v>
      </c>
      <c r="E20" s="339" t="s">
        <v>350</v>
      </c>
      <c r="F20" s="338">
        <v>28</v>
      </c>
      <c r="G20" s="338">
        <v>27</v>
      </c>
      <c r="H20" s="338"/>
      <c r="I20" s="337"/>
      <c r="J20" s="338">
        <v>1641</v>
      </c>
      <c r="K20" s="339" t="s">
        <v>1332</v>
      </c>
      <c r="L20" s="339" t="s">
        <v>1333</v>
      </c>
      <c r="M20" s="909">
        <v>46217</v>
      </c>
      <c r="N20" s="338">
        <v>28</v>
      </c>
      <c r="O20" s="337">
        <v>27</v>
      </c>
      <c r="P20" s="338">
        <v>21</v>
      </c>
      <c r="Q20" s="338">
        <v>1641</v>
      </c>
      <c r="R20" s="339" t="s">
        <v>1333</v>
      </c>
      <c r="S20" s="909">
        <v>46217</v>
      </c>
      <c r="T20" s="337">
        <v>28</v>
      </c>
      <c r="U20" s="338">
        <v>27</v>
      </c>
      <c r="V20" s="337">
        <v>23.8</v>
      </c>
      <c r="W20" s="338">
        <v>1643.8</v>
      </c>
      <c r="X20" s="339" t="s">
        <v>1366</v>
      </c>
      <c r="Y20" s="337">
        <v>0</v>
      </c>
      <c r="Z20" s="337">
        <v>2.8</v>
      </c>
      <c r="AA20" s="337">
        <v>0.17</v>
      </c>
      <c r="AB20" s="339" t="s">
        <v>1335</v>
      </c>
      <c r="AC20" s="339"/>
      <c r="AD20" s="339"/>
      <c r="AE20" s="339"/>
      <c r="AF20" s="337">
        <v>0</v>
      </c>
      <c r="AG20" s="339" t="s">
        <v>1336</v>
      </c>
      <c r="AH20" s="339"/>
      <c r="AI20" s="909">
        <v>46216</v>
      </c>
      <c r="AJ20" s="339"/>
      <c r="AK20" s="339" t="s">
        <v>65</v>
      </c>
    </row>
    <row r="21" spans="1:37">
      <c r="A21" s="339" t="s">
        <v>1360</v>
      </c>
      <c r="B21" s="339" t="s">
        <v>1267</v>
      </c>
      <c r="C21" s="339" t="s">
        <v>1367</v>
      </c>
      <c r="D21" s="339" t="s">
        <v>46</v>
      </c>
      <c r="E21" s="339" t="s">
        <v>350</v>
      </c>
      <c r="F21" s="338">
        <v>2</v>
      </c>
      <c r="G21" s="338">
        <v>1</v>
      </c>
      <c r="H21" s="338"/>
      <c r="I21" s="337">
        <v>9</v>
      </c>
      <c r="J21" s="338">
        <v>69</v>
      </c>
      <c r="K21" s="339" t="s">
        <v>1332</v>
      </c>
      <c r="L21" s="339" t="s">
        <v>1333</v>
      </c>
      <c r="M21" s="909">
        <v>46217</v>
      </c>
      <c r="N21" s="338">
        <v>2</v>
      </c>
      <c r="O21" s="337">
        <v>1</v>
      </c>
      <c r="P21" s="338">
        <v>9</v>
      </c>
      <c r="Q21" s="338">
        <v>69</v>
      </c>
      <c r="R21" s="339" t="s">
        <v>1333</v>
      </c>
      <c r="S21" s="909">
        <v>46217</v>
      </c>
      <c r="T21" s="337">
        <v>2</v>
      </c>
      <c r="U21" s="338">
        <v>1</v>
      </c>
      <c r="V21" s="337">
        <v>9.1999999999999993</v>
      </c>
      <c r="W21" s="338">
        <v>69.2</v>
      </c>
      <c r="X21" s="339" t="s">
        <v>1343</v>
      </c>
      <c r="Y21" s="337">
        <v>0</v>
      </c>
      <c r="Z21" s="337">
        <v>0.2</v>
      </c>
      <c r="AA21" s="337">
        <v>0.28999999999999998</v>
      </c>
      <c r="AB21" s="339" t="s">
        <v>1335</v>
      </c>
      <c r="AC21" s="339"/>
      <c r="AD21" s="339"/>
      <c r="AE21" s="339"/>
      <c r="AF21" s="337">
        <v>0</v>
      </c>
      <c r="AG21" s="339" t="s">
        <v>1336</v>
      </c>
      <c r="AH21" s="339"/>
      <c r="AI21" s="909">
        <v>46216</v>
      </c>
      <c r="AJ21" s="339"/>
      <c r="AK21" s="339" t="s">
        <v>65</v>
      </c>
    </row>
    <row r="22" spans="1:37">
      <c r="A22" s="339" t="s">
        <v>1360</v>
      </c>
      <c r="B22" s="339" t="s">
        <v>1267</v>
      </c>
      <c r="C22" s="339" t="s">
        <v>1368</v>
      </c>
      <c r="D22" s="339" t="s">
        <v>43</v>
      </c>
      <c r="E22" s="339" t="s">
        <v>350</v>
      </c>
      <c r="F22" s="338">
        <v>54</v>
      </c>
      <c r="G22" s="338">
        <v>53</v>
      </c>
      <c r="H22" s="338"/>
      <c r="I22" s="337">
        <v>56</v>
      </c>
      <c r="J22" s="338">
        <v>3236</v>
      </c>
      <c r="K22" s="339" t="s">
        <v>1332</v>
      </c>
      <c r="L22" s="339" t="s">
        <v>1333</v>
      </c>
      <c r="M22" s="909">
        <v>46217</v>
      </c>
      <c r="N22" s="338">
        <v>54</v>
      </c>
      <c r="O22" s="337">
        <v>53</v>
      </c>
      <c r="P22" s="338">
        <v>56</v>
      </c>
      <c r="Q22" s="338">
        <v>3236</v>
      </c>
      <c r="R22" s="339" t="s">
        <v>1333</v>
      </c>
      <c r="S22" s="909">
        <v>46217</v>
      </c>
      <c r="T22" s="337">
        <v>54</v>
      </c>
      <c r="U22" s="338">
        <v>54</v>
      </c>
      <c r="V22" s="337">
        <v>4.4000000000000004</v>
      </c>
      <c r="W22" s="338">
        <v>3244.4</v>
      </c>
      <c r="X22" s="339" t="s">
        <v>1338</v>
      </c>
      <c r="Y22" s="337">
        <v>0</v>
      </c>
      <c r="Z22" s="337">
        <v>8.4</v>
      </c>
      <c r="AA22" s="337">
        <v>0.26</v>
      </c>
      <c r="AB22" s="339" t="s">
        <v>1335</v>
      </c>
      <c r="AC22" s="339"/>
      <c r="AD22" s="339"/>
      <c r="AE22" s="339"/>
      <c r="AF22" s="337">
        <v>0</v>
      </c>
      <c r="AG22" s="339" t="s">
        <v>1336</v>
      </c>
      <c r="AH22" s="339"/>
      <c r="AI22" s="909">
        <v>46216</v>
      </c>
      <c r="AJ22" s="339"/>
      <c r="AK22" s="339" t="s">
        <v>65</v>
      </c>
    </row>
    <row r="23" spans="1:37">
      <c r="A23" s="339" t="s">
        <v>1360</v>
      </c>
      <c r="B23" s="339" t="s">
        <v>1267</v>
      </c>
      <c r="C23" s="339" t="s">
        <v>1369</v>
      </c>
      <c r="D23" s="339" t="s">
        <v>48</v>
      </c>
      <c r="E23" s="339" t="s">
        <v>350</v>
      </c>
      <c r="F23" s="338">
        <v>2</v>
      </c>
      <c r="G23" s="338">
        <v>0</v>
      </c>
      <c r="H23" s="338" t="s">
        <v>1375</v>
      </c>
      <c r="I23" s="337">
        <v>17</v>
      </c>
      <c r="J23" s="338">
        <v>17</v>
      </c>
      <c r="K23" s="339" t="s">
        <v>1332</v>
      </c>
      <c r="L23" s="339" t="s">
        <v>1333</v>
      </c>
      <c r="M23" s="909">
        <v>46217</v>
      </c>
      <c r="N23" s="338">
        <v>2</v>
      </c>
      <c r="O23" s="337">
        <v>0</v>
      </c>
      <c r="P23" s="338">
        <v>17</v>
      </c>
      <c r="Q23" s="338">
        <v>17</v>
      </c>
      <c r="R23" s="339" t="s">
        <v>1333</v>
      </c>
      <c r="S23" s="909">
        <v>46217</v>
      </c>
      <c r="T23" s="337">
        <v>1</v>
      </c>
      <c r="U23" s="338">
        <v>0</v>
      </c>
      <c r="V23" s="337">
        <v>17.100000000000001</v>
      </c>
      <c r="W23" s="338">
        <v>17.100000000000001</v>
      </c>
      <c r="X23" s="339" t="s">
        <v>1370</v>
      </c>
      <c r="Y23" s="337">
        <v>-1</v>
      </c>
      <c r="Z23" s="337">
        <v>0.1</v>
      </c>
      <c r="AA23" s="337">
        <v>0.59</v>
      </c>
      <c r="AB23" s="339" t="s">
        <v>1335</v>
      </c>
      <c r="AC23" s="339"/>
      <c r="AD23" s="339"/>
      <c r="AE23" s="339"/>
      <c r="AF23" s="337">
        <v>0</v>
      </c>
      <c r="AG23" s="339" t="s">
        <v>1336</v>
      </c>
      <c r="AH23" s="339"/>
      <c r="AI23" s="909">
        <v>46216</v>
      </c>
      <c r="AJ23" s="339"/>
      <c r="AK23" s="339" t="s">
        <v>65</v>
      </c>
    </row>
    <row r="24" spans="1:37">
      <c r="H24">
        <v>350</v>
      </c>
    </row>
    <row r="29" spans="1:37">
      <c r="H29">
        <v>310</v>
      </c>
    </row>
    <row r="40" spans="1:26">
      <c r="A40" s="339" t="s">
        <v>1360</v>
      </c>
      <c r="B40" s="339" t="s">
        <v>1267</v>
      </c>
      <c r="C40" s="339" t="s">
        <v>1368</v>
      </c>
      <c r="D40" s="339" t="s">
        <v>43</v>
      </c>
      <c r="E40" s="339" t="s">
        <v>350</v>
      </c>
      <c r="F40" s="338">
        <v>54</v>
      </c>
      <c r="G40" s="338">
        <v>53</v>
      </c>
      <c r="H40" s="338"/>
      <c r="I40" s="337">
        <v>56</v>
      </c>
      <c r="J40" s="338">
        <v>3236</v>
      </c>
      <c r="K40" s="339" t="s">
        <v>1332</v>
      </c>
      <c r="L40" s="339" t="s">
        <v>1333</v>
      </c>
      <c r="M40" s="909">
        <v>46217</v>
      </c>
      <c r="N40" s="338">
        <v>54</v>
      </c>
      <c r="O40" s="337">
        <v>53</v>
      </c>
      <c r="P40" s="338">
        <v>56</v>
      </c>
      <c r="Q40" s="338">
        <v>3236</v>
      </c>
      <c r="R40" s="339" t="s">
        <v>1333</v>
      </c>
      <c r="S40" s="909">
        <v>46217</v>
      </c>
      <c r="T40" s="337">
        <v>54</v>
      </c>
      <c r="U40" s="338">
        <v>54</v>
      </c>
      <c r="V40" s="337">
        <v>4.4000000000000004</v>
      </c>
      <c r="W40" s="338">
        <v>3244.4</v>
      </c>
      <c r="X40" s="339" t="s">
        <v>1338</v>
      </c>
      <c r="Y40" s="337">
        <v>0</v>
      </c>
      <c r="Z40" s="337">
        <v>8.4</v>
      </c>
    </row>
    <row r="41" spans="1:26">
      <c r="A41" s="339" t="s">
        <v>1360</v>
      </c>
      <c r="B41" s="339" t="s">
        <v>1267</v>
      </c>
      <c r="C41" s="339" t="s">
        <v>1369</v>
      </c>
      <c r="D41" s="339" t="s">
        <v>48</v>
      </c>
      <c r="E41" s="339" t="s">
        <v>350</v>
      </c>
      <c r="F41" s="338">
        <v>2</v>
      </c>
      <c r="G41" s="338">
        <v>0</v>
      </c>
      <c r="H41" s="338"/>
      <c r="I41" s="337">
        <v>17</v>
      </c>
      <c r="J41" s="338">
        <v>17</v>
      </c>
      <c r="K41" s="339" t="s">
        <v>1332</v>
      </c>
      <c r="L41" s="339" t="s">
        <v>1333</v>
      </c>
      <c r="M41" s="909">
        <v>46217</v>
      </c>
      <c r="N41" s="338">
        <v>2</v>
      </c>
      <c r="O41" s="337">
        <v>0</v>
      </c>
      <c r="P41" s="338">
        <v>17</v>
      </c>
      <c r="Q41" s="338">
        <v>17</v>
      </c>
      <c r="R41" s="339" t="s">
        <v>1333</v>
      </c>
      <c r="S41" s="909">
        <v>46217</v>
      </c>
      <c r="T41" s="337">
        <v>1</v>
      </c>
      <c r="U41" s="338">
        <v>0</v>
      </c>
      <c r="V41" s="337">
        <v>17.100000000000001</v>
      </c>
      <c r="W41" s="338">
        <v>17.100000000000001</v>
      </c>
      <c r="X41" s="339" t="s">
        <v>1370</v>
      </c>
      <c r="Y41" s="337">
        <v>-1</v>
      </c>
      <c r="Z41" s="337">
        <v>0.1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mergeCells count="1">
    <mergeCell ref="A15:C15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C985-AC64-474B-9175-F62F9CAF6131}">
  <dimension ref="A1:Z64"/>
  <sheetViews>
    <sheetView zoomScale="80" zoomScaleNormal="80" workbookViewId="0">
      <selection activeCell="P27" sqref="P27"/>
    </sheetView>
  </sheetViews>
  <sheetFormatPr defaultColWidth="8.90625" defaultRowHeight="13"/>
  <cols>
    <col min="1" max="1" width="8.90625" style="116"/>
    <col min="2" max="2" width="18.90625" style="116" bestFit="1" customWidth="1"/>
    <col min="3" max="6" width="8.90625" style="116"/>
    <col min="7" max="8" width="11.08984375" style="116" customWidth="1"/>
    <col min="9" max="9" width="17.90625" style="116" bestFit="1" customWidth="1"/>
    <col min="10" max="10" width="20.6328125" style="116" bestFit="1" customWidth="1"/>
    <col min="11" max="11" width="25.08984375" style="116" bestFit="1" customWidth="1"/>
    <col min="12" max="12" width="14.36328125" style="116" bestFit="1" customWidth="1"/>
    <col min="13" max="14" width="8.90625" style="116"/>
    <col min="15" max="15" width="9.453125" style="116" customWidth="1"/>
    <col min="16" max="17" width="8.90625" style="116"/>
    <col min="18" max="18" width="14.36328125" style="116" bestFit="1" customWidth="1"/>
    <col min="19" max="20" width="16.6328125" style="116" customWidth="1"/>
    <col min="21" max="21" width="15.6328125" style="116" bestFit="1" customWidth="1"/>
    <col min="22" max="22" width="8.90625" style="116"/>
    <col min="23" max="23" width="31.54296875" style="116" bestFit="1" customWidth="1"/>
    <col min="24" max="16384" width="8.90625" style="116"/>
  </cols>
  <sheetData>
    <row r="1" spans="1:21">
      <c r="M1" s="116">
        <v>278</v>
      </c>
    </row>
    <row r="2" spans="1:21">
      <c r="A2" s="1000" t="s">
        <v>1278</v>
      </c>
      <c r="B2" s="1000" t="s">
        <v>22</v>
      </c>
      <c r="C2" s="1000" t="s">
        <v>23</v>
      </c>
      <c r="D2" s="1000" t="s">
        <v>24</v>
      </c>
      <c r="E2" s="1000" t="s">
        <v>39</v>
      </c>
      <c r="F2" s="1000" t="s">
        <v>1279</v>
      </c>
      <c r="G2" s="1000" t="s">
        <v>407</v>
      </c>
      <c r="H2" s="1000"/>
      <c r="I2" s="1000" t="s">
        <v>1</v>
      </c>
      <c r="J2" s="1000" t="s">
        <v>814</v>
      </c>
      <c r="K2" s="1000" t="s">
        <v>1280</v>
      </c>
      <c r="L2" s="1000" t="s">
        <v>26</v>
      </c>
      <c r="M2" s="1000" t="s">
        <v>541</v>
      </c>
      <c r="N2" s="1001" t="s">
        <v>30</v>
      </c>
      <c r="O2" s="1000" t="s">
        <v>1285</v>
      </c>
      <c r="P2" s="1000" t="s">
        <v>24</v>
      </c>
      <c r="Q2" s="1000" t="s">
        <v>39</v>
      </c>
      <c r="R2" s="1000" t="s">
        <v>1279</v>
      </c>
      <c r="S2" s="1000" t="s">
        <v>1286</v>
      </c>
      <c r="T2" s="1000" t="s">
        <v>1296</v>
      </c>
      <c r="U2" s="1000" t="s">
        <v>1295</v>
      </c>
    </row>
    <row r="3" spans="1:21">
      <c r="A3" s="119" t="s">
        <v>1281</v>
      </c>
      <c r="B3" s="119" t="s">
        <v>1282</v>
      </c>
      <c r="C3" s="119" t="s">
        <v>42</v>
      </c>
      <c r="D3" s="227">
        <v>21</v>
      </c>
      <c r="E3" s="227">
        <v>47</v>
      </c>
      <c r="F3" s="227">
        <f>D3*60+E3</f>
        <v>1307</v>
      </c>
      <c r="G3" s="227">
        <f t="shared" ref="G3:G12" si="0">F3/60*M3*1.2</f>
        <v>9149</v>
      </c>
      <c r="H3" s="227"/>
      <c r="I3" s="227">
        <v>90542</v>
      </c>
      <c r="J3" s="227" t="s">
        <v>354</v>
      </c>
      <c r="K3" s="227" t="s">
        <v>434</v>
      </c>
      <c r="L3" s="119" t="s">
        <v>54</v>
      </c>
      <c r="M3" s="119">
        <v>350</v>
      </c>
      <c r="N3" s="223">
        <f>M3/1.1023-$M$1</f>
        <v>39.517917082463896</v>
      </c>
      <c r="O3" s="119"/>
      <c r="P3" s="119"/>
      <c r="Q3" s="119"/>
      <c r="R3" s="119"/>
      <c r="S3" s="119"/>
      <c r="T3" s="119">
        <v>70614</v>
      </c>
      <c r="U3" s="119">
        <v>1312.1</v>
      </c>
    </row>
    <row r="4" spans="1:21">
      <c r="A4" s="119" t="s">
        <v>1281</v>
      </c>
      <c r="B4" s="119" t="s">
        <v>1282</v>
      </c>
      <c r="C4" s="119" t="s">
        <v>43</v>
      </c>
      <c r="D4" s="227">
        <v>121</v>
      </c>
      <c r="E4" s="227">
        <v>15</v>
      </c>
      <c r="F4" s="227">
        <f t="shared" ref="F4:F15" si="1">D4*60+E4</f>
        <v>7275</v>
      </c>
      <c r="G4" s="227">
        <f t="shared" si="0"/>
        <v>48015</v>
      </c>
      <c r="H4" s="227"/>
      <c r="I4" s="227">
        <v>90542</v>
      </c>
      <c r="J4" s="227" t="s">
        <v>354</v>
      </c>
      <c r="K4" s="227" t="s">
        <v>697</v>
      </c>
      <c r="L4" s="119" t="s">
        <v>54</v>
      </c>
      <c r="M4" s="119">
        <v>330</v>
      </c>
      <c r="N4" s="223">
        <f t="shared" ref="N4:N15" si="2">M4/1.1023-$M$1</f>
        <v>21.374036106323103</v>
      </c>
      <c r="O4" s="119"/>
      <c r="P4" s="119"/>
      <c r="Q4" s="119"/>
      <c r="R4" s="119"/>
      <c r="S4" s="119"/>
      <c r="T4" s="119">
        <v>70615</v>
      </c>
      <c r="U4" s="119">
        <v>7306.7</v>
      </c>
    </row>
    <row r="5" spans="1:21">
      <c r="A5" s="119" t="s">
        <v>1281</v>
      </c>
      <c r="B5" s="119" t="s">
        <v>1282</v>
      </c>
      <c r="C5" s="119" t="s">
        <v>44</v>
      </c>
      <c r="D5" s="227">
        <v>17</v>
      </c>
      <c r="E5" s="227">
        <v>25</v>
      </c>
      <c r="F5" s="227">
        <f t="shared" si="1"/>
        <v>1045</v>
      </c>
      <c r="G5" s="227">
        <f t="shared" si="0"/>
        <v>6897</v>
      </c>
      <c r="H5" s="227"/>
      <c r="I5" s="227">
        <v>90542</v>
      </c>
      <c r="J5" s="227" t="s">
        <v>354</v>
      </c>
      <c r="K5" s="227" t="s">
        <v>697</v>
      </c>
      <c r="L5" s="119" t="s">
        <v>54</v>
      </c>
      <c r="M5" s="119">
        <v>330</v>
      </c>
      <c r="N5" s="223">
        <f t="shared" si="2"/>
        <v>21.374036106323103</v>
      </c>
      <c r="O5" s="119"/>
      <c r="P5" s="119"/>
      <c r="Q5" s="119"/>
      <c r="R5" s="119"/>
      <c r="S5" s="119"/>
      <c r="T5" s="119">
        <v>70616</v>
      </c>
      <c r="U5" s="119">
        <v>1049.7</v>
      </c>
    </row>
    <row r="6" spans="1:21">
      <c r="A6" s="119" t="s">
        <v>1281</v>
      </c>
      <c r="B6" s="119" t="s">
        <v>1282</v>
      </c>
      <c r="C6" s="119" t="s">
        <v>45</v>
      </c>
      <c r="D6" s="227">
        <v>84</v>
      </c>
      <c r="E6" s="227">
        <v>33</v>
      </c>
      <c r="F6" s="227">
        <f t="shared" si="1"/>
        <v>5073</v>
      </c>
      <c r="G6" s="227">
        <f t="shared" si="0"/>
        <v>30945.3</v>
      </c>
      <c r="H6" s="227"/>
      <c r="I6" s="227">
        <v>90542</v>
      </c>
      <c r="J6" s="227" t="s">
        <v>354</v>
      </c>
      <c r="K6" s="227" t="s">
        <v>435</v>
      </c>
      <c r="L6" s="119" t="s">
        <v>54</v>
      </c>
      <c r="M6" s="119">
        <v>305</v>
      </c>
      <c r="N6" s="223">
        <f t="shared" si="2"/>
        <v>-1.3058151138528729</v>
      </c>
      <c r="O6" s="119"/>
      <c r="P6" s="119"/>
      <c r="Q6" s="119"/>
      <c r="R6" s="119"/>
      <c r="S6" s="119"/>
      <c r="T6" s="119">
        <v>70617</v>
      </c>
      <c r="U6" s="119">
        <v>5089.6000000000004</v>
      </c>
    </row>
    <row r="7" spans="1:21">
      <c r="A7" s="119" t="s">
        <v>1281</v>
      </c>
      <c r="B7" s="119" t="s">
        <v>1282</v>
      </c>
      <c r="C7" s="119" t="s">
        <v>46</v>
      </c>
      <c r="D7" s="227">
        <v>4</v>
      </c>
      <c r="E7" s="227">
        <v>65</v>
      </c>
      <c r="F7" s="227">
        <f t="shared" si="1"/>
        <v>305</v>
      </c>
      <c r="G7" s="227">
        <f t="shared" si="0"/>
        <v>1647</v>
      </c>
      <c r="H7" s="227"/>
      <c r="I7" s="227">
        <v>90542</v>
      </c>
      <c r="J7" s="227" t="s">
        <v>354</v>
      </c>
      <c r="K7" s="227" t="s">
        <v>749</v>
      </c>
      <c r="L7" s="119" t="s">
        <v>356</v>
      </c>
      <c r="M7" s="119">
        <v>270</v>
      </c>
      <c r="N7" s="223">
        <f t="shared" si="2"/>
        <v>-33.057606822099274</v>
      </c>
      <c r="O7" s="119"/>
      <c r="P7" s="119"/>
      <c r="Q7" s="119"/>
      <c r="R7" s="119"/>
      <c r="S7" s="119"/>
      <c r="T7" s="119">
        <v>70618</v>
      </c>
      <c r="U7" s="119">
        <v>305.60000000000002</v>
      </c>
    </row>
    <row r="8" spans="1:21">
      <c r="A8" s="119" t="s">
        <v>1281</v>
      </c>
      <c r="B8" s="119" t="s">
        <v>1283</v>
      </c>
      <c r="C8" s="119" t="s">
        <v>42</v>
      </c>
      <c r="D8" s="227">
        <v>18</v>
      </c>
      <c r="E8" s="227">
        <v>43</v>
      </c>
      <c r="F8" s="227">
        <f t="shared" si="1"/>
        <v>1123</v>
      </c>
      <c r="G8" s="227">
        <f t="shared" si="0"/>
        <v>7860.9999999999991</v>
      </c>
      <c r="H8" s="227"/>
      <c r="I8" s="227">
        <v>90542</v>
      </c>
      <c r="J8" s="227" t="s">
        <v>354</v>
      </c>
      <c r="K8" s="227" t="s">
        <v>434</v>
      </c>
      <c r="L8" s="119" t="s">
        <v>54</v>
      </c>
      <c r="M8" s="119">
        <v>350</v>
      </c>
      <c r="N8" s="223">
        <f t="shared" si="2"/>
        <v>39.517917082463896</v>
      </c>
      <c r="O8" s="119"/>
      <c r="P8" s="119"/>
      <c r="Q8" s="119"/>
      <c r="R8" s="119"/>
      <c r="S8" s="119"/>
      <c r="T8" s="119">
        <v>70620</v>
      </c>
      <c r="U8" s="119">
        <v>1128.4000000000001</v>
      </c>
    </row>
    <row r="9" spans="1:21">
      <c r="A9" s="119" t="s">
        <v>1281</v>
      </c>
      <c r="B9" s="119" t="s">
        <v>1283</v>
      </c>
      <c r="C9" s="119" t="s">
        <v>43</v>
      </c>
      <c r="D9" s="227">
        <v>127</v>
      </c>
      <c r="E9" s="227">
        <v>42</v>
      </c>
      <c r="F9" s="227">
        <f t="shared" si="1"/>
        <v>7662</v>
      </c>
      <c r="G9" s="227">
        <f t="shared" si="0"/>
        <v>50569.2</v>
      </c>
      <c r="H9" s="227"/>
      <c r="I9" s="227">
        <v>90542</v>
      </c>
      <c r="J9" s="227" t="s">
        <v>354</v>
      </c>
      <c r="K9" s="227" t="s">
        <v>697</v>
      </c>
      <c r="L9" s="119" t="s">
        <v>54</v>
      </c>
      <c r="M9" s="119">
        <v>330</v>
      </c>
      <c r="N9" s="223">
        <f t="shared" si="2"/>
        <v>21.374036106323103</v>
      </c>
      <c r="O9" s="119"/>
      <c r="P9" s="119"/>
      <c r="Q9" s="119"/>
      <c r="R9" s="119"/>
      <c r="S9" s="119"/>
      <c r="T9" s="119">
        <v>70621</v>
      </c>
      <c r="U9" s="119">
        <v>7701.7</v>
      </c>
    </row>
    <row r="10" spans="1:21">
      <c r="A10" s="119" t="s">
        <v>1281</v>
      </c>
      <c r="B10" s="119" t="s">
        <v>1283</v>
      </c>
      <c r="C10" s="119" t="s">
        <v>44</v>
      </c>
      <c r="D10" s="227">
        <v>15</v>
      </c>
      <c r="E10" s="227">
        <v>54</v>
      </c>
      <c r="F10" s="227">
        <f t="shared" si="1"/>
        <v>954</v>
      </c>
      <c r="G10" s="227">
        <f t="shared" si="0"/>
        <v>6296.4</v>
      </c>
      <c r="H10" s="227"/>
      <c r="I10" s="227">
        <v>90542</v>
      </c>
      <c r="J10" s="227" t="s">
        <v>354</v>
      </c>
      <c r="K10" s="227" t="s">
        <v>697</v>
      </c>
      <c r="L10" s="119" t="s">
        <v>54</v>
      </c>
      <c r="M10" s="119">
        <v>330</v>
      </c>
      <c r="N10" s="223">
        <f t="shared" si="2"/>
        <v>21.374036106323103</v>
      </c>
      <c r="O10" s="119"/>
      <c r="P10" s="119"/>
      <c r="Q10" s="119"/>
      <c r="R10" s="119"/>
      <c r="S10" s="119"/>
      <c r="T10" s="119">
        <v>70622</v>
      </c>
      <c r="U10" s="119">
        <v>959.9</v>
      </c>
    </row>
    <row r="11" spans="1:21">
      <c r="A11" s="119" t="s">
        <v>1281</v>
      </c>
      <c r="B11" s="119" t="s">
        <v>1283</v>
      </c>
      <c r="C11" s="119" t="s">
        <v>45</v>
      </c>
      <c r="D11" s="227">
        <v>86</v>
      </c>
      <c r="E11" s="227">
        <v>22</v>
      </c>
      <c r="F11" s="227">
        <f t="shared" si="1"/>
        <v>5182</v>
      </c>
      <c r="G11" s="227">
        <f t="shared" si="0"/>
        <v>31610.199999999997</v>
      </c>
      <c r="H11" s="227"/>
      <c r="I11" s="227">
        <v>90542</v>
      </c>
      <c r="J11" s="227" t="s">
        <v>354</v>
      </c>
      <c r="K11" s="227" t="s">
        <v>435</v>
      </c>
      <c r="L11" s="119" t="s">
        <v>54</v>
      </c>
      <c r="M11" s="119">
        <v>305</v>
      </c>
      <c r="N11" s="223">
        <f t="shared" si="2"/>
        <v>-1.3058151138528729</v>
      </c>
      <c r="O11" s="119"/>
      <c r="P11" s="119"/>
      <c r="Q11" s="119"/>
      <c r="R11" s="119"/>
      <c r="S11" s="119"/>
      <c r="T11" s="119">
        <v>70623</v>
      </c>
      <c r="U11" s="119">
        <v>5209</v>
      </c>
    </row>
    <row r="12" spans="1:21">
      <c r="A12" s="119" t="s">
        <v>1281</v>
      </c>
      <c r="B12" s="119" t="s">
        <v>1283</v>
      </c>
      <c r="C12" s="119" t="s">
        <v>46</v>
      </c>
      <c r="D12" s="227">
        <v>2</v>
      </c>
      <c r="E12" s="227">
        <v>41</v>
      </c>
      <c r="F12" s="227">
        <f t="shared" si="1"/>
        <v>161</v>
      </c>
      <c r="G12" s="227">
        <f t="shared" si="0"/>
        <v>869.4</v>
      </c>
      <c r="H12" s="227"/>
      <c r="I12" s="227">
        <v>90542</v>
      </c>
      <c r="J12" s="227" t="s">
        <v>354</v>
      </c>
      <c r="K12" s="227" t="s">
        <v>749</v>
      </c>
      <c r="L12" s="119" t="s">
        <v>356</v>
      </c>
      <c r="M12" s="119">
        <v>270</v>
      </c>
      <c r="N12" s="223">
        <f t="shared" si="2"/>
        <v>-33.057606822099274</v>
      </c>
      <c r="O12" s="119"/>
      <c r="P12" s="119"/>
      <c r="Q12" s="119"/>
      <c r="R12" s="119"/>
      <c r="S12" s="119"/>
      <c r="T12" s="119">
        <v>70624</v>
      </c>
      <c r="U12" s="119">
        <v>161</v>
      </c>
    </row>
    <row r="13" spans="1:21">
      <c r="A13" s="119"/>
      <c r="B13" s="119"/>
      <c r="C13" s="119"/>
      <c r="D13" s="120">
        <f>F13/60</f>
        <v>501.45</v>
      </c>
      <c r="E13" s="120"/>
      <c r="F13" s="120">
        <f>SUM(F3:F12)</f>
        <v>30087</v>
      </c>
      <c r="G13" s="120">
        <f>SUM(G3:G12)</f>
        <v>193859.49999999997</v>
      </c>
      <c r="H13" s="120"/>
      <c r="I13" s="120"/>
      <c r="J13" s="227"/>
      <c r="K13" s="227"/>
      <c r="L13" s="119"/>
      <c r="M13" s="119"/>
      <c r="N13" s="223"/>
      <c r="O13" s="119"/>
      <c r="P13" s="119"/>
      <c r="Q13" s="119"/>
      <c r="R13" s="119"/>
      <c r="S13" s="119"/>
      <c r="T13" s="119"/>
      <c r="U13" s="119">
        <f>SUM(U3:U12)</f>
        <v>30223.7</v>
      </c>
    </row>
    <row r="14" spans="1:21">
      <c r="A14" s="119" t="s">
        <v>1281</v>
      </c>
      <c r="B14" s="119" t="s">
        <v>1282</v>
      </c>
      <c r="C14" s="119" t="s">
        <v>48</v>
      </c>
      <c r="D14" s="227">
        <v>0</v>
      </c>
      <c r="E14" s="227">
        <v>49</v>
      </c>
      <c r="F14" s="227">
        <f>D14*60+E14</f>
        <v>49</v>
      </c>
      <c r="G14" s="227">
        <f>F14/60*M14*1.2</f>
        <v>254.8</v>
      </c>
      <c r="H14" s="227"/>
      <c r="I14" s="227">
        <v>90543</v>
      </c>
      <c r="J14" s="227" t="s">
        <v>418</v>
      </c>
      <c r="K14" s="227" t="s">
        <v>1287</v>
      </c>
      <c r="L14" s="119" t="s">
        <v>60</v>
      </c>
      <c r="M14" s="119">
        <v>260</v>
      </c>
      <c r="N14" s="223">
        <f>M14/1.1023-$M$1</f>
        <v>-42.12954731016967</v>
      </c>
      <c r="O14" s="119"/>
      <c r="P14" s="119"/>
      <c r="Q14" s="119"/>
      <c r="R14" s="119"/>
      <c r="S14" s="119"/>
      <c r="T14" s="119">
        <v>70619</v>
      </c>
      <c r="U14" s="119">
        <v>49</v>
      </c>
    </row>
    <row r="15" spans="1:21">
      <c r="A15" s="119" t="s">
        <v>1281</v>
      </c>
      <c r="B15" s="119" t="s">
        <v>1283</v>
      </c>
      <c r="C15" s="119" t="s">
        <v>48</v>
      </c>
      <c r="D15" s="227">
        <v>0</v>
      </c>
      <c r="E15" s="227">
        <v>39</v>
      </c>
      <c r="F15" s="227">
        <f t="shared" si="1"/>
        <v>39</v>
      </c>
      <c r="G15" s="227">
        <f>F15/60*M15*1.2</f>
        <v>202.79999999999998</v>
      </c>
      <c r="H15" s="227"/>
      <c r="I15" s="227">
        <v>90543</v>
      </c>
      <c r="J15" s="227" t="s">
        <v>418</v>
      </c>
      <c r="K15" s="227" t="s">
        <v>1287</v>
      </c>
      <c r="L15" s="119" t="s">
        <v>60</v>
      </c>
      <c r="M15" s="119">
        <v>260</v>
      </c>
      <c r="N15" s="223">
        <f t="shared" si="2"/>
        <v>-42.12954731016967</v>
      </c>
      <c r="O15" s="119"/>
      <c r="P15" s="119"/>
      <c r="Q15" s="119"/>
      <c r="R15" s="119"/>
      <c r="S15" s="119"/>
      <c r="T15" s="119">
        <v>70625</v>
      </c>
      <c r="U15" s="119">
        <v>39</v>
      </c>
    </row>
    <row r="16" spans="1:21">
      <c r="A16" s="115" t="s">
        <v>487</v>
      </c>
      <c r="B16" s="119"/>
      <c r="C16" s="119"/>
      <c r="D16" s="120"/>
      <c r="E16" s="120"/>
      <c r="F16" s="120">
        <f>SUM(F14:F15)</f>
        <v>88</v>
      </c>
      <c r="G16" s="120">
        <f>SUM(G14:G15)</f>
        <v>457.6</v>
      </c>
      <c r="H16" s="120"/>
      <c r="I16" s="120"/>
      <c r="J16" s="120"/>
      <c r="K16" s="120"/>
      <c r="L16" s="119"/>
      <c r="U16" s="116">
        <f>SUM(U14:U15)</f>
        <v>88</v>
      </c>
    </row>
    <row r="18" spans="1:26">
      <c r="F18" s="116">
        <f>F13+F16</f>
        <v>30175</v>
      </c>
    </row>
    <row r="22" spans="1:26">
      <c r="B22" s="1033" t="s">
        <v>1359</v>
      </c>
    </row>
    <row r="23" spans="1:26">
      <c r="A23" s="340" t="s">
        <v>1318</v>
      </c>
      <c r="B23" s="1032" t="s">
        <v>838</v>
      </c>
      <c r="C23" s="340" t="s">
        <v>839</v>
      </c>
      <c r="D23" s="340" t="s">
        <v>840</v>
      </c>
      <c r="E23" s="340" t="s">
        <v>824</v>
      </c>
      <c r="F23" s="340" t="s">
        <v>33</v>
      </c>
      <c r="G23" s="340" t="s">
        <v>82</v>
      </c>
      <c r="H23" s="340" t="s">
        <v>1375</v>
      </c>
      <c r="I23" s="340" t="s">
        <v>825</v>
      </c>
      <c r="J23" s="340" t="s">
        <v>1320</v>
      </c>
      <c r="K23" s="340" t="s">
        <v>1321</v>
      </c>
      <c r="L23" s="1031" t="s">
        <v>1322</v>
      </c>
      <c r="M23" s="340" t="s">
        <v>824</v>
      </c>
      <c r="N23" s="340" t="s">
        <v>33</v>
      </c>
      <c r="O23" s="340" t="s">
        <v>82</v>
      </c>
      <c r="P23" s="340" t="s">
        <v>825</v>
      </c>
      <c r="Q23" s="340" t="s">
        <v>1321</v>
      </c>
      <c r="R23" s="1031" t="s">
        <v>1322</v>
      </c>
      <c r="S23" s="340" t="s">
        <v>824</v>
      </c>
      <c r="T23" s="340" t="s">
        <v>33</v>
      </c>
      <c r="U23" s="340" t="s">
        <v>82</v>
      </c>
      <c r="V23" s="340" t="s">
        <v>825</v>
      </c>
      <c r="W23" s="340" t="s">
        <v>1323</v>
      </c>
      <c r="X23" s="340" t="s">
        <v>824</v>
      </c>
      <c r="Y23" s="340" t="s">
        <v>825</v>
      </c>
      <c r="Z23" s="340" t="s">
        <v>1324</v>
      </c>
    </row>
    <row r="24" spans="1:26">
      <c r="A24" s="339" t="s">
        <v>1319</v>
      </c>
      <c r="B24" s="339" t="s">
        <v>1282</v>
      </c>
      <c r="C24" s="339" t="s">
        <v>1331</v>
      </c>
      <c r="D24" s="339" t="s">
        <v>42</v>
      </c>
      <c r="E24" s="338">
        <v>22</v>
      </c>
      <c r="F24" s="338">
        <v>21</v>
      </c>
      <c r="G24" s="337">
        <v>52.1</v>
      </c>
      <c r="H24" s="119">
        <v>350</v>
      </c>
      <c r="I24" s="338">
        <v>1312.1</v>
      </c>
      <c r="J24" s="339" t="s">
        <v>1332</v>
      </c>
      <c r="K24" s="339" t="s">
        <v>1333</v>
      </c>
      <c r="L24" s="909">
        <v>46217</v>
      </c>
      <c r="M24" s="338">
        <v>22</v>
      </c>
      <c r="N24" s="337">
        <v>21</v>
      </c>
      <c r="O24" s="338">
        <v>52.1</v>
      </c>
      <c r="P24" s="338">
        <v>1312.1</v>
      </c>
      <c r="Q24" s="339" t="s">
        <v>1333</v>
      </c>
      <c r="R24" s="909">
        <v>46217</v>
      </c>
      <c r="S24" s="337">
        <v>22</v>
      </c>
      <c r="T24" s="338">
        <v>21</v>
      </c>
      <c r="U24" s="337">
        <v>53.2</v>
      </c>
      <c r="V24" s="338">
        <v>1313.2</v>
      </c>
      <c r="W24" s="339" t="s">
        <v>1334</v>
      </c>
      <c r="X24" s="337">
        <v>0</v>
      </c>
      <c r="Y24" s="337">
        <v>1.1000000000000001</v>
      </c>
      <c r="Z24" s="337">
        <v>0.08</v>
      </c>
    </row>
    <row r="25" spans="1:26">
      <c r="A25" s="339" t="s">
        <v>1319</v>
      </c>
      <c r="B25" s="339" t="s">
        <v>1283</v>
      </c>
      <c r="C25" s="339" t="s">
        <v>1339</v>
      </c>
      <c r="D25" s="339" t="s">
        <v>46</v>
      </c>
      <c r="E25" s="338">
        <v>3</v>
      </c>
      <c r="F25" s="338">
        <v>2</v>
      </c>
      <c r="G25" s="337">
        <v>41</v>
      </c>
      <c r="H25" s="119">
        <v>270</v>
      </c>
      <c r="I25" s="338">
        <v>161</v>
      </c>
      <c r="J25" s="339" t="s">
        <v>1332</v>
      </c>
      <c r="K25" s="339" t="s">
        <v>1333</v>
      </c>
      <c r="L25" s="909">
        <v>46217</v>
      </c>
      <c r="M25" s="338">
        <v>3</v>
      </c>
      <c r="N25" s="337">
        <v>2</v>
      </c>
      <c r="O25" s="338">
        <v>41</v>
      </c>
      <c r="P25" s="338">
        <v>161</v>
      </c>
      <c r="Q25" s="339" t="s">
        <v>1333</v>
      </c>
      <c r="R25" s="909">
        <v>46217</v>
      </c>
      <c r="S25" s="337">
        <v>3</v>
      </c>
      <c r="T25" s="338">
        <v>2</v>
      </c>
      <c r="U25" s="337">
        <v>41.3</v>
      </c>
      <c r="V25" s="338">
        <v>161.30000000000001</v>
      </c>
      <c r="W25" s="339" t="s">
        <v>1340</v>
      </c>
      <c r="X25" s="337">
        <v>0</v>
      </c>
      <c r="Y25" s="337">
        <v>0.3</v>
      </c>
      <c r="Z25" s="337">
        <v>0.19</v>
      </c>
    </row>
    <row r="26" spans="1:26">
      <c r="A26" s="339" t="s">
        <v>1319</v>
      </c>
      <c r="B26" s="339" t="s">
        <v>1283</v>
      </c>
      <c r="C26" s="339" t="s">
        <v>1341</v>
      </c>
      <c r="D26" s="339" t="s">
        <v>43</v>
      </c>
      <c r="E26" s="338">
        <v>129</v>
      </c>
      <c r="F26" s="338">
        <v>128</v>
      </c>
      <c r="G26" s="337">
        <v>21.7</v>
      </c>
      <c r="H26" s="337"/>
      <c r="I26" s="338">
        <v>7701.7</v>
      </c>
      <c r="J26" s="339" t="s">
        <v>1332</v>
      </c>
      <c r="K26" s="339" t="s">
        <v>1333</v>
      </c>
      <c r="L26" s="909">
        <v>46217</v>
      </c>
      <c r="M26" s="338">
        <v>129</v>
      </c>
      <c r="N26" s="337">
        <v>128</v>
      </c>
      <c r="O26" s="338">
        <v>21.7</v>
      </c>
      <c r="P26" s="338">
        <v>7701.7</v>
      </c>
      <c r="Q26" s="339" t="s">
        <v>1333</v>
      </c>
      <c r="R26" s="909">
        <v>46217</v>
      </c>
      <c r="S26" s="337">
        <v>128</v>
      </c>
      <c r="T26" s="338">
        <v>128</v>
      </c>
      <c r="U26" s="337">
        <v>16.8</v>
      </c>
      <c r="V26" s="338">
        <v>7696.8</v>
      </c>
      <c r="W26" s="339" t="s">
        <v>1338</v>
      </c>
      <c r="X26" s="337">
        <v>-1</v>
      </c>
      <c r="Y26" s="337">
        <v>-4.9000000000000004</v>
      </c>
      <c r="Z26" s="337">
        <v>-0.06</v>
      </c>
    </row>
    <row r="27" spans="1:26">
      <c r="A27" s="339" t="s">
        <v>1319</v>
      </c>
      <c r="B27" s="339" t="s">
        <v>1282</v>
      </c>
      <c r="C27" s="339" t="s">
        <v>1342</v>
      </c>
      <c r="D27" s="339" t="s">
        <v>48</v>
      </c>
      <c r="E27" s="338">
        <v>2</v>
      </c>
      <c r="F27" s="338">
        <v>0</v>
      </c>
      <c r="G27" s="337">
        <v>49</v>
      </c>
      <c r="H27" s="339">
        <v>260</v>
      </c>
      <c r="I27" s="338">
        <v>49</v>
      </c>
      <c r="J27" s="339" t="s">
        <v>1332</v>
      </c>
      <c r="K27" s="339" t="s">
        <v>1333</v>
      </c>
      <c r="L27" s="909">
        <v>46217</v>
      </c>
      <c r="M27" s="338">
        <v>2</v>
      </c>
      <c r="N27" s="337">
        <v>0</v>
      </c>
      <c r="O27" s="338">
        <v>49</v>
      </c>
      <c r="P27" s="338">
        <v>49</v>
      </c>
      <c r="Q27" s="339" t="s">
        <v>1333</v>
      </c>
      <c r="R27" s="909">
        <v>46217</v>
      </c>
      <c r="S27" s="337">
        <v>1</v>
      </c>
      <c r="T27" s="338">
        <v>0</v>
      </c>
      <c r="U27" s="337">
        <v>50.1</v>
      </c>
      <c r="V27" s="338">
        <v>50.1</v>
      </c>
      <c r="W27" s="339" t="s">
        <v>1343</v>
      </c>
      <c r="X27" s="337">
        <v>-1</v>
      </c>
      <c r="Y27" s="337">
        <v>1.1000000000000001</v>
      </c>
      <c r="Z27" s="337">
        <v>2.2400000000000002</v>
      </c>
    </row>
    <row r="28" spans="1:26">
      <c r="A28" s="339" t="s">
        <v>1319</v>
      </c>
      <c r="B28" s="339" t="s">
        <v>1283</v>
      </c>
      <c r="C28" s="339" t="s">
        <v>1344</v>
      </c>
      <c r="D28" s="339" t="s">
        <v>48</v>
      </c>
      <c r="E28" s="338">
        <v>2</v>
      </c>
      <c r="F28" s="338">
        <v>0</v>
      </c>
      <c r="G28" s="337">
        <v>39</v>
      </c>
      <c r="H28" s="339">
        <v>260</v>
      </c>
      <c r="I28" s="338">
        <v>39</v>
      </c>
      <c r="J28" s="339" t="s">
        <v>1332</v>
      </c>
      <c r="K28" s="339" t="s">
        <v>1333</v>
      </c>
      <c r="L28" s="909">
        <v>46217</v>
      </c>
      <c r="M28" s="338">
        <v>2</v>
      </c>
      <c r="N28" s="337">
        <v>0</v>
      </c>
      <c r="O28" s="338">
        <v>39</v>
      </c>
      <c r="P28" s="338">
        <v>39</v>
      </c>
      <c r="Q28" s="339" t="s">
        <v>1333</v>
      </c>
      <c r="R28" s="909">
        <v>46217</v>
      </c>
      <c r="S28" s="337">
        <v>1</v>
      </c>
      <c r="T28" s="338">
        <v>0</v>
      </c>
      <c r="U28" s="337">
        <v>39.1</v>
      </c>
      <c r="V28" s="338">
        <v>39.1</v>
      </c>
      <c r="W28" s="339" t="s">
        <v>1340</v>
      </c>
      <c r="X28" s="337">
        <v>-1</v>
      </c>
      <c r="Y28" s="337">
        <v>0.1</v>
      </c>
      <c r="Z28" s="337">
        <v>0.26</v>
      </c>
    </row>
    <row r="29" spans="1:26">
      <c r="A29" s="339" t="s">
        <v>1319</v>
      </c>
      <c r="B29" s="339" t="s">
        <v>1282</v>
      </c>
      <c r="C29" s="339" t="s">
        <v>1345</v>
      </c>
      <c r="D29" s="339" t="s">
        <v>44</v>
      </c>
      <c r="E29" s="338">
        <v>18</v>
      </c>
      <c r="F29" s="338">
        <v>17</v>
      </c>
      <c r="G29" s="337">
        <v>29.7</v>
      </c>
      <c r="H29" s="339">
        <v>305</v>
      </c>
      <c r="I29" s="338">
        <v>1049.7</v>
      </c>
      <c r="J29" s="339" t="s">
        <v>1332</v>
      </c>
      <c r="K29" s="339" t="s">
        <v>1346</v>
      </c>
      <c r="L29" s="909">
        <v>46217</v>
      </c>
      <c r="M29" s="338">
        <v>18</v>
      </c>
      <c r="N29" s="337">
        <v>17</v>
      </c>
      <c r="O29" s="338">
        <v>29.7</v>
      </c>
      <c r="P29" s="338">
        <v>1049.7</v>
      </c>
      <c r="Q29" s="339" t="s">
        <v>1346</v>
      </c>
      <c r="R29" s="909">
        <v>46217</v>
      </c>
      <c r="S29" s="337">
        <v>18</v>
      </c>
      <c r="T29" s="338">
        <v>17</v>
      </c>
      <c r="U29" s="337">
        <v>26.8</v>
      </c>
      <c r="V29" s="338">
        <v>1046.8</v>
      </c>
      <c r="W29" s="339" t="s">
        <v>1347</v>
      </c>
      <c r="X29" s="337">
        <v>0</v>
      </c>
      <c r="Y29" s="337">
        <v>-2.9</v>
      </c>
      <c r="Z29" s="337">
        <v>-0.28000000000000003</v>
      </c>
    </row>
    <row r="30" spans="1:26">
      <c r="A30" s="339" t="s">
        <v>1319</v>
      </c>
      <c r="B30" s="339" t="s">
        <v>1283</v>
      </c>
      <c r="C30" s="339" t="s">
        <v>1348</v>
      </c>
      <c r="D30" s="339" t="s">
        <v>44</v>
      </c>
      <c r="E30" s="338">
        <v>16</v>
      </c>
      <c r="F30" s="338">
        <v>15</v>
      </c>
      <c r="G30" s="337">
        <v>59.9</v>
      </c>
      <c r="H30" s="337"/>
      <c r="I30" s="338">
        <v>959.9</v>
      </c>
      <c r="J30" s="339" t="s">
        <v>1332</v>
      </c>
      <c r="K30" s="339" t="s">
        <v>1346</v>
      </c>
      <c r="L30" s="909">
        <v>46217</v>
      </c>
      <c r="M30" s="338">
        <v>16</v>
      </c>
      <c r="N30" s="337">
        <v>15</v>
      </c>
      <c r="O30" s="338">
        <v>59.9</v>
      </c>
      <c r="P30" s="338">
        <v>959.9</v>
      </c>
      <c r="Q30" s="339" t="s">
        <v>1346</v>
      </c>
      <c r="R30" s="909">
        <v>46217</v>
      </c>
      <c r="S30" s="337">
        <v>16</v>
      </c>
      <c r="T30" s="338">
        <v>15</v>
      </c>
      <c r="U30" s="337">
        <v>53.6</v>
      </c>
      <c r="V30" s="338">
        <v>953.6</v>
      </c>
      <c r="W30" s="339" t="s">
        <v>1349</v>
      </c>
      <c r="X30" s="337">
        <v>0</v>
      </c>
      <c r="Y30" s="337">
        <v>-6.3</v>
      </c>
      <c r="Z30" s="337">
        <v>-0.66</v>
      </c>
    </row>
    <row r="31" spans="1:26">
      <c r="A31" s="339" t="s">
        <v>1319</v>
      </c>
      <c r="B31" s="339" t="s">
        <v>1283</v>
      </c>
      <c r="C31" s="339" t="s">
        <v>1350</v>
      </c>
      <c r="D31" s="339" t="s">
        <v>42</v>
      </c>
      <c r="E31" s="338">
        <v>19</v>
      </c>
      <c r="F31" s="338">
        <v>18</v>
      </c>
      <c r="G31" s="337">
        <v>48.4</v>
      </c>
      <c r="H31" s="337"/>
      <c r="I31" s="338">
        <v>1128.4000000000001</v>
      </c>
      <c r="J31" s="339" t="s">
        <v>1332</v>
      </c>
      <c r="K31" s="339" t="s">
        <v>1346</v>
      </c>
      <c r="L31" s="909">
        <v>46217</v>
      </c>
      <c r="M31" s="338">
        <v>19</v>
      </c>
      <c r="N31" s="337">
        <v>18</v>
      </c>
      <c r="O31" s="338">
        <v>48.4</v>
      </c>
      <c r="P31" s="338">
        <v>1128.4000000000001</v>
      </c>
      <c r="Q31" s="339" t="s">
        <v>1346</v>
      </c>
      <c r="R31" s="909">
        <v>46217</v>
      </c>
      <c r="S31" s="337">
        <v>19</v>
      </c>
      <c r="T31" s="338">
        <v>18</v>
      </c>
      <c r="U31" s="337">
        <v>39.9</v>
      </c>
      <c r="V31" s="338">
        <v>1119.9000000000001</v>
      </c>
      <c r="W31" s="339" t="s">
        <v>1351</v>
      </c>
      <c r="X31" s="337">
        <v>0</v>
      </c>
      <c r="Y31" s="337">
        <v>-8.5</v>
      </c>
      <c r="Z31" s="337">
        <v>-0.75</v>
      </c>
    </row>
    <row r="32" spans="1:26">
      <c r="A32" s="339" t="s">
        <v>1319</v>
      </c>
      <c r="B32" s="339" t="s">
        <v>1283</v>
      </c>
      <c r="C32" s="339" t="s">
        <v>1352</v>
      </c>
      <c r="D32" s="339" t="s">
        <v>45</v>
      </c>
      <c r="E32" s="338">
        <v>87</v>
      </c>
      <c r="F32" s="338">
        <v>86</v>
      </c>
      <c r="G32" s="337">
        <v>49</v>
      </c>
      <c r="H32" s="337"/>
      <c r="I32" s="338">
        <v>5209</v>
      </c>
      <c r="J32" s="339" t="s">
        <v>1332</v>
      </c>
      <c r="K32" s="339" t="s">
        <v>1346</v>
      </c>
      <c r="L32" s="909">
        <v>46217</v>
      </c>
      <c r="M32" s="338">
        <v>87</v>
      </c>
      <c r="N32" s="337">
        <v>86</v>
      </c>
      <c r="O32" s="338">
        <v>49</v>
      </c>
      <c r="P32" s="338">
        <v>5209</v>
      </c>
      <c r="Q32" s="339" t="s">
        <v>1346</v>
      </c>
      <c r="R32" s="909">
        <v>46217</v>
      </c>
      <c r="S32" s="337">
        <v>87</v>
      </c>
      <c r="T32" s="338">
        <v>86</v>
      </c>
      <c r="U32" s="337">
        <v>34.700000000000003</v>
      </c>
      <c r="V32" s="338">
        <v>5194.7</v>
      </c>
      <c r="W32" s="339" t="s">
        <v>1347</v>
      </c>
      <c r="X32" s="337">
        <v>0</v>
      </c>
      <c r="Y32" s="337">
        <v>-14.3</v>
      </c>
      <c r="Z32" s="337">
        <v>-0.27</v>
      </c>
    </row>
    <row r="33" spans="1:26">
      <c r="A33" s="339" t="s">
        <v>1319</v>
      </c>
      <c r="B33" s="339" t="s">
        <v>1282</v>
      </c>
      <c r="C33" s="339" t="s">
        <v>1353</v>
      </c>
      <c r="D33" s="339" t="s">
        <v>46</v>
      </c>
      <c r="E33" s="338">
        <v>5</v>
      </c>
      <c r="F33" s="338">
        <v>5</v>
      </c>
      <c r="G33" s="337">
        <v>5.6</v>
      </c>
      <c r="H33" s="337"/>
      <c r="I33" s="338">
        <v>305.60000000000002</v>
      </c>
      <c r="J33" s="339" t="s">
        <v>1332</v>
      </c>
      <c r="K33" s="339" t="s">
        <v>1346</v>
      </c>
      <c r="L33" s="909">
        <v>46217</v>
      </c>
      <c r="M33" s="338">
        <v>5</v>
      </c>
      <c r="N33" s="337">
        <v>5</v>
      </c>
      <c r="O33" s="338">
        <v>5.6</v>
      </c>
      <c r="P33" s="338">
        <v>305.60000000000002</v>
      </c>
      <c r="Q33" s="339" t="s">
        <v>1346</v>
      </c>
      <c r="R33" s="909">
        <v>46217</v>
      </c>
      <c r="S33" s="337">
        <v>5</v>
      </c>
      <c r="T33" s="338">
        <v>5</v>
      </c>
      <c r="U33" s="337">
        <v>0.5</v>
      </c>
      <c r="V33" s="338">
        <v>300.5</v>
      </c>
      <c r="W33" s="339" t="s">
        <v>1354</v>
      </c>
      <c r="X33" s="337">
        <v>0</v>
      </c>
      <c r="Y33" s="337">
        <v>-5.0999999999999996</v>
      </c>
      <c r="Z33" s="337">
        <v>-1.67</v>
      </c>
    </row>
    <row r="34" spans="1:26">
      <c r="A34" s="339" t="s">
        <v>1319</v>
      </c>
      <c r="B34" s="339" t="s">
        <v>1282</v>
      </c>
      <c r="C34" s="339" t="s">
        <v>1355</v>
      </c>
      <c r="D34" s="339" t="s">
        <v>43</v>
      </c>
      <c r="E34" s="338">
        <v>122</v>
      </c>
      <c r="F34" s="338">
        <v>121</v>
      </c>
      <c r="G34" s="337">
        <v>46.7</v>
      </c>
      <c r="H34" s="337"/>
      <c r="I34" s="338">
        <v>7306.7</v>
      </c>
      <c r="J34" s="339" t="s">
        <v>1332</v>
      </c>
      <c r="K34" s="339" t="s">
        <v>1346</v>
      </c>
      <c r="L34" s="909">
        <v>46217</v>
      </c>
      <c r="M34" s="338">
        <v>122</v>
      </c>
      <c r="N34" s="337">
        <v>121</v>
      </c>
      <c r="O34" s="338">
        <v>46.7</v>
      </c>
      <c r="P34" s="338">
        <v>7306.7</v>
      </c>
      <c r="Q34" s="339" t="s">
        <v>1346</v>
      </c>
      <c r="R34" s="909">
        <v>46217</v>
      </c>
      <c r="S34" s="337">
        <v>122</v>
      </c>
      <c r="T34" s="338">
        <v>121</v>
      </c>
      <c r="U34" s="337">
        <v>25.2</v>
      </c>
      <c r="V34" s="338">
        <v>7285.2</v>
      </c>
      <c r="W34" s="339" t="s">
        <v>1356</v>
      </c>
      <c r="X34" s="337">
        <v>0</v>
      </c>
      <c r="Y34" s="337">
        <v>-21.5</v>
      </c>
      <c r="Z34" s="337">
        <v>-0.28999999999999998</v>
      </c>
    </row>
    <row r="35" spans="1:26">
      <c r="A35" s="339" t="s">
        <v>1319</v>
      </c>
      <c r="B35" s="339" t="s">
        <v>1282</v>
      </c>
      <c r="C35" s="339" t="s">
        <v>1337</v>
      </c>
      <c r="D35" s="339" t="s">
        <v>45</v>
      </c>
      <c r="E35" s="338">
        <v>85</v>
      </c>
      <c r="F35" s="338">
        <v>84</v>
      </c>
      <c r="G35" s="337">
        <v>49.6</v>
      </c>
      <c r="H35" s="337"/>
      <c r="I35" s="338">
        <v>5089.6000000000004</v>
      </c>
      <c r="J35" s="339" t="s">
        <v>1332</v>
      </c>
      <c r="K35" s="339" t="s">
        <v>1357</v>
      </c>
      <c r="L35" s="909">
        <v>46217</v>
      </c>
      <c r="M35" s="338">
        <v>85</v>
      </c>
      <c r="N35" s="337">
        <v>84</v>
      </c>
      <c r="O35" s="338">
        <v>49.6</v>
      </c>
      <c r="P35" s="338">
        <v>5089.6000000000004</v>
      </c>
      <c r="Q35" s="339" t="s">
        <v>1358</v>
      </c>
      <c r="R35" s="909">
        <v>46217</v>
      </c>
      <c r="S35" s="337">
        <v>85</v>
      </c>
      <c r="T35" s="338">
        <v>84</v>
      </c>
      <c r="U35" s="337">
        <v>50.5</v>
      </c>
      <c r="V35" s="338">
        <v>5090.5</v>
      </c>
      <c r="W35" s="339" t="s">
        <v>1356</v>
      </c>
      <c r="X35" s="337">
        <v>0</v>
      </c>
      <c r="Y35" s="337">
        <v>0.89999999999999991</v>
      </c>
      <c r="Z35" s="337">
        <v>0.02</v>
      </c>
    </row>
    <row r="36" spans="1:26">
      <c r="T36" s="906">
        <f>SUM(T24:T35)</f>
        <v>497</v>
      </c>
      <c r="V36" s="906">
        <f>SUM(V24:V35)</f>
        <v>30251.7</v>
      </c>
    </row>
    <row r="39" spans="1:26" hidden="1"/>
    <row r="40" spans="1:26" hidden="1">
      <c r="B40" s="1033" t="s">
        <v>1359</v>
      </c>
    </row>
    <row r="41" spans="1:26" hidden="1">
      <c r="A41" s="340" t="s">
        <v>1318</v>
      </c>
      <c r="B41" s="1032" t="s">
        <v>838</v>
      </c>
      <c r="C41" s="340" t="s">
        <v>839</v>
      </c>
      <c r="D41" s="340" t="s">
        <v>840</v>
      </c>
      <c r="E41" s="340" t="s">
        <v>824</v>
      </c>
      <c r="F41" s="340" t="s">
        <v>33</v>
      </c>
      <c r="G41" s="340" t="s">
        <v>82</v>
      </c>
      <c r="H41" s="340"/>
      <c r="I41" s="340" t="s">
        <v>825</v>
      </c>
      <c r="J41" s="340" t="s">
        <v>1320</v>
      </c>
      <c r="K41" s="340" t="s">
        <v>1321</v>
      </c>
      <c r="L41" s="1031" t="s">
        <v>1322</v>
      </c>
      <c r="M41" s="340" t="s">
        <v>824</v>
      </c>
      <c r="N41" s="340" t="s">
        <v>33</v>
      </c>
      <c r="O41" s="340" t="s">
        <v>82</v>
      </c>
      <c r="P41" s="340" t="s">
        <v>825</v>
      </c>
      <c r="Q41" s="340" t="s">
        <v>1321</v>
      </c>
      <c r="R41" s="1031" t="s">
        <v>1322</v>
      </c>
      <c r="S41" s="340" t="s">
        <v>824</v>
      </c>
      <c r="T41" s="340" t="s">
        <v>33</v>
      </c>
      <c r="U41" s="340" t="s">
        <v>82</v>
      </c>
      <c r="V41" s="340" t="s">
        <v>825</v>
      </c>
      <c r="W41" s="340" t="s">
        <v>1323</v>
      </c>
      <c r="X41" s="340" t="s">
        <v>824</v>
      </c>
      <c r="Y41" s="340" t="s">
        <v>825</v>
      </c>
      <c r="Z41" s="340" t="s">
        <v>1324</v>
      </c>
    </row>
    <row r="42" spans="1:26" hidden="1">
      <c r="A42" s="339" t="s">
        <v>1319</v>
      </c>
      <c r="B42" s="339" t="s">
        <v>1282</v>
      </c>
      <c r="C42" s="339" t="s">
        <v>1331</v>
      </c>
      <c r="D42" s="339" t="s">
        <v>42</v>
      </c>
      <c r="E42" s="338">
        <v>22</v>
      </c>
      <c r="F42" s="338">
        <v>21</v>
      </c>
      <c r="G42" s="337">
        <v>52.1</v>
      </c>
      <c r="H42" s="337"/>
      <c r="I42" s="338">
        <v>1312.1</v>
      </c>
      <c r="J42" s="339" t="s">
        <v>1332</v>
      </c>
      <c r="K42" s="339" t="s">
        <v>1333</v>
      </c>
      <c r="L42" s="909">
        <v>46217</v>
      </c>
      <c r="M42" s="338">
        <v>22</v>
      </c>
      <c r="N42" s="337">
        <v>21</v>
      </c>
      <c r="O42" s="338">
        <v>52.1</v>
      </c>
      <c r="P42" s="338">
        <v>1312.1</v>
      </c>
      <c r="Q42" s="339" t="s">
        <v>1333</v>
      </c>
      <c r="R42" s="909">
        <v>46217</v>
      </c>
      <c r="S42" s="337">
        <v>22</v>
      </c>
      <c r="T42" s="338">
        <v>21</v>
      </c>
      <c r="U42" s="337">
        <v>53.2</v>
      </c>
      <c r="V42" s="338">
        <v>1313.2</v>
      </c>
      <c r="W42" s="339" t="s">
        <v>1334</v>
      </c>
      <c r="X42" s="337">
        <v>0</v>
      </c>
      <c r="Y42" s="337">
        <v>1.1000000000000001</v>
      </c>
      <c r="Z42" s="337">
        <v>0.08</v>
      </c>
    </row>
    <row r="43" spans="1:26" hidden="1">
      <c r="A43" s="339" t="s">
        <v>1319</v>
      </c>
      <c r="B43" s="339" t="s">
        <v>1283</v>
      </c>
      <c r="C43" s="339" t="s">
        <v>1339</v>
      </c>
      <c r="D43" s="339" t="s">
        <v>46</v>
      </c>
      <c r="E43" s="338">
        <v>3</v>
      </c>
      <c r="F43" s="338">
        <v>2</v>
      </c>
      <c r="G43" s="337">
        <v>41</v>
      </c>
      <c r="H43" s="337"/>
      <c r="I43" s="338">
        <v>161</v>
      </c>
      <c r="J43" s="339" t="s">
        <v>1332</v>
      </c>
      <c r="K43" s="339" t="s">
        <v>1333</v>
      </c>
      <c r="L43" s="909">
        <v>46217</v>
      </c>
      <c r="M43" s="338">
        <v>3</v>
      </c>
      <c r="N43" s="337">
        <v>2</v>
      </c>
      <c r="O43" s="338">
        <v>41</v>
      </c>
      <c r="P43" s="338">
        <v>161</v>
      </c>
      <c r="Q43" s="339" t="s">
        <v>1333</v>
      </c>
      <c r="R43" s="909">
        <v>46217</v>
      </c>
      <c r="S43" s="337">
        <v>3</v>
      </c>
      <c r="T43" s="338">
        <v>2</v>
      </c>
      <c r="U43" s="337">
        <v>41.3</v>
      </c>
      <c r="V43" s="338">
        <v>161.30000000000001</v>
      </c>
      <c r="W43" s="339" t="s">
        <v>1340</v>
      </c>
      <c r="X43" s="337">
        <v>0</v>
      </c>
      <c r="Y43" s="337">
        <v>0.3</v>
      </c>
      <c r="Z43" s="337">
        <v>0.19</v>
      </c>
    </row>
    <row r="44" spans="1:26" hidden="1">
      <c r="A44" s="339" t="s">
        <v>1319</v>
      </c>
      <c r="B44" s="339" t="s">
        <v>1283</v>
      </c>
      <c r="C44" s="339" t="s">
        <v>1341</v>
      </c>
      <c r="D44" s="339" t="s">
        <v>43</v>
      </c>
      <c r="E44" s="338">
        <v>129</v>
      </c>
      <c r="F44" s="338">
        <v>128</v>
      </c>
      <c r="G44" s="337">
        <v>21.7</v>
      </c>
      <c r="H44" s="337"/>
      <c r="I44" s="338">
        <v>7701.7</v>
      </c>
      <c r="J44" s="339" t="s">
        <v>1332</v>
      </c>
      <c r="K44" s="339" t="s">
        <v>1333</v>
      </c>
      <c r="L44" s="909">
        <v>46217</v>
      </c>
      <c r="M44" s="338">
        <v>129</v>
      </c>
      <c r="N44" s="337">
        <v>128</v>
      </c>
      <c r="O44" s="338">
        <v>21.7</v>
      </c>
      <c r="P44" s="338">
        <v>7701.7</v>
      </c>
      <c r="Q44" s="339" t="s">
        <v>1333</v>
      </c>
      <c r="R44" s="909">
        <v>46217</v>
      </c>
      <c r="S44" s="337">
        <v>128</v>
      </c>
      <c r="T44" s="338">
        <v>128</v>
      </c>
      <c r="U44" s="337">
        <v>16.8</v>
      </c>
      <c r="V44" s="338">
        <v>7696.8</v>
      </c>
      <c r="W44" s="339" t="s">
        <v>1338</v>
      </c>
      <c r="X44" s="337">
        <v>-1</v>
      </c>
      <c r="Y44" s="337">
        <v>-4.9000000000000004</v>
      </c>
      <c r="Z44" s="337">
        <v>-0.06</v>
      </c>
    </row>
    <row r="45" spans="1:26" hidden="1">
      <c r="A45" s="339" t="s">
        <v>1319</v>
      </c>
      <c r="B45" s="339" t="s">
        <v>1282</v>
      </c>
      <c r="C45" s="339" t="s">
        <v>1345</v>
      </c>
      <c r="D45" s="339" t="s">
        <v>44</v>
      </c>
      <c r="E45" s="338">
        <v>18</v>
      </c>
      <c r="F45" s="338">
        <v>17</v>
      </c>
      <c r="G45" s="337">
        <v>29.7</v>
      </c>
      <c r="H45" s="337"/>
      <c r="I45" s="338">
        <v>1049.7</v>
      </c>
      <c r="J45" s="339" t="s">
        <v>1332</v>
      </c>
      <c r="K45" s="339" t="s">
        <v>1346</v>
      </c>
      <c r="L45" s="909">
        <v>46217</v>
      </c>
      <c r="M45" s="338">
        <v>18</v>
      </c>
      <c r="N45" s="337">
        <v>17</v>
      </c>
      <c r="O45" s="338">
        <v>29.7</v>
      </c>
      <c r="P45" s="338">
        <v>1049.7</v>
      </c>
      <c r="Q45" s="339" t="s">
        <v>1346</v>
      </c>
      <c r="R45" s="909">
        <v>46217</v>
      </c>
      <c r="S45" s="337">
        <v>18</v>
      </c>
      <c r="T45" s="338">
        <v>17</v>
      </c>
      <c r="U45" s="337">
        <v>26.8</v>
      </c>
      <c r="V45" s="338">
        <v>1046.8</v>
      </c>
      <c r="W45" s="339" t="s">
        <v>1347</v>
      </c>
      <c r="X45" s="337">
        <v>0</v>
      </c>
      <c r="Y45" s="337">
        <v>-2.9</v>
      </c>
      <c r="Z45" s="337">
        <v>-0.28000000000000003</v>
      </c>
    </row>
    <row r="46" spans="1:26" hidden="1">
      <c r="A46" s="339" t="s">
        <v>1319</v>
      </c>
      <c r="B46" s="339" t="s">
        <v>1283</v>
      </c>
      <c r="C46" s="339" t="s">
        <v>1348</v>
      </c>
      <c r="D46" s="339" t="s">
        <v>44</v>
      </c>
      <c r="E46" s="338">
        <v>16</v>
      </c>
      <c r="F46" s="338">
        <v>15</v>
      </c>
      <c r="G46" s="337">
        <v>59.9</v>
      </c>
      <c r="H46" s="337"/>
      <c r="I46" s="338">
        <v>959.9</v>
      </c>
      <c r="J46" s="339" t="s">
        <v>1332</v>
      </c>
      <c r="K46" s="339" t="s">
        <v>1346</v>
      </c>
      <c r="L46" s="909">
        <v>46217</v>
      </c>
      <c r="M46" s="338">
        <v>16</v>
      </c>
      <c r="N46" s="337">
        <v>15</v>
      </c>
      <c r="O46" s="338">
        <v>59.9</v>
      </c>
      <c r="P46" s="338">
        <v>959.9</v>
      </c>
      <c r="Q46" s="339" t="s">
        <v>1346</v>
      </c>
      <c r="R46" s="909">
        <v>46217</v>
      </c>
      <c r="S46" s="337">
        <v>16</v>
      </c>
      <c r="T46" s="338">
        <v>15</v>
      </c>
      <c r="U46" s="337">
        <v>53.6</v>
      </c>
      <c r="V46" s="338">
        <v>953.6</v>
      </c>
      <c r="W46" s="339" t="s">
        <v>1349</v>
      </c>
      <c r="X46" s="337">
        <v>0</v>
      </c>
      <c r="Y46" s="337">
        <v>-6.3</v>
      </c>
      <c r="Z46" s="337">
        <v>-0.66</v>
      </c>
    </row>
    <row r="47" spans="1:26" hidden="1">
      <c r="A47" s="339" t="s">
        <v>1319</v>
      </c>
      <c r="B47" s="339" t="s">
        <v>1283</v>
      </c>
      <c r="C47" s="339" t="s">
        <v>1350</v>
      </c>
      <c r="D47" s="339" t="s">
        <v>42</v>
      </c>
      <c r="E47" s="338">
        <v>19</v>
      </c>
      <c r="F47" s="338">
        <v>18</v>
      </c>
      <c r="G47" s="337">
        <v>48.4</v>
      </c>
      <c r="H47" s="337"/>
      <c r="I47" s="338">
        <v>1128.4000000000001</v>
      </c>
      <c r="J47" s="339" t="s">
        <v>1332</v>
      </c>
      <c r="K47" s="339" t="s">
        <v>1346</v>
      </c>
      <c r="L47" s="909">
        <v>46217</v>
      </c>
      <c r="M47" s="338">
        <v>19</v>
      </c>
      <c r="N47" s="337">
        <v>18</v>
      </c>
      <c r="O47" s="338">
        <v>48.4</v>
      </c>
      <c r="P47" s="338">
        <v>1128.4000000000001</v>
      </c>
      <c r="Q47" s="339" t="s">
        <v>1346</v>
      </c>
      <c r="R47" s="909">
        <v>46217</v>
      </c>
      <c r="S47" s="337">
        <v>19</v>
      </c>
      <c r="T47" s="338">
        <v>18</v>
      </c>
      <c r="U47" s="337">
        <v>39.9</v>
      </c>
      <c r="V47" s="338">
        <v>1119.9000000000001</v>
      </c>
      <c r="W47" s="339" t="s">
        <v>1351</v>
      </c>
      <c r="X47" s="337">
        <v>0</v>
      </c>
      <c r="Y47" s="337">
        <v>-8.5</v>
      </c>
      <c r="Z47" s="337">
        <v>-0.75</v>
      </c>
    </row>
    <row r="48" spans="1:26" hidden="1">
      <c r="A48" s="339" t="s">
        <v>1319</v>
      </c>
      <c r="B48" s="339" t="s">
        <v>1283</v>
      </c>
      <c r="C48" s="339" t="s">
        <v>1352</v>
      </c>
      <c r="D48" s="339" t="s">
        <v>45</v>
      </c>
      <c r="E48" s="338">
        <v>87</v>
      </c>
      <c r="F48" s="338">
        <v>86</v>
      </c>
      <c r="G48" s="337">
        <v>49</v>
      </c>
      <c r="H48" s="337"/>
      <c r="I48" s="338">
        <v>5209</v>
      </c>
      <c r="J48" s="339" t="s">
        <v>1332</v>
      </c>
      <c r="K48" s="339" t="s">
        <v>1346</v>
      </c>
      <c r="L48" s="909">
        <v>46217</v>
      </c>
      <c r="M48" s="338">
        <v>87</v>
      </c>
      <c r="N48" s="337">
        <v>86</v>
      </c>
      <c r="O48" s="338">
        <v>49</v>
      </c>
      <c r="P48" s="338">
        <v>5209</v>
      </c>
      <c r="Q48" s="339" t="s">
        <v>1346</v>
      </c>
      <c r="R48" s="909">
        <v>46217</v>
      </c>
      <c r="S48" s="337">
        <v>87</v>
      </c>
      <c r="T48" s="338">
        <v>86</v>
      </c>
      <c r="U48" s="337">
        <v>34.700000000000003</v>
      </c>
      <c r="V48" s="338">
        <v>5194.7</v>
      </c>
      <c r="W48" s="339" t="s">
        <v>1347</v>
      </c>
      <c r="X48" s="337">
        <v>0</v>
      </c>
      <c r="Y48" s="337">
        <v>-14.3</v>
      </c>
      <c r="Z48" s="337">
        <v>-0.27</v>
      </c>
    </row>
    <row r="49" spans="1:26" hidden="1">
      <c r="A49" s="339" t="s">
        <v>1319</v>
      </c>
      <c r="B49" s="339" t="s">
        <v>1282</v>
      </c>
      <c r="C49" s="339" t="s">
        <v>1353</v>
      </c>
      <c r="D49" s="339" t="s">
        <v>46</v>
      </c>
      <c r="E49" s="338">
        <v>5</v>
      </c>
      <c r="F49" s="338">
        <v>5</v>
      </c>
      <c r="G49" s="337">
        <v>5.6</v>
      </c>
      <c r="H49" s="337"/>
      <c r="I49" s="338">
        <v>305.60000000000002</v>
      </c>
      <c r="J49" s="339" t="s">
        <v>1332</v>
      </c>
      <c r="K49" s="339" t="s">
        <v>1346</v>
      </c>
      <c r="L49" s="909">
        <v>46217</v>
      </c>
      <c r="M49" s="338">
        <v>5</v>
      </c>
      <c r="N49" s="337">
        <v>5</v>
      </c>
      <c r="O49" s="338">
        <v>5.6</v>
      </c>
      <c r="P49" s="338">
        <v>305.60000000000002</v>
      </c>
      <c r="Q49" s="339" t="s">
        <v>1346</v>
      </c>
      <c r="R49" s="909">
        <v>46217</v>
      </c>
      <c r="S49" s="337">
        <v>5</v>
      </c>
      <c r="T49" s="338">
        <v>5</v>
      </c>
      <c r="U49" s="337">
        <v>0.5</v>
      </c>
      <c r="V49" s="338">
        <v>300.5</v>
      </c>
      <c r="W49" s="339" t="s">
        <v>1354</v>
      </c>
      <c r="X49" s="337">
        <v>0</v>
      </c>
      <c r="Y49" s="337">
        <v>-5.0999999999999996</v>
      </c>
      <c r="Z49" s="337">
        <v>-1.67</v>
      </c>
    </row>
    <row r="50" spans="1:26" hidden="1">
      <c r="A50" s="339" t="s">
        <v>1319</v>
      </c>
      <c r="B50" s="339" t="s">
        <v>1282</v>
      </c>
      <c r="C50" s="339" t="s">
        <v>1355</v>
      </c>
      <c r="D50" s="339" t="s">
        <v>43</v>
      </c>
      <c r="E50" s="338">
        <v>122</v>
      </c>
      <c r="F50" s="338">
        <v>121</v>
      </c>
      <c r="G50" s="337">
        <v>46.7</v>
      </c>
      <c r="H50" s="337"/>
      <c r="I50" s="338">
        <v>7306.7</v>
      </c>
      <c r="J50" s="339" t="s">
        <v>1332</v>
      </c>
      <c r="K50" s="339" t="s">
        <v>1346</v>
      </c>
      <c r="L50" s="909">
        <v>46217</v>
      </c>
      <c r="M50" s="338">
        <v>122</v>
      </c>
      <c r="N50" s="337">
        <v>121</v>
      </c>
      <c r="O50" s="338">
        <v>46.7</v>
      </c>
      <c r="P50" s="338">
        <v>7306.7</v>
      </c>
      <c r="Q50" s="339" t="s">
        <v>1346</v>
      </c>
      <c r="R50" s="909">
        <v>46217</v>
      </c>
      <c r="S50" s="337">
        <v>122</v>
      </c>
      <c r="T50" s="338">
        <v>121</v>
      </c>
      <c r="U50" s="337">
        <v>25.2</v>
      </c>
      <c r="V50" s="338">
        <v>7285.2</v>
      </c>
      <c r="W50" s="339" t="s">
        <v>1356</v>
      </c>
      <c r="X50" s="337">
        <v>0</v>
      </c>
      <c r="Y50" s="337">
        <v>-21.5</v>
      </c>
      <c r="Z50" s="337">
        <v>-0.28999999999999998</v>
      </c>
    </row>
    <row r="51" spans="1:26" hidden="1">
      <c r="A51" s="339" t="s">
        <v>1319</v>
      </c>
      <c r="B51" s="339" t="s">
        <v>1282</v>
      </c>
      <c r="C51" s="339" t="s">
        <v>1337</v>
      </c>
      <c r="D51" s="339" t="s">
        <v>45</v>
      </c>
      <c r="E51" s="338">
        <v>85</v>
      </c>
      <c r="F51" s="338">
        <v>84</v>
      </c>
      <c r="G51" s="337">
        <v>49.6</v>
      </c>
      <c r="H51" s="337"/>
      <c r="I51" s="338">
        <v>5089.6000000000004</v>
      </c>
      <c r="J51" s="339" t="s">
        <v>1332</v>
      </c>
      <c r="K51" s="339" t="s">
        <v>1357</v>
      </c>
      <c r="L51" s="909">
        <v>46217</v>
      </c>
      <c r="M51" s="338">
        <v>85</v>
      </c>
      <c r="N51" s="337">
        <v>84</v>
      </c>
      <c r="O51" s="338">
        <v>49.6</v>
      </c>
      <c r="P51" s="338">
        <v>5089.6000000000004</v>
      </c>
      <c r="Q51" s="339" t="s">
        <v>1358</v>
      </c>
      <c r="R51" s="909">
        <v>46217</v>
      </c>
      <c r="S51" s="337">
        <v>85</v>
      </c>
      <c r="T51" s="338">
        <v>84</v>
      </c>
      <c r="U51" s="337">
        <v>50.5</v>
      </c>
      <c r="V51" s="338">
        <v>5090.5</v>
      </c>
      <c r="W51" s="339" t="s">
        <v>1356</v>
      </c>
      <c r="X51" s="337">
        <v>0</v>
      </c>
      <c r="Y51" s="337">
        <v>0.89999999999999991</v>
      </c>
      <c r="Z51" s="337">
        <v>0.02</v>
      </c>
    </row>
    <row r="52" spans="1:26" hidden="1">
      <c r="A52" s="339"/>
      <c r="B52" s="339"/>
      <c r="C52" s="339"/>
      <c r="D52" s="339"/>
      <c r="E52" s="338"/>
      <c r="F52" s="338"/>
      <c r="G52" s="337"/>
      <c r="H52" s="337"/>
      <c r="I52" s="1044">
        <f>SUM(I42:I51)</f>
        <v>30223.699999999997</v>
      </c>
      <c r="J52" s="339"/>
      <c r="K52" s="339"/>
      <c r="L52" s="909"/>
      <c r="M52" s="338"/>
      <c r="N52" s="337"/>
      <c r="O52" s="338"/>
      <c r="P52" s="338"/>
      <c r="Q52" s="339"/>
      <c r="R52" s="909"/>
      <c r="S52" s="337"/>
      <c r="T52" s="338"/>
      <c r="U52" s="337"/>
      <c r="V52" s="338">
        <f>SUM(V42:V51)</f>
        <v>30162.5</v>
      </c>
      <c r="W52" s="339"/>
      <c r="X52" s="337"/>
      <c r="Y52" s="337"/>
      <c r="Z52" s="337"/>
    </row>
    <row r="53" spans="1:26" hidden="1">
      <c r="A53" s="339"/>
      <c r="B53" s="339"/>
      <c r="C53" s="339"/>
      <c r="D53" s="339"/>
      <c r="E53" s="338"/>
      <c r="F53" s="338"/>
      <c r="G53" s="337"/>
      <c r="H53" s="337"/>
      <c r="I53" s="1044">
        <f>I52/60</f>
        <v>503.7283333333333</v>
      </c>
      <c r="J53" s="339"/>
      <c r="K53" s="339"/>
      <c r="L53" s="909"/>
      <c r="M53" s="338"/>
      <c r="N53" s="337"/>
      <c r="O53" s="338"/>
      <c r="P53" s="338"/>
      <c r="Q53" s="339"/>
      <c r="R53" s="909"/>
      <c r="S53" s="337"/>
      <c r="T53" s="338"/>
      <c r="U53" s="337"/>
      <c r="V53" s="338"/>
      <c r="W53" s="339"/>
      <c r="X53" s="337"/>
      <c r="Y53" s="337"/>
      <c r="Z53" s="337"/>
    </row>
    <row r="54" spans="1:26" hidden="1">
      <c r="A54" s="339" t="s">
        <v>1319</v>
      </c>
      <c r="B54" s="339" t="s">
        <v>1282</v>
      </c>
      <c r="C54" s="339" t="s">
        <v>1342</v>
      </c>
      <c r="D54" s="339" t="s">
        <v>48</v>
      </c>
      <c r="E54" s="338">
        <v>2</v>
      </c>
      <c r="F54" s="338">
        <v>0</v>
      </c>
      <c r="G54" s="337">
        <v>49</v>
      </c>
      <c r="H54" s="337"/>
      <c r="I54" s="338">
        <v>49</v>
      </c>
      <c r="J54" s="339" t="s">
        <v>1332</v>
      </c>
      <c r="K54" s="339" t="s">
        <v>1333</v>
      </c>
      <c r="L54" s="909">
        <v>46217</v>
      </c>
      <c r="M54" s="338">
        <v>2</v>
      </c>
      <c r="N54" s="337">
        <v>0</v>
      </c>
      <c r="O54" s="338">
        <v>49</v>
      </c>
      <c r="P54" s="338">
        <v>49</v>
      </c>
      <c r="Q54" s="339" t="s">
        <v>1333</v>
      </c>
      <c r="R54" s="909">
        <v>46217</v>
      </c>
      <c r="S54" s="337">
        <v>1</v>
      </c>
      <c r="T54" s="338">
        <v>0</v>
      </c>
      <c r="U54" s="337">
        <v>50.1</v>
      </c>
      <c r="V54" s="338">
        <v>50.1</v>
      </c>
      <c r="W54" s="339" t="s">
        <v>1343</v>
      </c>
      <c r="X54" s="337">
        <v>-1</v>
      </c>
      <c r="Y54" s="337">
        <v>1.1000000000000001</v>
      </c>
      <c r="Z54" s="337">
        <v>2.2400000000000002</v>
      </c>
    </row>
    <row r="55" spans="1:26" hidden="1">
      <c r="A55" s="339" t="s">
        <v>1319</v>
      </c>
      <c r="B55" s="339" t="s">
        <v>1283</v>
      </c>
      <c r="C55" s="339" t="s">
        <v>1344</v>
      </c>
      <c r="D55" s="339" t="s">
        <v>48</v>
      </c>
      <c r="E55" s="338">
        <v>2</v>
      </c>
      <c r="F55" s="338">
        <v>0</v>
      </c>
      <c r="G55" s="337">
        <v>39</v>
      </c>
      <c r="H55" s="337"/>
      <c r="I55" s="338">
        <v>39</v>
      </c>
      <c r="J55" s="339" t="s">
        <v>1332</v>
      </c>
      <c r="K55" s="339" t="s">
        <v>1333</v>
      </c>
      <c r="L55" s="909">
        <v>46217</v>
      </c>
      <c r="M55" s="338">
        <v>2</v>
      </c>
      <c r="N55" s="337">
        <v>0</v>
      </c>
      <c r="O55" s="338">
        <v>39</v>
      </c>
      <c r="P55" s="338">
        <v>39</v>
      </c>
      <c r="Q55" s="339" t="s">
        <v>1333</v>
      </c>
      <c r="R55" s="909">
        <v>46217</v>
      </c>
      <c r="S55" s="337">
        <v>1</v>
      </c>
      <c r="T55" s="338">
        <v>0</v>
      </c>
      <c r="U55" s="337">
        <v>39.1</v>
      </c>
      <c r="V55" s="338">
        <v>39.1</v>
      </c>
      <c r="W55" s="339" t="s">
        <v>1340</v>
      </c>
      <c r="X55" s="337">
        <v>-1</v>
      </c>
      <c r="Y55" s="337">
        <v>0.1</v>
      </c>
      <c r="Z55" s="337">
        <v>0.26</v>
      </c>
    </row>
    <row r="56" spans="1:26" hidden="1">
      <c r="I56" s="1050">
        <f>SUM(I54:I55)</f>
        <v>88</v>
      </c>
      <c r="V56" s="906">
        <f>SUM(V54:V55)</f>
        <v>89.2</v>
      </c>
    </row>
    <row r="57" spans="1:26" hidden="1">
      <c r="I57" s="1052">
        <f>I56/60</f>
        <v>1.4666666666666666</v>
      </c>
    </row>
    <row r="58" spans="1:26" hidden="1"/>
    <row r="59" spans="1:26" hidden="1"/>
    <row r="60" spans="1:26" hidden="1"/>
    <row r="61" spans="1:26" hidden="1">
      <c r="G61" s="135"/>
      <c r="H61" s="135"/>
      <c r="I61" s="135" t="s">
        <v>1372</v>
      </c>
      <c r="J61" s="135" t="s">
        <v>1373</v>
      </c>
      <c r="K61" s="135" t="s">
        <v>1374</v>
      </c>
    </row>
    <row r="62" spans="1:26" hidden="1">
      <c r="G62" s="135" t="s">
        <v>354</v>
      </c>
      <c r="H62" s="135"/>
      <c r="I62" s="135">
        <v>30087</v>
      </c>
      <c r="J62" s="135">
        <v>30223.7</v>
      </c>
      <c r="K62" s="135">
        <v>30163</v>
      </c>
    </row>
    <row r="63" spans="1:26" hidden="1">
      <c r="G63" s="135" t="s">
        <v>856</v>
      </c>
      <c r="H63" s="135"/>
      <c r="I63" s="135">
        <v>88</v>
      </c>
      <c r="J63" s="135">
        <v>88</v>
      </c>
      <c r="K63" s="135">
        <v>89</v>
      </c>
    </row>
    <row r="64" spans="1:26" hidden="1"/>
  </sheetData>
  <autoFilter ref="A2:U16" xr:uid="{9FDBC985-AC64-474B-9175-F62F9CAF6131}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EF7E-326F-4C7A-BDA7-9BA0709B4425}">
  <dimension ref="A1:U67"/>
  <sheetViews>
    <sheetView topLeftCell="A18" zoomScale="80" zoomScaleNormal="80" workbookViewId="0">
      <selection activeCell="E21" sqref="E21:E24"/>
    </sheetView>
  </sheetViews>
  <sheetFormatPr defaultRowHeight="14.5"/>
  <cols>
    <col min="1" max="1" width="16.54296875" customWidth="1"/>
    <col min="2" max="2" width="11.81640625" bestFit="1" customWidth="1"/>
    <col min="3" max="3" width="16.1796875" customWidth="1"/>
    <col min="4" max="4" width="28.81640625" customWidth="1"/>
    <col min="5" max="5" width="28.81640625" bestFit="1" customWidth="1"/>
    <col min="6" max="6" width="17.1796875" bestFit="1" customWidth="1"/>
    <col min="8" max="8" width="16.90625" bestFit="1" customWidth="1"/>
    <col min="9" max="9" width="20.1796875" bestFit="1" customWidth="1"/>
    <col min="10" max="10" width="14.54296875" bestFit="1" customWidth="1"/>
    <col min="11" max="11" width="15.08984375" bestFit="1" customWidth="1"/>
    <col min="12" max="12" width="17.36328125" bestFit="1" customWidth="1"/>
    <col min="13" max="13" width="24.54296875" customWidth="1"/>
    <col min="14" max="14" width="12.1796875" customWidth="1"/>
    <col min="15" max="15" width="11" customWidth="1"/>
    <col min="16" max="16" width="20.81640625" customWidth="1"/>
    <col min="17" max="17" width="13.1796875" bestFit="1" customWidth="1"/>
  </cols>
  <sheetData>
    <row r="1" spans="1:18">
      <c r="A1" t="s">
        <v>811</v>
      </c>
      <c r="B1" t="s">
        <v>23</v>
      </c>
      <c r="C1" t="s">
        <v>24</v>
      </c>
      <c r="D1" t="s">
        <v>1304</v>
      </c>
      <c r="E1" t="s">
        <v>24</v>
      </c>
      <c r="F1" t="s">
        <v>1305</v>
      </c>
    </row>
    <row r="2" spans="1:18">
      <c r="A2" t="s">
        <v>1299</v>
      </c>
      <c r="B2" t="s">
        <v>42</v>
      </c>
      <c r="C2">
        <v>56</v>
      </c>
      <c r="E2" s="30">
        <f>D2-C2</f>
        <v>-56</v>
      </c>
    </row>
    <row r="3" spans="1:18">
      <c r="B3" t="s">
        <v>43</v>
      </c>
      <c r="C3">
        <v>420</v>
      </c>
      <c r="D3" s="167">
        <f>E9+E11+E16+E18</f>
        <v>159</v>
      </c>
      <c r="E3" s="30">
        <f>D3-C3</f>
        <v>-261</v>
      </c>
    </row>
    <row r="4" spans="1:18">
      <c r="B4" t="s">
        <v>44</v>
      </c>
      <c r="C4">
        <v>47</v>
      </c>
      <c r="D4">
        <f>E14+E16+E20</f>
        <v>18</v>
      </c>
      <c r="E4" s="30">
        <f t="shared" ref="E4:E5" si="0">D4-C4</f>
        <v>-29</v>
      </c>
    </row>
    <row r="5" spans="1:18">
      <c r="B5" t="s">
        <v>45</v>
      </c>
      <c r="C5">
        <v>345</v>
      </c>
      <c r="D5" s="167">
        <f>E10+E12+E19</f>
        <v>138</v>
      </c>
      <c r="E5" s="30">
        <f t="shared" si="0"/>
        <v>-207</v>
      </c>
    </row>
    <row r="6" spans="1:18">
      <c r="A6" t="s">
        <v>487</v>
      </c>
      <c r="C6">
        <f>SUM(C2:C5)</f>
        <v>868</v>
      </c>
      <c r="D6">
        <f>SUM(D2:D5)</f>
        <v>315</v>
      </c>
      <c r="E6" s="30">
        <f>SUM(E2:E5)</f>
        <v>-553</v>
      </c>
    </row>
    <row r="7" spans="1:18" s="17" customFormat="1">
      <c r="N7" s="1745" t="s">
        <v>1274</v>
      </c>
      <c r="O7" s="1745"/>
      <c r="P7" s="1745"/>
    </row>
    <row r="8" spans="1:18" s="1251" customFormat="1" ht="15.5">
      <c r="A8" s="1246" t="s">
        <v>1306</v>
      </c>
      <c r="B8" s="1247" t="s">
        <v>80</v>
      </c>
      <c r="C8" s="1247" t="s">
        <v>1307</v>
      </c>
      <c r="D8" s="1247" t="s">
        <v>81</v>
      </c>
      <c r="E8" s="1248" t="s">
        <v>33</v>
      </c>
      <c r="F8" s="1248" t="s">
        <v>82</v>
      </c>
      <c r="G8" s="1248" t="s">
        <v>35</v>
      </c>
      <c r="H8" s="1249"/>
      <c r="I8" s="1249" t="s">
        <v>4</v>
      </c>
      <c r="J8" s="1248" t="s">
        <v>902</v>
      </c>
      <c r="K8" s="1250" t="s">
        <v>679</v>
      </c>
      <c r="L8" s="1248" t="s">
        <v>1296</v>
      </c>
      <c r="M8" s="1248" t="s">
        <v>1295</v>
      </c>
      <c r="N8" s="1248" t="s">
        <v>33</v>
      </c>
      <c r="O8" s="1248" t="s">
        <v>82</v>
      </c>
      <c r="P8" s="1248" t="s">
        <v>35</v>
      </c>
    </row>
    <row r="9" spans="1:18" s="1218" customFormat="1" ht="15.5">
      <c r="A9" s="1219">
        <v>46209</v>
      </c>
      <c r="B9" s="1220" t="s">
        <v>1313</v>
      </c>
      <c r="C9" s="1593" t="s">
        <v>1315</v>
      </c>
      <c r="D9" s="1216" t="s">
        <v>43</v>
      </c>
      <c r="E9" s="1377">
        <v>57</v>
      </c>
      <c r="F9" s="1378">
        <v>49</v>
      </c>
      <c r="G9" s="1243">
        <v>3465</v>
      </c>
      <c r="H9" s="1221"/>
      <c r="I9" s="1028" t="s">
        <v>54</v>
      </c>
      <c r="J9" s="1217" t="s">
        <v>354</v>
      </c>
      <c r="K9" s="1217" t="s">
        <v>697</v>
      </c>
      <c r="L9" s="1217">
        <v>70631</v>
      </c>
      <c r="M9" s="1217">
        <v>3465.7</v>
      </c>
      <c r="N9" s="1217"/>
      <c r="O9" s="1217"/>
      <c r="P9" s="1217"/>
      <c r="Q9" s="1218" t="s">
        <v>1492</v>
      </c>
      <c r="R9" s="1218">
        <f>M9</f>
        <v>3465.7</v>
      </c>
    </row>
    <row r="10" spans="1:18" s="1218" customFormat="1" ht="15.5">
      <c r="A10" s="1222">
        <v>46209</v>
      </c>
      <c r="B10" s="1220" t="s">
        <v>1313</v>
      </c>
      <c r="C10" s="1593" t="s">
        <v>1315</v>
      </c>
      <c r="D10" s="1216" t="s">
        <v>45</v>
      </c>
      <c r="E10" s="1377">
        <v>46</v>
      </c>
      <c r="F10" s="1378">
        <v>64</v>
      </c>
      <c r="G10" s="1243">
        <v>2821</v>
      </c>
      <c r="H10" s="1221"/>
      <c r="I10" s="1028" t="s">
        <v>54</v>
      </c>
      <c r="J10" s="1217" t="s">
        <v>354</v>
      </c>
      <c r="K10" s="1217" t="s">
        <v>435</v>
      </c>
      <c r="L10" s="1217">
        <v>70633</v>
      </c>
      <c r="M10" s="1217">
        <v>2821.6</v>
      </c>
      <c r="N10" s="1217"/>
      <c r="O10" s="1217"/>
      <c r="P10" s="1217"/>
      <c r="Q10" s="1218" t="s">
        <v>1495</v>
      </c>
      <c r="R10" s="1218">
        <f t="shared" ref="R10:R20" si="1">M10</f>
        <v>2821.6</v>
      </c>
    </row>
    <row r="11" spans="1:18" s="1218" customFormat="1" ht="15.5">
      <c r="A11" s="1223">
        <v>46209</v>
      </c>
      <c r="B11" s="1224" t="s">
        <v>1314</v>
      </c>
      <c r="C11" s="1593" t="s">
        <v>1315</v>
      </c>
      <c r="D11" s="1225" t="s">
        <v>43</v>
      </c>
      <c r="E11" s="1379">
        <v>58</v>
      </c>
      <c r="F11" s="1380">
        <v>12</v>
      </c>
      <c r="G11" s="1244">
        <v>3506</v>
      </c>
      <c r="H11" s="1226"/>
      <c r="I11" s="1029" t="s">
        <v>54</v>
      </c>
      <c r="J11" s="1217" t="s">
        <v>354</v>
      </c>
      <c r="K11" s="1217" t="s">
        <v>697</v>
      </c>
      <c r="L11" s="1217">
        <v>70632</v>
      </c>
      <c r="M11" s="1217">
        <v>3506.8</v>
      </c>
      <c r="N11" s="1217"/>
      <c r="O11" s="1217"/>
      <c r="P11" s="1217"/>
      <c r="Q11" s="1218" t="s">
        <v>1493</v>
      </c>
      <c r="R11" s="1218">
        <f t="shared" si="1"/>
        <v>3506.8</v>
      </c>
    </row>
    <row r="12" spans="1:18" s="1218" customFormat="1" ht="15.5">
      <c r="A12" s="1219">
        <v>46209</v>
      </c>
      <c r="B12" s="1220" t="s">
        <v>1314</v>
      </c>
      <c r="C12" s="1593" t="s">
        <v>1315</v>
      </c>
      <c r="D12" s="1216" t="s">
        <v>45</v>
      </c>
      <c r="E12" s="1377">
        <v>49</v>
      </c>
      <c r="F12" s="1378">
        <v>29</v>
      </c>
      <c r="G12" s="1243">
        <v>2980</v>
      </c>
      <c r="H12" s="1221"/>
      <c r="I12" s="1028" t="s">
        <v>54</v>
      </c>
      <c r="J12" s="1217" t="s">
        <v>354</v>
      </c>
      <c r="K12" s="1217" t="s">
        <v>435</v>
      </c>
      <c r="L12" s="1217">
        <v>70634</v>
      </c>
      <c r="M12" s="1217">
        <v>2980.3</v>
      </c>
      <c r="N12" s="1217"/>
      <c r="O12" s="1217"/>
      <c r="P12" s="1217"/>
      <c r="Q12" s="1218" t="s">
        <v>1496</v>
      </c>
      <c r="R12" s="1218">
        <f t="shared" si="1"/>
        <v>2980.3</v>
      </c>
    </row>
    <row r="13" spans="1:18" s="1218" customFormat="1" ht="15.5">
      <c r="A13" s="1227">
        <v>46216</v>
      </c>
      <c r="B13" s="1229" t="s">
        <v>1314</v>
      </c>
      <c r="C13" s="1593" t="s">
        <v>1315</v>
      </c>
      <c r="D13" s="1228" t="s">
        <v>42</v>
      </c>
      <c r="E13" s="1381">
        <v>8</v>
      </c>
      <c r="F13" s="1382">
        <v>17</v>
      </c>
      <c r="G13" s="1229">
        <v>501</v>
      </c>
      <c r="H13" s="1230"/>
      <c r="I13" s="1029" t="s">
        <v>54</v>
      </c>
      <c r="J13" s="1217" t="s">
        <v>354</v>
      </c>
      <c r="K13" s="1217" t="s">
        <v>434</v>
      </c>
      <c r="L13" s="1231">
        <v>70643</v>
      </c>
      <c r="M13" s="1231">
        <v>501.4</v>
      </c>
      <c r="N13" s="1217"/>
      <c r="O13" s="1217"/>
      <c r="P13" s="1217"/>
      <c r="Q13" s="1218" t="s">
        <v>1489</v>
      </c>
      <c r="R13" s="1218">
        <f t="shared" si="1"/>
        <v>501.4</v>
      </c>
    </row>
    <row r="14" spans="1:18" s="1218" customFormat="1" ht="15.5">
      <c r="A14" s="1232">
        <v>46216</v>
      </c>
      <c r="B14" s="1234" t="s">
        <v>1314</v>
      </c>
      <c r="C14" s="1593" t="s">
        <v>1315</v>
      </c>
      <c r="D14" s="1233" t="s">
        <v>44</v>
      </c>
      <c r="E14" s="1215">
        <v>6</v>
      </c>
      <c r="F14" s="1383">
        <v>37</v>
      </c>
      <c r="G14" s="1234">
        <v>400</v>
      </c>
      <c r="H14" s="1235"/>
      <c r="I14" s="1028" t="s">
        <v>54</v>
      </c>
      <c r="J14" s="1217" t="s">
        <v>354</v>
      </c>
      <c r="K14" s="1217" t="s">
        <v>697</v>
      </c>
      <c r="L14" s="1231">
        <v>70645</v>
      </c>
      <c r="M14" s="1231">
        <v>400.2</v>
      </c>
      <c r="N14" s="1217"/>
      <c r="O14" s="1217"/>
      <c r="P14" s="1217"/>
      <c r="Q14" s="1218" t="s">
        <v>1498</v>
      </c>
      <c r="R14" s="1218">
        <f t="shared" si="1"/>
        <v>400.2</v>
      </c>
    </row>
    <row r="15" spans="1:18" s="1218" customFormat="1" ht="15.5">
      <c r="A15" s="1236">
        <v>46216</v>
      </c>
      <c r="B15" s="1238" t="s">
        <v>1313</v>
      </c>
      <c r="C15" s="1593" t="s">
        <v>1315</v>
      </c>
      <c r="D15" s="1237" t="s">
        <v>42</v>
      </c>
      <c r="E15" s="1384">
        <v>9</v>
      </c>
      <c r="F15" s="1242">
        <v>50</v>
      </c>
      <c r="G15" s="1238">
        <v>594</v>
      </c>
      <c r="H15" s="1239"/>
      <c r="I15" s="1029" t="s">
        <v>54</v>
      </c>
      <c r="J15" s="1217" t="s">
        <v>354</v>
      </c>
      <c r="K15" s="1217" t="s">
        <v>434</v>
      </c>
      <c r="L15" s="1231">
        <v>70644</v>
      </c>
      <c r="M15" s="1231">
        <v>594.29999999999995</v>
      </c>
      <c r="N15" s="1217"/>
      <c r="O15" s="1217"/>
      <c r="P15" s="1217"/>
      <c r="Q15" s="1218" t="s">
        <v>1490</v>
      </c>
      <c r="R15" s="1218">
        <f t="shared" si="1"/>
        <v>594.29999999999995</v>
      </c>
    </row>
    <row r="16" spans="1:18" s="1218" customFormat="1" ht="15.5">
      <c r="A16" s="1232">
        <v>46216</v>
      </c>
      <c r="B16" s="1234" t="s">
        <v>1313</v>
      </c>
      <c r="C16" s="1593" t="s">
        <v>1315</v>
      </c>
      <c r="D16" s="1233" t="s">
        <v>44</v>
      </c>
      <c r="E16" s="1215">
        <v>7</v>
      </c>
      <c r="F16" s="1383">
        <v>14</v>
      </c>
      <c r="G16" s="1234">
        <v>437</v>
      </c>
      <c r="H16" s="1235"/>
      <c r="I16" s="1028" t="s">
        <v>54</v>
      </c>
      <c r="J16" s="1217" t="s">
        <v>354</v>
      </c>
      <c r="K16" s="1217" t="s">
        <v>697</v>
      </c>
      <c r="L16" s="1231">
        <v>70646</v>
      </c>
      <c r="M16" s="1231">
        <v>437.5</v>
      </c>
      <c r="N16" s="1217"/>
      <c r="O16" s="1217"/>
      <c r="P16" s="1217"/>
      <c r="Q16" s="1218" t="s">
        <v>1499</v>
      </c>
      <c r="R16" s="1218">
        <f t="shared" si="1"/>
        <v>437.5</v>
      </c>
    </row>
    <row r="17" spans="1:18" s="1242" customFormat="1" ht="15.5">
      <c r="A17" s="1245">
        <v>46218</v>
      </c>
      <c r="B17" s="1234" t="s">
        <v>1392</v>
      </c>
      <c r="C17" s="1240" t="s">
        <v>1315</v>
      </c>
      <c r="D17" s="1234" t="s">
        <v>42</v>
      </c>
      <c r="E17" s="1215">
        <v>4</v>
      </c>
      <c r="F17" s="1215">
        <v>66</v>
      </c>
      <c r="G17" s="1234">
        <v>308</v>
      </c>
      <c r="H17" s="1215"/>
      <c r="I17" s="1215" t="s">
        <v>54</v>
      </c>
      <c r="J17" s="1215" t="s">
        <v>354</v>
      </c>
      <c r="K17" s="1215" t="s">
        <v>434</v>
      </c>
      <c r="L17" s="1241">
        <v>70721</v>
      </c>
      <c r="M17" s="1241">
        <v>308</v>
      </c>
      <c r="N17" s="1215"/>
      <c r="O17" s="1215"/>
      <c r="P17" s="1215"/>
      <c r="Q17" s="1218" t="s">
        <v>1491</v>
      </c>
      <c r="R17" s="1218">
        <f t="shared" si="1"/>
        <v>308</v>
      </c>
    </row>
    <row r="18" spans="1:18" s="1242" customFormat="1" ht="15.5">
      <c r="A18" s="1245">
        <v>46218</v>
      </c>
      <c r="B18" s="1234" t="s">
        <v>1392</v>
      </c>
      <c r="C18" s="1240" t="s">
        <v>1315</v>
      </c>
      <c r="D18" s="1234" t="s">
        <v>43</v>
      </c>
      <c r="E18" s="1215">
        <v>37</v>
      </c>
      <c r="F18" s="1215">
        <v>12</v>
      </c>
      <c r="G18" s="1234">
        <v>2240</v>
      </c>
      <c r="H18" s="1215"/>
      <c r="I18" s="1215" t="s">
        <v>54</v>
      </c>
      <c r="J18" s="1215" t="s">
        <v>354</v>
      </c>
      <c r="K18" s="1215" t="s">
        <v>697</v>
      </c>
      <c r="L18" s="1241">
        <v>70722</v>
      </c>
      <c r="M18" s="1241">
        <v>2240.5</v>
      </c>
      <c r="N18" s="1215"/>
      <c r="O18" s="1215"/>
      <c r="P18" s="1215"/>
      <c r="Q18" s="1218" t="s">
        <v>1494</v>
      </c>
      <c r="R18" s="1218">
        <f t="shared" si="1"/>
        <v>2240.5</v>
      </c>
    </row>
    <row r="19" spans="1:18" s="1242" customFormat="1" ht="15.5">
      <c r="A19" s="1245">
        <v>46218</v>
      </c>
      <c r="B19" s="1234" t="s">
        <v>1392</v>
      </c>
      <c r="C19" s="1240" t="s">
        <v>1315</v>
      </c>
      <c r="D19" s="1234" t="s">
        <v>45</v>
      </c>
      <c r="E19" s="1215">
        <v>43</v>
      </c>
      <c r="F19" s="1215">
        <v>68</v>
      </c>
      <c r="G19" s="1234">
        <v>2658</v>
      </c>
      <c r="H19" s="1215"/>
      <c r="I19" s="1215" t="s">
        <v>54</v>
      </c>
      <c r="J19" s="1215" t="s">
        <v>354</v>
      </c>
      <c r="K19" s="1215" t="s">
        <v>435</v>
      </c>
      <c r="L19" s="1241">
        <v>70723</v>
      </c>
      <c r="M19" s="1241">
        <v>2658.3</v>
      </c>
      <c r="N19" s="1215"/>
      <c r="O19" s="1215"/>
      <c r="P19" s="1215"/>
      <c r="Q19" s="1218" t="s">
        <v>1497</v>
      </c>
      <c r="R19" s="1218">
        <f t="shared" si="1"/>
        <v>2658.3</v>
      </c>
    </row>
    <row r="20" spans="1:18" s="1242" customFormat="1" ht="15.5">
      <c r="A20" s="1245">
        <v>46218</v>
      </c>
      <c r="B20" s="1234" t="s">
        <v>1392</v>
      </c>
      <c r="C20" s="1240" t="s">
        <v>1315</v>
      </c>
      <c r="D20" s="1234" t="s">
        <v>44</v>
      </c>
      <c r="E20" s="1215">
        <v>5</v>
      </c>
      <c r="F20" s="1215">
        <v>23</v>
      </c>
      <c r="G20" s="1234">
        <v>325</v>
      </c>
      <c r="H20" s="1215"/>
      <c r="I20" s="1215" t="s">
        <v>54</v>
      </c>
      <c r="J20" s="1215" t="s">
        <v>354</v>
      </c>
      <c r="K20" s="1215" t="s">
        <v>697</v>
      </c>
      <c r="L20" s="1241">
        <v>70724</v>
      </c>
      <c r="M20" s="1241">
        <v>325.10000000000002</v>
      </c>
      <c r="N20" s="1215"/>
      <c r="O20" s="1215"/>
      <c r="P20" s="1215"/>
      <c r="Q20" s="1218" t="s">
        <v>1500</v>
      </c>
      <c r="R20" s="1218">
        <f t="shared" si="1"/>
        <v>325.10000000000002</v>
      </c>
    </row>
    <row r="21" spans="1:18" s="1596" customFormat="1" ht="16">
      <c r="A21" s="1613"/>
      <c r="B21" s="1614" t="s">
        <v>1934</v>
      </c>
      <c r="C21" s="1615" t="s">
        <v>1315</v>
      </c>
      <c r="D21" s="1616" t="s">
        <v>42</v>
      </c>
      <c r="E21" s="1617" t="s">
        <v>1935</v>
      </c>
      <c r="F21" s="1616" t="s">
        <v>1936</v>
      </c>
      <c r="G21" s="1616" t="s">
        <v>1943</v>
      </c>
      <c r="H21" s="1615"/>
      <c r="I21" s="1615" t="s">
        <v>54</v>
      </c>
      <c r="J21" s="1615" t="s">
        <v>354</v>
      </c>
      <c r="K21" s="1615" t="s">
        <v>434</v>
      </c>
      <c r="L21" s="1615">
        <v>70788</v>
      </c>
      <c r="M21" s="1615">
        <v>157.6</v>
      </c>
      <c r="N21" s="1594"/>
      <c r="O21" s="1594"/>
      <c r="P21" s="1594"/>
      <c r="Q21" s="1595" t="s">
        <v>2085</v>
      </c>
      <c r="R21" s="1595">
        <v>156.30000000000001</v>
      </c>
    </row>
    <row r="22" spans="1:18" s="1596" customFormat="1" ht="16">
      <c r="A22" s="1613"/>
      <c r="B22" s="1614" t="s">
        <v>1934</v>
      </c>
      <c r="C22" s="1615" t="s">
        <v>1315</v>
      </c>
      <c r="D22" s="1616" t="s">
        <v>43</v>
      </c>
      <c r="E22" s="1617" t="s">
        <v>1937</v>
      </c>
      <c r="F22" s="1616" t="s">
        <v>1938</v>
      </c>
      <c r="G22" s="1616" t="s">
        <v>1944</v>
      </c>
      <c r="H22" s="1615"/>
      <c r="I22" s="1615" t="s">
        <v>54</v>
      </c>
      <c r="J22" s="1615" t="s">
        <v>354</v>
      </c>
      <c r="K22" s="1615" t="s">
        <v>697</v>
      </c>
      <c r="L22" s="1615">
        <v>70789</v>
      </c>
      <c r="M22" s="1615">
        <v>747.4</v>
      </c>
      <c r="N22" s="1594"/>
      <c r="O22" s="1594"/>
      <c r="P22" s="1594"/>
      <c r="Q22" s="1595" t="s">
        <v>2086</v>
      </c>
      <c r="R22" s="1595">
        <v>745.3</v>
      </c>
    </row>
    <row r="23" spans="1:18" s="1596" customFormat="1" ht="16">
      <c r="A23" s="1613"/>
      <c r="B23" s="1614" t="s">
        <v>1934</v>
      </c>
      <c r="C23" s="1615" t="s">
        <v>1315</v>
      </c>
      <c r="D23" s="1616" t="s">
        <v>45</v>
      </c>
      <c r="E23" s="1617" t="s">
        <v>1939</v>
      </c>
      <c r="F23" s="1616" t="s">
        <v>1940</v>
      </c>
      <c r="G23" s="1616" t="s">
        <v>1945</v>
      </c>
      <c r="H23" s="1615"/>
      <c r="I23" s="1615" t="s">
        <v>56</v>
      </c>
      <c r="J23" s="1615" t="s">
        <v>354</v>
      </c>
      <c r="K23" s="1615" t="s">
        <v>435</v>
      </c>
      <c r="L23" s="1615">
        <v>70790</v>
      </c>
      <c r="M23" s="1615">
        <v>947.1</v>
      </c>
      <c r="N23" s="1594"/>
      <c r="O23" s="1594"/>
      <c r="P23" s="1594"/>
      <c r="Q23" s="1595" t="s">
        <v>2087</v>
      </c>
      <c r="R23" s="1595">
        <v>944.6</v>
      </c>
    </row>
    <row r="24" spans="1:18" s="1596" customFormat="1" ht="16">
      <c r="A24" s="1613"/>
      <c r="B24" s="1614" t="s">
        <v>1934</v>
      </c>
      <c r="C24" s="1615" t="s">
        <v>1315</v>
      </c>
      <c r="D24" s="1616" t="s">
        <v>44</v>
      </c>
      <c r="E24" s="1617" t="s">
        <v>1941</v>
      </c>
      <c r="F24" s="1616" t="s">
        <v>1942</v>
      </c>
      <c r="G24" s="1616" t="s">
        <v>1946</v>
      </c>
      <c r="H24" s="1615"/>
      <c r="I24" s="1615" t="s">
        <v>54</v>
      </c>
      <c r="J24" s="1615" t="s">
        <v>354</v>
      </c>
      <c r="K24" s="1615" t="s">
        <v>697</v>
      </c>
      <c r="L24" s="1615">
        <v>70791</v>
      </c>
      <c r="M24" s="1615">
        <v>128.30000000000001</v>
      </c>
      <c r="N24" s="1594"/>
      <c r="O24" s="1594"/>
      <c r="P24" s="1594"/>
      <c r="Q24" s="1595" t="s">
        <v>2088</v>
      </c>
      <c r="R24" s="1595">
        <v>126.2</v>
      </c>
    </row>
    <row r="25" spans="1:18">
      <c r="E25" s="167">
        <f>SUM(E9:E24)</f>
        <v>329</v>
      </c>
      <c r="G25" s="167">
        <f>SUM(G9:G24)</f>
        <v>20235</v>
      </c>
      <c r="M25">
        <f>SUM(M9:M24)</f>
        <v>22220.099999999991</v>
      </c>
    </row>
    <row r="26" spans="1:18">
      <c r="E26" s="30">
        <f>G25/60</f>
        <v>337.25</v>
      </c>
      <c r="M26">
        <f>M25/60</f>
        <v>370.33499999999987</v>
      </c>
    </row>
    <row r="27" spans="1:18">
      <c r="H27" t="s">
        <v>1375</v>
      </c>
    </row>
    <row r="28" spans="1:18">
      <c r="H28" s="14">
        <v>350</v>
      </c>
    </row>
    <row r="29" spans="1:18">
      <c r="H29" s="14">
        <v>2980.3</v>
      </c>
    </row>
    <row r="31" spans="1:18" ht="15" thickBot="1"/>
    <row r="32" spans="1:18">
      <c r="A32" s="1296" t="s">
        <v>840</v>
      </c>
      <c r="B32" s="1297" t="s">
        <v>1488</v>
      </c>
      <c r="C32" s="1298" t="s">
        <v>32</v>
      </c>
      <c r="D32" s="1299" t="s">
        <v>1450</v>
      </c>
      <c r="E32" s="1298" t="s">
        <v>839</v>
      </c>
      <c r="F32" s="1298" t="s">
        <v>1451</v>
      </c>
      <c r="G32" s="1298" t="s">
        <v>1452</v>
      </c>
      <c r="H32" s="1298" t="s">
        <v>1453</v>
      </c>
      <c r="I32" s="1310" t="s">
        <v>1454</v>
      </c>
      <c r="J32" s="1298" t="s">
        <v>1455</v>
      </c>
      <c r="K32" s="1309" t="s">
        <v>1501</v>
      </c>
      <c r="L32" s="1301"/>
    </row>
    <row r="33" spans="1:12">
      <c r="A33" s="1302" t="s">
        <v>42</v>
      </c>
      <c r="B33" s="14" t="s">
        <v>1489</v>
      </c>
      <c r="C33" s="1291" t="s">
        <v>1456</v>
      </c>
      <c r="D33" s="1292">
        <v>46226</v>
      </c>
      <c r="E33" s="1295" t="s">
        <v>1474</v>
      </c>
      <c r="F33" s="1291" t="s">
        <v>1314</v>
      </c>
      <c r="G33" s="1291" t="s">
        <v>1476</v>
      </c>
      <c r="H33" s="1293">
        <v>9</v>
      </c>
      <c r="I33" s="1294">
        <v>500.9</v>
      </c>
      <c r="J33" s="1294">
        <v>-0.5</v>
      </c>
      <c r="K33">
        <f t="shared" ref="K33:K44" si="2">IFERROR(VLOOKUP(B33,Q:R,2,FALSE),"0")</f>
        <v>501.4</v>
      </c>
      <c r="L33" s="1303"/>
    </row>
    <row r="34" spans="1:12">
      <c r="A34" s="1302" t="s">
        <v>42</v>
      </c>
      <c r="B34" s="14" t="s">
        <v>1490</v>
      </c>
      <c r="C34" s="1291" t="s">
        <v>1456</v>
      </c>
      <c r="D34" s="1292">
        <v>46226</v>
      </c>
      <c r="E34" s="1295" t="s">
        <v>1475</v>
      </c>
      <c r="F34" s="1291" t="s">
        <v>1313</v>
      </c>
      <c r="G34" s="1291" t="s">
        <v>1476</v>
      </c>
      <c r="H34" s="1293">
        <v>10</v>
      </c>
      <c r="I34" s="1294">
        <v>589</v>
      </c>
      <c r="J34" s="1294">
        <v>-5.3</v>
      </c>
      <c r="K34">
        <f t="shared" si="2"/>
        <v>594.29999999999995</v>
      </c>
      <c r="L34" s="1303"/>
    </row>
    <row r="35" spans="1:12">
      <c r="A35" s="1302" t="s">
        <v>42</v>
      </c>
      <c r="B35" s="14" t="s">
        <v>1491</v>
      </c>
      <c r="C35" s="1291" t="s">
        <v>1456</v>
      </c>
      <c r="D35" s="1292">
        <v>46231</v>
      </c>
      <c r="E35" s="1295" t="s">
        <v>1477</v>
      </c>
      <c r="F35" s="1291" t="s">
        <v>1392</v>
      </c>
      <c r="G35" s="1291" t="s">
        <v>1478</v>
      </c>
      <c r="H35" s="1293">
        <v>5</v>
      </c>
      <c r="I35" s="1294">
        <v>302.5</v>
      </c>
      <c r="J35" s="1294">
        <v>-5.5</v>
      </c>
      <c r="K35">
        <f t="shared" si="2"/>
        <v>308</v>
      </c>
      <c r="L35" s="1303"/>
    </row>
    <row r="36" spans="1:12">
      <c r="A36" s="1302" t="s">
        <v>43</v>
      </c>
      <c r="B36" s="14" t="s">
        <v>1492</v>
      </c>
      <c r="C36" s="1291" t="s">
        <v>1459</v>
      </c>
      <c r="D36" s="1292">
        <v>46220</v>
      </c>
      <c r="E36" s="1295" t="s">
        <v>1479</v>
      </c>
      <c r="F36" s="1291" t="s">
        <v>1313</v>
      </c>
      <c r="G36" s="1291" t="s">
        <v>1462</v>
      </c>
      <c r="H36" s="1293">
        <v>58</v>
      </c>
      <c r="I36" s="1294">
        <v>3491.8</v>
      </c>
      <c r="J36" s="1294">
        <v>26.1</v>
      </c>
      <c r="K36">
        <f t="shared" si="2"/>
        <v>3465.7</v>
      </c>
      <c r="L36" s="1303"/>
    </row>
    <row r="37" spans="1:12">
      <c r="A37" s="1302" t="s">
        <v>43</v>
      </c>
      <c r="B37" s="14" t="s">
        <v>1493</v>
      </c>
      <c r="C37" s="1291" t="s">
        <v>1459</v>
      </c>
      <c r="D37" s="1292">
        <v>46220</v>
      </c>
      <c r="E37" s="1295" t="s">
        <v>1480</v>
      </c>
      <c r="F37" s="1291" t="s">
        <v>1314</v>
      </c>
      <c r="G37" s="1291" t="s">
        <v>1462</v>
      </c>
      <c r="H37" s="1293">
        <v>59</v>
      </c>
      <c r="I37" s="1294">
        <v>3515.9</v>
      </c>
      <c r="J37" s="1294">
        <v>9.1</v>
      </c>
      <c r="K37">
        <f t="shared" si="2"/>
        <v>3506.8</v>
      </c>
      <c r="L37" s="1303"/>
    </row>
    <row r="38" spans="1:12">
      <c r="A38" s="1302" t="s">
        <v>43</v>
      </c>
      <c r="B38" s="14" t="s">
        <v>1494</v>
      </c>
      <c r="C38" s="1291" t="s">
        <v>1459</v>
      </c>
      <c r="D38" s="1292">
        <v>46231</v>
      </c>
      <c r="E38" s="1295" t="s">
        <v>1481</v>
      </c>
      <c r="F38" s="1291" t="s">
        <v>1392</v>
      </c>
      <c r="G38" s="1291" t="s">
        <v>1478</v>
      </c>
      <c r="H38" s="1293">
        <v>38</v>
      </c>
      <c r="I38" s="1294">
        <v>2238.8000000000002</v>
      </c>
      <c r="J38" s="1294">
        <v>-1.7</v>
      </c>
      <c r="K38">
        <f t="shared" si="2"/>
        <v>2240.5</v>
      </c>
      <c r="L38" s="1303"/>
    </row>
    <row r="39" spans="1:12">
      <c r="A39" s="1302" t="s">
        <v>45</v>
      </c>
      <c r="B39" s="14" t="s">
        <v>1495</v>
      </c>
      <c r="C39" s="1291" t="s">
        <v>1463</v>
      </c>
      <c r="D39" s="1292">
        <v>46220</v>
      </c>
      <c r="E39" s="1295" t="s">
        <v>1482</v>
      </c>
      <c r="F39" s="1291" t="s">
        <v>1313</v>
      </c>
      <c r="G39" s="1291" t="s">
        <v>1462</v>
      </c>
      <c r="H39" s="1293">
        <v>47</v>
      </c>
      <c r="I39" s="1294">
        <v>2840.7</v>
      </c>
      <c r="J39" s="1294">
        <v>19.100000000000001</v>
      </c>
      <c r="K39">
        <f t="shared" si="2"/>
        <v>2821.6</v>
      </c>
      <c r="L39" s="1303"/>
    </row>
    <row r="40" spans="1:12">
      <c r="A40" s="1302" t="s">
        <v>45</v>
      </c>
      <c r="B40" s="14" t="s">
        <v>1496</v>
      </c>
      <c r="C40" s="1291" t="s">
        <v>1463</v>
      </c>
      <c r="D40" s="1292">
        <v>46220</v>
      </c>
      <c r="E40" s="1295" t="s">
        <v>1483</v>
      </c>
      <c r="F40" s="1291" t="s">
        <v>1314</v>
      </c>
      <c r="G40" s="1291" t="s">
        <v>1462</v>
      </c>
      <c r="H40" s="1293">
        <v>50</v>
      </c>
      <c r="I40" s="1294">
        <v>2985</v>
      </c>
      <c r="J40" s="1294">
        <v>4.7</v>
      </c>
      <c r="K40">
        <f t="shared" si="2"/>
        <v>2980.3</v>
      </c>
      <c r="L40" s="1303"/>
    </row>
    <row r="41" spans="1:12">
      <c r="A41" s="1302" t="s">
        <v>45</v>
      </c>
      <c r="B41" s="14" t="s">
        <v>1497</v>
      </c>
      <c r="C41" s="1291" t="s">
        <v>1463</v>
      </c>
      <c r="D41" s="1292">
        <v>46231</v>
      </c>
      <c r="E41" s="1295" t="s">
        <v>1484</v>
      </c>
      <c r="F41" s="1291" t="s">
        <v>1392</v>
      </c>
      <c r="G41" s="1291" t="s">
        <v>1478</v>
      </c>
      <c r="H41" s="1293">
        <v>44</v>
      </c>
      <c r="I41" s="1294">
        <v>2658.4</v>
      </c>
      <c r="J41" s="1294">
        <v>0.1</v>
      </c>
      <c r="K41">
        <f t="shared" si="2"/>
        <v>2658.3</v>
      </c>
      <c r="L41" s="1303"/>
    </row>
    <row r="42" spans="1:12">
      <c r="A42" s="1302" t="s">
        <v>44</v>
      </c>
      <c r="B42" s="14" t="s">
        <v>1498</v>
      </c>
      <c r="C42" s="1291" t="s">
        <v>1459</v>
      </c>
      <c r="D42" s="1292">
        <v>46226</v>
      </c>
      <c r="E42" s="1295" t="s">
        <v>1485</v>
      </c>
      <c r="F42" s="1291" t="s">
        <v>1314</v>
      </c>
      <c r="G42" s="1291" t="s">
        <v>1476</v>
      </c>
      <c r="H42" s="1293">
        <v>7</v>
      </c>
      <c r="I42" s="1294">
        <v>396.7</v>
      </c>
      <c r="J42" s="1294">
        <v>-3.5</v>
      </c>
      <c r="K42">
        <f t="shared" si="2"/>
        <v>400.2</v>
      </c>
      <c r="L42" s="1303"/>
    </row>
    <row r="43" spans="1:12">
      <c r="A43" s="1302" t="s">
        <v>44</v>
      </c>
      <c r="B43" s="14" t="s">
        <v>1499</v>
      </c>
      <c r="C43" s="1291" t="s">
        <v>1459</v>
      </c>
      <c r="D43" s="1292">
        <v>46226</v>
      </c>
      <c r="E43" s="1295" t="s">
        <v>1486</v>
      </c>
      <c r="F43" s="1291" t="s">
        <v>1313</v>
      </c>
      <c r="G43" s="1291" t="s">
        <v>1476</v>
      </c>
      <c r="H43" s="1293">
        <v>8</v>
      </c>
      <c r="I43" s="1294">
        <v>436.8</v>
      </c>
      <c r="J43" s="1294">
        <v>-0.7</v>
      </c>
      <c r="K43">
        <f t="shared" si="2"/>
        <v>437.5</v>
      </c>
      <c r="L43" s="1303"/>
    </row>
    <row r="44" spans="1:12">
      <c r="A44" s="1302" t="s">
        <v>44</v>
      </c>
      <c r="B44" s="14" t="s">
        <v>1500</v>
      </c>
      <c r="C44" s="1291" t="s">
        <v>1459</v>
      </c>
      <c r="D44" s="1292">
        <v>46231</v>
      </c>
      <c r="E44" s="1295" t="s">
        <v>1487</v>
      </c>
      <c r="F44" s="1291" t="s">
        <v>1392</v>
      </c>
      <c r="G44" s="1291" t="s">
        <v>1478</v>
      </c>
      <c r="H44" s="1293">
        <v>6</v>
      </c>
      <c r="I44" s="1294">
        <v>324.60000000000002</v>
      </c>
      <c r="J44" s="1294">
        <v>-0.5</v>
      </c>
      <c r="K44">
        <f t="shared" si="2"/>
        <v>325.10000000000002</v>
      </c>
      <c r="L44" s="1303"/>
    </row>
    <row r="45" spans="1:12">
      <c r="A45" s="1304"/>
      <c r="I45" s="1305">
        <f>SUM(I33:I44)</f>
        <v>20281.100000000002</v>
      </c>
      <c r="J45" t="s">
        <v>413</v>
      </c>
      <c r="K45">
        <f>SUM(K33:K44)</f>
        <v>20239.7</v>
      </c>
      <c r="L45" s="1303" t="s">
        <v>413</v>
      </c>
    </row>
    <row r="46" spans="1:12" ht="15" thickBot="1">
      <c r="A46" s="1306"/>
      <c r="B46" s="1307"/>
      <c r="C46" s="1307"/>
      <c r="D46" s="1307"/>
      <c r="E46" s="1307"/>
      <c r="F46" s="1307"/>
      <c r="G46" s="1307"/>
      <c r="H46" s="1307"/>
      <c r="I46" s="1307">
        <f>I45/60</f>
        <v>338.01833333333337</v>
      </c>
      <c r="J46" s="1307" t="s">
        <v>33</v>
      </c>
      <c r="K46" s="1307">
        <f>K45/60</f>
        <v>337.32833333333332</v>
      </c>
      <c r="L46" s="1308" t="s">
        <v>33</v>
      </c>
    </row>
    <row r="56" spans="9:21">
      <c r="I56" s="17">
        <f>SUM(I46:I55)</f>
        <v>338.01833333333337</v>
      </c>
      <c r="U56">
        <f>SUM(U46:U55)</f>
        <v>0</v>
      </c>
    </row>
    <row r="57" spans="9:21">
      <c r="I57" s="17">
        <f>I56/60</f>
        <v>5.63363888888889</v>
      </c>
    </row>
    <row r="60" spans="9:21">
      <c r="I60" s="17">
        <f>SUM(I58:I59)</f>
        <v>0</v>
      </c>
      <c r="U60">
        <f>SUM(U58:U59)</f>
        <v>0</v>
      </c>
    </row>
    <row r="61" spans="9:21">
      <c r="I61" s="111">
        <f>I60/60</f>
        <v>0</v>
      </c>
    </row>
    <row r="65" spans="7:11">
      <c r="G65" s="8"/>
      <c r="H65" s="8"/>
      <c r="I65" s="8" t="s">
        <v>1372</v>
      </c>
      <c r="J65" s="8" t="s">
        <v>1373</v>
      </c>
      <c r="K65" s="8" t="s">
        <v>1374</v>
      </c>
    </row>
    <row r="66" spans="7:11">
      <c r="G66" s="8" t="s">
        <v>354</v>
      </c>
      <c r="H66" s="8"/>
      <c r="I66" s="8">
        <v>30087</v>
      </c>
      <c r="J66" s="8">
        <v>30223.7</v>
      </c>
      <c r="K66" s="8">
        <v>30163</v>
      </c>
    </row>
    <row r="67" spans="7:11">
      <c r="G67" s="8" t="s">
        <v>856</v>
      </c>
      <c r="H67" s="8"/>
      <c r="I67" s="8">
        <v>88</v>
      </c>
      <c r="J67" s="8">
        <v>88</v>
      </c>
      <c r="K67" s="8">
        <v>89</v>
      </c>
    </row>
  </sheetData>
  <mergeCells count="1">
    <mergeCell ref="N7:P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34D6-09E4-45D5-89F9-0D8608B08E88}">
  <dimension ref="A1:V87"/>
  <sheetViews>
    <sheetView tabSelected="1" topLeftCell="A7" zoomScale="90" zoomScaleNormal="90" workbookViewId="0">
      <selection activeCell="K28" sqref="K28"/>
    </sheetView>
  </sheetViews>
  <sheetFormatPr defaultRowHeight="14.5"/>
  <cols>
    <col min="1" max="1" width="10.90625" customWidth="1"/>
    <col min="2" max="2" width="16.08984375" customWidth="1"/>
    <col min="3" max="3" width="18.1796875" customWidth="1"/>
    <col min="4" max="4" width="27" bestFit="1" customWidth="1"/>
    <col min="5" max="5" width="10" bestFit="1" customWidth="1"/>
    <col min="6" max="6" width="16.453125" bestFit="1" customWidth="1"/>
    <col min="7" max="7" width="17" bestFit="1" customWidth="1"/>
    <col min="8" max="8" width="16.36328125" bestFit="1" customWidth="1"/>
    <col min="9" max="9" width="19.453125" bestFit="1" customWidth="1"/>
    <col min="10" max="10" width="14.36328125" bestFit="1" customWidth="1"/>
    <col min="11" max="11" width="16.81640625" customWidth="1"/>
    <col min="12" max="12" width="16.1796875" bestFit="1" customWidth="1"/>
    <col min="13" max="13" width="15.453125" bestFit="1" customWidth="1"/>
    <col min="14" max="14" width="12" customWidth="1"/>
    <col min="16" max="16" width="12.90625" customWidth="1"/>
    <col min="17" max="17" width="13.54296875" customWidth="1"/>
    <col min="18" max="18" width="13.6328125" customWidth="1"/>
  </cols>
  <sheetData>
    <row r="1" spans="1:21">
      <c r="A1" t="s">
        <v>811</v>
      </c>
      <c r="B1" t="s">
        <v>23</v>
      </c>
      <c r="C1" t="s">
        <v>24</v>
      </c>
      <c r="D1" t="s">
        <v>1304</v>
      </c>
      <c r="E1" s="16" t="s">
        <v>1305</v>
      </c>
    </row>
    <row r="2" spans="1:21">
      <c r="A2" t="s">
        <v>1300</v>
      </c>
      <c r="B2" t="s">
        <v>42</v>
      </c>
      <c r="C2">
        <v>28</v>
      </c>
      <c r="D2">
        <v>15.8</v>
      </c>
      <c r="E2">
        <f>D2-C2</f>
        <v>-12.2</v>
      </c>
    </row>
    <row r="3" spans="1:21">
      <c r="B3" t="s">
        <v>43</v>
      </c>
      <c r="C3">
        <v>210</v>
      </c>
      <c r="D3">
        <v>144</v>
      </c>
      <c r="E3">
        <f>D3-C3</f>
        <v>-66</v>
      </c>
    </row>
    <row r="4" spans="1:21">
      <c r="B4" t="s">
        <v>44</v>
      </c>
      <c r="C4">
        <v>23</v>
      </c>
      <c r="D4">
        <v>11.25</v>
      </c>
      <c r="E4">
        <f t="shared" ref="E4:E5" si="0">D4-C4</f>
        <v>-11.75</v>
      </c>
    </row>
    <row r="5" spans="1:21">
      <c r="B5" t="s">
        <v>45</v>
      </c>
      <c r="C5">
        <v>173</v>
      </c>
      <c r="D5">
        <v>279</v>
      </c>
      <c r="E5" s="1182">
        <f t="shared" si="0"/>
        <v>106</v>
      </c>
    </row>
    <row r="6" spans="1:21">
      <c r="A6" t="s">
        <v>487</v>
      </c>
      <c r="C6">
        <f>SUM(C2:C5)</f>
        <v>434</v>
      </c>
      <c r="D6">
        <f>SUM(D2:D5)</f>
        <v>450.05</v>
      </c>
    </row>
    <row r="7" spans="1:21">
      <c r="N7" s="2" t="s">
        <v>1274</v>
      </c>
      <c r="O7" s="2"/>
      <c r="P7" s="2"/>
    </row>
    <row r="8" spans="1:21" s="17" customFormat="1" ht="16" thickBot="1">
      <c r="A8" s="1264" t="s">
        <v>1306</v>
      </c>
      <c r="B8" s="1265" t="s">
        <v>80</v>
      </c>
      <c r="C8" s="1265" t="s">
        <v>1307</v>
      </c>
      <c r="D8" s="1265" t="s">
        <v>81</v>
      </c>
      <c r="E8" s="1266" t="s">
        <v>33</v>
      </c>
      <c r="F8" s="1266" t="s">
        <v>82</v>
      </c>
      <c r="G8" s="1266" t="s">
        <v>35</v>
      </c>
      <c r="H8" s="1266" t="s">
        <v>142</v>
      </c>
      <c r="I8" s="1266" t="s">
        <v>4</v>
      </c>
      <c r="J8" s="1266" t="s">
        <v>902</v>
      </c>
      <c r="K8" s="1267" t="s">
        <v>679</v>
      </c>
      <c r="L8" s="1266" t="s">
        <v>1371</v>
      </c>
      <c r="M8" s="1268" t="s">
        <v>406</v>
      </c>
      <c r="N8" s="1248" t="s">
        <v>33</v>
      </c>
      <c r="O8" s="1248"/>
      <c r="P8" s="1689" t="s">
        <v>35</v>
      </c>
    </row>
    <row r="9" spans="1:21">
      <c r="A9" s="1434">
        <v>46209</v>
      </c>
      <c r="B9" s="1017" t="s">
        <v>1308</v>
      </c>
      <c r="C9" s="1015" t="s">
        <v>1300</v>
      </c>
      <c r="D9" s="1015" t="s">
        <v>43</v>
      </c>
      <c r="E9" s="1435">
        <v>36</v>
      </c>
      <c r="F9" s="1435">
        <v>35</v>
      </c>
      <c r="G9" s="1438">
        <v>2197</v>
      </c>
      <c r="H9" s="1438">
        <v>325</v>
      </c>
      <c r="I9" s="1436" t="s">
        <v>54</v>
      </c>
      <c r="J9" s="8" t="s">
        <v>354</v>
      </c>
      <c r="K9" s="1432" t="s">
        <v>697</v>
      </c>
      <c r="L9" s="8">
        <v>70626</v>
      </c>
      <c r="M9" s="1433">
        <v>2197.8000000000002</v>
      </c>
      <c r="N9" s="1686" t="str">
        <f>CONCATENATE(B9,D9)</f>
        <v>38KF0009AB</v>
      </c>
      <c r="O9" s="999"/>
      <c r="P9" s="1690">
        <v>2202.6999999999998</v>
      </c>
      <c r="R9" s="773"/>
    </row>
    <row r="10" spans="1:21">
      <c r="A10" s="1434">
        <v>46209</v>
      </c>
      <c r="B10" s="1017" t="s">
        <v>1308</v>
      </c>
      <c r="C10" s="1015" t="s">
        <v>1300</v>
      </c>
      <c r="D10" s="1015" t="s">
        <v>45</v>
      </c>
      <c r="E10" s="1435">
        <v>70</v>
      </c>
      <c r="F10" s="1435">
        <v>26</v>
      </c>
      <c r="G10" s="1438">
        <v>4228</v>
      </c>
      <c r="H10" s="1438">
        <v>300</v>
      </c>
      <c r="I10" s="1436" t="s">
        <v>54</v>
      </c>
      <c r="J10" s="8" t="s">
        <v>354</v>
      </c>
      <c r="K10" s="1432" t="s">
        <v>1310</v>
      </c>
      <c r="L10" s="8">
        <v>70628</v>
      </c>
      <c r="M10" s="1433">
        <v>4228</v>
      </c>
      <c r="N10" s="1686" t="str">
        <f t="shared" ref="N10:N27" si="1">CONCATENATE(B10,D10)</f>
        <v>38KF0009C</v>
      </c>
      <c r="O10" s="999"/>
      <c r="P10" s="1691">
        <v>4241.1000000000004</v>
      </c>
      <c r="R10" s="773"/>
    </row>
    <row r="11" spans="1:21">
      <c r="A11" s="1434">
        <v>46209</v>
      </c>
      <c r="B11" s="1017" t="s">
        <v>1309</v>
      </c>
      <c r="C11" s="1015" t="s">
        <v>1300</v>
      </c>
      <c r="D11" s="1015" t="s">
        <v>43</v>
      </c>
      <c r="E11" s="1435">
        <v>32</v>
      </c>
      <c r="F11" s="1435">
        <v>9</v>
      </c>
      <c r="G11" s="1438">
        <v>1937</v>
      </c>
      <c r="H11" s="1438">
        <v>325</v>
      </c>
      <c r="I11" s="1436" t="s">
        <v>54</v>
      </c>
      <c r="J11" s="8" t="s">
        <v>354</v>
      </c>
      <c r="K11" s="1432" t="s">
        <v>697</v>
      </c>
      <c r="L11" s="8">
        <v>70627</v>
      </c>
      <c r="M11" s="1433">
        <v>1937.8</v>
      </c>
      <c r="N11" s="1686" t="str">
        <f t="shared" si="1"/>
        <v>37KF0002AB</v>
      </c>
      <c r="O11" s="999"/>
      <c r="P11" s="1691">
        <v>1945.3</v>
      </c>
      <c r="R11" s="773"/>
    </row>
    <row r="12" spans="1:21">
      <c r="A12" s="1434">
        <v>46209</v>
      </c>
      <c r="B12" s="1017" t="s">
        <v>1309</v>
      </c>
      <c r="C12" s="1015" t="s">
        <v>1300</v>
      </c>
      <c r="D12" s="1015" t="s">
        <v>45</v>
      </c>
      <c r="E12" s="1435">
        <v>76</v>
      </c>
      <c r="F12" s="1435">
        <v>55</v>
      </c>
      <c r="G12" s="1438">
        <v>4631</v>
      </c>
      <c r="H12" s="1438">
        <v>300</v>
      </c>
      <c r="I12" s="1436" t="s">
        <v>54</v>
      </c>
      <c r="J12" s="8" t="s">
        <v>354</v>
      </c>
      <c r="K12" s="1432" t="s">
        <v>1310</v>
      </c>
      <c r="L12" s="8">
        <v>70629</v>
      </c>
      <c r="M12" s="1433">
        <v>4631.3999999999996</v>
      </c>
      <c r="N12" s="1686" t="str">
        <f t="shared" si="1"/>
        <v>37KF0002C</v>
      </c>
      <c r="O12" s="999"/>
      <c r="P12" s="1691">
        <v>4643.7</v>
      </c>
      <c r="R12" s="773"/>
    </row>
    <row r="13" spans="1:21" s="1178" customFormat="1">
      <c r="A13" s="1437">
        <v>46216</v>
      </c>
      <c r="B13" s="1179" t="s">
        <v>1308</v>
      </c>
      <c r="C13" s="1017" t="s">
        <v>1300</v>
      </c>
      <c r="D13" s="1179" t="s">
        <v>42</v>
      </c>
      <c r="E13" s="1179">
        <v>3</v>
      </c>
      <c r="F13" s="1179">
        <v>23</v>
      </c>
      <c r="G13" s="1439">
        <v>204</v>
      </c>
      <c r="H13" s="1439">
        <v>345</v>
      </c>
      <c r="I13" s="1179" t="s">
        <v>54</v>
      </c>
      <c r="J13" s="1432" t="s">
        <v>354</v>
      </c>
      <c r="K13" s="1432" t="s">
        <v>434</v>
      </c>
      <c r="L13" s="1507">
        <v>70639</v>
      </c>
      <c r="M13" s="1508">
        <v>204.3</v>
      </c>
      <c r="N13" s="1686" t="str">
        <f t="shared" si="1"/>
        <v>38KF0009AA</v>
      </c>
      <c r="O13" s="1687"/>
      <c r="P13" s="1691">
        <v>200.4</v>
      </c>
      <c r="Q13"/>
      <c r="R13" s="773"/>
      <c r="U13" s="1178">
        <f>SUM(U3:U12)</f>
        <v>0</v>
      </c>
    </row>
    <row r="14" spans="1:21" s="1178" customFormat="1">
      <c r="A14" s="1437">
        <v>46216</v>
      </c>
      <c r="B14" s="1179" t="s">
        <v>1308</v>
      </c>
      <c r="C14" s="1017" t="s">
        <v>1300</v>
      </c>
      <c r="D14" s="1179" t="s">
        <v>44</v>
      </c>
      <c r="E14" s="1179">
        <v>2</v>
      </c>
      <c r="F14" s="1179">
        <v>54</v>
      </c>
      <c r="G14" s="1439">
        <v>174</v>
      </c>
      <c r="H14" s="1439">
        <v>325</v>
      </c>
      <c r="I14" s="1179" t="s">
        <v>54</v>
      </c>
      <c r="J14" s="1432" t="s">
        <v>354</v>
      </c>
      <c r="K14" s="1432" t="s">
        <v>697</v>
      </c>
      <c r="L14" s="1507">
        <v>70641</v>
      </c>
      <c r="M14" s="1508">
        <v>174.4</v>
      </c>
      <c r="N14" s="1686" t="str">
        <f t="shared" si="1"/>
        <v>38KF0009PB</v>
      </c>
      <c r="O14" s="1687"/>
      <c r="P14" s="1691">
        <v>169.3</v>
      </c>
      <c r="Q14"/>
      <c r="R14" s="773"/>
    </row>
    <row r="15" spans="1:21" s="1178" customFormat="1">
      <c r="A15" s="1437">
        <v>46216</v>
      </c>
      <c r="B15" s="1179" t="s">
        <v>1309</v>
      </c>
      <c r="C15" s="1017" t="s">
        <v>1300</v>
      </c>
      <c r="D15" s="1179" t="s">
        <v>42</v>
      </c>
      <c r="E15" s="1179">
        <v>1</v>
      </c>
      <c r="F15" s="1179">
        <v>51</v>
      </c>
      <c r="G15" s="1439">
        <v>111</v>
      </c>
      <c r="H15" s="1439">
        <v>345</v>
      </c>
      <c r="I15" s="1179" t="s">
        <v>54</v>
      </c>
      <c r="J15" s="1432" t="s">
        <v>354</v>
      </c>
      <c r="K15" s="1432" t="s">
        <v>434</v>
      </c>
      <c r="L15" s="1507">
        <v>70640</v>
      </c>
      <c r="M15" s="1508">
        <v>111.5</v>
      </c>
      <c r="N15" s="1686" t="str">
        <f t="shared" si="1"/>
        <v>37KF0002AA</v>
      </c>
      <c r="O15" s="1687"/>
      <c r="P15" s="1691">
        <v>111.2</v>
      </c>
      <c r="Q15"/>
      <c r="R15" s="773"/>
    </row>
    <row r="16" spans="1:21" s="1178" customFormat="1" ht="15" thickBot="1">
      <c r="A16" s="1437">
        <v>46216</v>
      </c>
      <c r="B16" s="1179" t="s">
        <v>1309</v>
      </c>
      <c r="C16" s="1017" t="s">
        <v>1300</v>
      </c>
      <c r="D16" s="1179" t="s">
        <v>44</v>
      </c>
      <c r="E16" s="1179">
        <v>1</v>
      </c>
      <c r="F16" s="1179">
        <v>64</v>
      </c>
      <c r="G16" s="1439">
        <v>124</v>
      </c>
      <c r="H16" s="1439">
        <v>325</v>
      </c>
      <c r="I16" s="1179" t="s">
        <v>54</v>
      </c>
      <c r="J16" s="1432" t="s">
        <v>354</v>
      </c>
      <c r="K16" s="1432" t="s">
        <v>697</v>
      </c>
      <c r="L16" s="1507">
        <v>70642</v>
      </c>
      <c r="M16" s="1684">
        <v>124.5</v>
      </c>
      <c r="N16" s="1686" t="str">
        <f t="shared" si="1"/>
        <v>37KF0002PB</v>
      </c>
      <c r="O16" s="1688"/>
      <c r="P16" s="1692">
        <v>122.2</v>
      </c>
      <c r="Q16"/>
      <c r="R16" s="773"/>
      <c r="U16" s="1178">
        <f>SUM(U14:U15)</f>
        <v>0</v>
      </c>
    </row>
    <row r="17" spans="1:20" s="1178" customFormat="1">
      <c r="A17" s="1375" t="s">
        <v>1570</v>
      </c>
      <c r="B17" s="1261" t="s">
        <v>1571</v>
      </c>
      <c r="C17" s="1017" t="s">
        <v>1300</v>
      </c>
      <c r="D17" s="1261" t="s">
        <v>42</v>
      </c>
      <c r="E17" s="1261">
        <v>0</v>
      </c>
      <c r="F17" s="1261">
        <v>64</v>
      </c>
      <c r="G17" s="1441">
        <v>64</v>
      </c>
      <c r="H17" s="1440">
        <v>345</v>
      </c>
      <c r="I17" s="1375" t="s">
        <v>56</v>
      </c>
      <c r="J17" s="1432" t="s">
        <v>354</v>
      </c>
      <c r="K17" s="1432" t="s">
        <v>434</v>
      </c>
      <c r="L17" s="1507">
        <v>70777</v>
      </c>
      <c r="M17" s="1684">
        <v>64</v>
      </c>
      <c r="N17" s="1686" t="str">
        <f t="shared" si="1"/>
        <v>43KF0007AA</v>
      </c>
      <c r="O17" s="1688"/>
      <c r="P17" s="1694">
        <v>65.099999999999994</v>
      </c>
      <c r="Q17"/>
      <c r="R17" s="773"/>
    </row>
    <row r="18" spans="1:20" s="1178" customFormat="1">
      <c r="A18" s="1375" t="s">
        <v>1570</v>
      </c>
      <c r="B18" s="1261" t="s">
        <v>1571</v>
      </c>
      <c r="C18" s="1017" t="s">
        <v>1300</v>
      </c>
      <c r="D18" s="1261" t="s">
        <v>43</v>
      </c>
      <c r="E18" s="1261">
        <v>15</v>
      </c>
      <c r="F18" s="1261">
        <v>24</v>
      </c>
      <c r="G18" s="1441">
        <v>929</v>
      </c>
      <c r="H18" s="1440">
        <v>325</v>
      </c>
      <c r="I18" s="1375" t="s">
        <v>54</v>
      </c>
      <c r="J18" s="1432" t="s">
        <v>354</v>
      </c>
      <c r="K18" s="1432" t="s">
        <v>697</v>
      </c>
      <c r="L18" s="1507">
        <v>70778</v>
      </c>
      <c r="M18" s="1684">
        <v>905.1</v>
      </c>
      <c r="N18" s="1686" t="str">
        <f t="shared" si="1"/>
        <v>43KF0007AB</v>
      </c>
      <c r="O18" s="1688"/>
      <c r="P18" s="1695">
        <v>928.6</v>
      </c>
      <c r="Q18"/>
      <c r="R18" s="773"/>
    </row>
    <row r="19" spans="1:20" s="1178" customFormat="1">
      <c r="A19" s="1375" t="s">
        <v>1570</v>
      </c>
      <c r="B19" s="1261" t="s">
        <v>1571</v>
      </c>
      <c r="C19" s="1017" t="s">
        <v>1300</v>
      </c>
      <c r="D19" s="1261" t="s">
        <v>45</v>
      </c>
      <c r="E19" s="1261">
        <v>59</v>
      </c>
      <c r="F19" s="1261">
        <v>62</v>
      </c>
      <c r="G19" s="1441">
        <v>3619</v>
      </c>
      <c r="H19" s="1440">
        <v>300</v>
      </c>
      <c r="I19" s="1375" t="s">
        <v>54</v>
      </c>
      <c r="J19" s="1432" t="s">
        <v>354</v>
      </c>
      <c r="K19" s="1432" t="s">
        <v>1310</v>
      </c>
      <c r="L19" s="1507">
        <v>70779</v>
      </c>
      <c r="M19" s="1684">
        <v>3619.3</v>
      </c>
      <c r="N19" s="1686" t="str">
        <f t="shared" si="1"/>
        <v>43KF0007C</v>
      </c>
      <c r="O19" s="1688"/>
      <c r="P19" s="1695">
        <v>3621</v>
      </c>
      <c r="Q19"/>
      <c r="R19" s="773"/>
    </row>
    <row r="20" spans="1:20" s="1178" customFormat="1" ht="15" thickBot="1">
      <c r="A20" s="1375" t="s">
        <v>1570</v>
      </c>
      <c r="B20" s="1261" t="s">
        <v>1571</v>
      </c>
      <c r="C20" s="1017" t="s">
        <v>1300</v>
      </c>
      <c r="D20" s="1261" t="s">
        <v>44</v>
      </c>
      <c r="E20" s="1261">
        <v>0</v>
      </c>
      <c r="F20" s="1261">
        <v>60</v>
      </c>
      <c r="G20" s="1441">
        <v>60</v>
      </c>
      <c r="H20" s="1440">
        <v>325</v>
      </c>
      <c r="I20" s="1375" t="s">
        <v>54</v>
      </c>
      <c r="J20" s="1432" t="s">
        <v>354</v>
      </c>
      <c r="K20" s="1432" t="s">
        <v>697</v>
      </c>
      <c r="L20" s="1507">
        <v>70780</v>
      </c>
      <c r="M20" s="1684">
        <v>60.5</v>
      </c>
      <c r="N20" s="1686" t="str">
        <f t="shared" si="1"/>
        <v>43KF0007PB</v>
      </c>
      <c r="O20" s="1688"/>
      <c r="P20" s="1696">
        <v>59.1</v>
      </c>
      <c r="Q20"/>
      <c r="R20" s="773"/>
    </row>
    <row r="21" spans="1:20" s="1178" customFormat="1">
      <c r="A21" s="1476" t="s">
        <v>1715</v>
      </c>
      <c r="B21" s="1488" t="s">
        <v>1714</v>
      </c>
      <c r="C21" s="1017" t="s">
        <v>1300</v>
      </c>
      <c r="D21" s="1475" t="s">
        <v>42</v>
      </c>
      <c r="E21" s="1475">
        <v>1</v>
      </c>
      <c r="F21" s="1475">
        <v>29</v>
      </c>
      <c r="G21" s="1475">
        <f>89</f>
        <v>89</v>
      </c>
      <c r="H21" s="1440">
        <v>345</v>
      </c>
      <c r="I21" s="1375" t="s">
        <v>54</v>
      </c>
      <c r="J21" s="1432" t="s">
        <v>354</v>
      </c>
      <c r="K21" s="1432" t="s">
        <v>434</v>
      </c>
      <c r="L21" s="1487">
        <v>70782</v>
      </c>
      <c r="M21" s="1487">
        <v>89.1</v>
      </c>
      <c r="N21" s="1686" t="str">
        <f t="shared" si="1"/>
        <v>45KF0057AA</v>
      </c>
      <c r="O21" s="999"/>
      <c r="P21" s="1697">
        <v>89.1</v>
      </c>
      <c r="Q21" s="546"/>
      <c r="R21" s="1618"/>
    </row>
    <row r="22" spans="1:20" s="1178" customFormat="1">
      <c r="A22" s="1476" t="s">
        <v>1715</v>
      </c>
      <c r="B22" s="1488" t="s">
        <v>1714</v>
      </c>
      <c r="C22" s="1017" t="s">
        <v>1300</v>
      </c>
      <c r="D22" s="1475" t="s">
        <v>43</v>
      </c>
      <c r="E22" s="1475">
        <v>16</v>
      </c>
      <c r="F22" s="1475">
        <v>49</v>
      </c>
      <c r="G22" s="1475">
        <f>962+49</f>
        <v>1011</v>
      </c>
      <c r="H22" s="1440">
        <v>325</v>
      </c>
      <c r="I22" s="1375" t="s">
        <v>54</v>
      </c>
      <c r="J22" s="1432" t="s">
        <v>354</v>
      </c>
      <c r="K22" s="1432" t="s">
        <v>697</v>
      </c>
      <c r="L22" s="1487">
        <v>70783</v>
      </c>
      <c r="M22" s="1487">
        <v>1011.4</v>
      </c>
      <c r="N22" s="1686" t="str">
        <f t="shared" si="1"/>
        <v>45KF0057AB</v>
      </c>
      <c r="O22" s="999"/>
      <c r="P22" s="1698">
        <v>1011.4</v>
      </c>
      <c r="Q22" s="546"/>
      <c r="R22" s="1618"/>
    </row>
    <row r="23" spans="1:20" s="1178" customFormat="1">
      <c r="A23" s="1476" t="s">
        <v>1715</v>
      </c>
      <c r="B23" s="1488" t="s">
        <v>1714</v>
      </c>
      <c r="C23" s="1017" t="s">
        <v>1300</v>
      </c>
      <c r="D23" s="1475" t="s">
        <v>45</v>
      </c>
      <c r="E23" s="1475">
        <v>49</v>
      </c>
      <c r="F23" s="1475">
        <v>35</v>
      </c>
      <c r="G23" s="1475">
        <f>2943+35</f>
        <v>2978</v>
      </c>
      <c r="H23" s="1440">
        <v>300</v>
      </c>
      <c r="I23" s="1375" t="s">
        <v>54</v>
      </c>
      <c r="J23" s="1432" t="s">
        <v>354</v>
      </c>
      <c r="K23" s="1432" t="s">
        <v>1310</v>
      </c>
      <c r="L23" s="1487">
        <v>70784</v>
      </c>
      <c r="M23" s="1487">
        <v>2978.5</v>
      </c>
      <c r="N23" s="1686" t="str">
        <f t="shared" si="1"/>
        <v>45KF0057C</v>
      </c>
      <c r="O23" s="999"/>
      <c r="P23" s="1698">
        <v>2978.5</v>
      </c>
      <c r="Q23" s="546"/>
      <c r="R23" s="1618"/>
    </row>
    <row r="24" spans="1:20" s="1178" customFormat="1">
      <c r="A24" s="1755" t="s">
        <v>1715</v>
      </c>
      <c r="B24" s="1488" t="s">
        <v>1714</v>
      </c>
      <c r="C24" s="1017" t="s">
        <v>1300</v>
      </c>
      <c r="D24" s="1475" t="s">
        <v>44</v>
      </c>
      <c r="E24" s="1475">
        <v>1</v>
      </c>
      <c r="F24" s="1475">
        <v>17</v>
      </c>
      <c r="G24" s="1475">
        <v>77</v>
      </c>
      <c r="H24" s="1440">
        <v>325</v>
      </c>
      <c r="I24" s="1375" t="s">
        <v>54</v>
      </c>
      <c r="J24" s="1432" t="s">
        <v>354</v>
      </c>
      <c r="K24" s="1432" t="s">
        <v>697</v>
      </c>
      <c r="L24" s="1487">
        <v>70785</v>
      </c>
      <c r="M24" s="1487">
        <v>77.099999999999994</v>
      </c>
      <c r="N24" s="1686" t="str">
        <f t="shared" si="1"/>
        <v>45KF0057PB</v>
      </c>
      <c r="O24" s="14"/>
      <c r="P24" s="1756">
        <v>77.099999999999994</v>
      </c>
      <c r="Q24" s="546"/>
      <c r="R24" s="1618"/>
    </row>
    <row r="25" spans="1:20" s="1178" customFormat="1">
      <c r="A25" s="1755" t="s">
        <v>2113</v>
      </c>
      <c r="B25" s="1488" t="s">
        <v>2115</v>
      </c>
      <c r="C25" s="1017" t="s">
        <v>1300</v>
      </c>
      <c r="D25" s="1475" t="s">
        <v>42</v>
      </c>
      <c r="E25" s="1475">
        <v>8</v>
      </c>
      <c r="F25" s="1475">
        <v>36</v>
      </c>
      <c r="G25" s="1475">
        <v>516</v>
      </c>
      <c r="H25" s="1440">
        <v>345</v>
      </c>
      <c r="I25" s="1375" t="s">
        <v>54</v>
      </c>
      <c r="J25" s="1432" t="s">
        <v>354</v>
      </c>
      <c r="K25" s="1432" t="s">
        <v>434</v>
      </c>
      <c r="L25" s="1487"/>
      <c r="M25" s="1487"/>
      <c r="N25" s="1686"/>
      <c r="O25" s="14"/>
      <c r="P25" s="1756"/>
      <c r="Q25" s="1753"/>
      <c r="R25" s="1754"/>
    </row>
    <row r="26" spans="1:20" s="1178" customFormat="1">
      <c r="A26" s="1755" t="s">
        <v>2113</v>
      </c>
      <c r="B26" s="1488" t="s">
        <v>2115</v>
      </c>
      <c r="C26" s="1017" t="s">
        <v>1300</v>
      </c>
      <c r="D26" s="1475" t="s">
        <v>43</v>
      </c>
      <c r="E26" s="1475">
        <v>43</v>
      </c>
      <c r="F26" s="1475">
        <v>38</v>
      </c>
      <c r="G26" s="1475">
        <v>2618</v>
      </c>
      <c r="H26" s="1440">
        <v>325</v>
      </c>
      <c r="I26" s="1375" t="s">
        <v>54</v>
      </c>
      <c r="J26" s="1432" t="s">
        <v>354</v>
      </c>
      <c r="K26" s="1432" t="s">
        <v>697</v>
      </c>
      <c r="L26" s="1487"/>
      <c r="M26" s="1487"/>
      <c r="N26" s="1686"/>
      <c r="O26" s="14"/>
      <c r="P26" s="1756"/>
      <c r="Q26" s="1753"/>
      <c r="R26" s="1754"/>
    </row>
    <row r="27" spans="1:20" s="1178" customFormat="1">
      <c r="A27" s="1755" t="s">
        <v>2113</v>
      </c>
      <c r="B27" s="1488" t="s">
        <v>2115</v>
      </c>
      <c r="C27" s="1017" t="s">
        <v>1300</v>
      </c>
      <c r="D27" s="1475" t="s">
        <v>44</v>
      </c>
      <c r="E27" s="1475">
        <v>35</v>
      </c>
      <c r="F27" s="1475">
        <v>35</v>
      </c>
      <c r="G27" s="1475">
        <v>275</v>
      </c>
      <c r="H27" s="1440">
        <v>325</v>
      </c>
      <c r="I27" s="1375" t="s">
        <v>54</v>
      </c>
      <c r="J27" s="1432" t="s">
        <v>354</v>
      </c>
      <c r="K27" s="1432" t="s">
        <v>697</v>
      </c>
      <c r="L27" s="1487"/>
      <c r="M27" s="1487"/>
      <c r="N27" s="1686"/>
      <c r="O27" s="14"/>
      <c r="P27" s="1756"/>
      <c r="Q27" s="1753"/>
      <c r="R27" s="1754"/>
    </row>
    <row r="28" spans="1:20" s="1178" customFormat="1">
      <c r="A28" s="1755" t="s">
        <v>2113</v>
      </c>
      <c r="B28" s="1488" t="s">
        <v>2115</v>
      </c>
      <c r="C28" s="1017" t="s">
        <v>1300</v>
      </c>
      <c r="D28" s="1475" t="s">
        <v>45</v>
      </c>
      <c r="E28" s="1475">
        <v>22</v>
      </c>
      <c r="F28" s="1475">
        <v>55</v>
      </c>
      <c r="G28" s="1475">
        <v>1375</v>
      </c>
      <c r="H28" s="1440">
        <v>300</v>
      </c>
      <c r="I28" s="1375" t="s">
        <v>54</v>
      </c>
      <c r="J28" s="1432" t="s">
        <v>354</v>
      </c>
      <c r="K28" s="1432"/>
      <c r="L28" s="1487"/>
      <c r="M28" s="1487"/>
      <c r="N28" s="1686"/>
      <c r="O28" s="14"/>
      <c r="P28" s="1756"/>
      <c r="Q28" s="1753"/>
      <c r="R28" s="1754"/>
    </row>
    <row r="29" spans="1:20" s="1178" customFormat="1" ht="15" thickBot="1">
      <c r="A29" s="1372"/>
      <c r="B29" s="1373"/>
      <c r="C29" s="1374"/>
      <c r="D29" s="1373"/>
      <c r="E29" s="1757">
        <f>SUM(E9:E28)</f>
        <v>470</v>
      </c>
      <c r="F29" s="1757">
        <f t="shared" ref="F29:G29" si="2">SUM(F9:F28)</f>
        <v>821</v>
      </c>
      <c r="G29" s="1757">
        <f t="shared" si="2"/>
        <v>27217</v>
      </c>
      <c r="H29" s="1180"/>
      <c r="I29" s="1180"/>
      <c r="L29" s="1180"/>
      <c r="M29" s="1180">
        <f>SUM(M9:M24)</f>
        <v>22414.699999999997</v>
      </c>
      <c r="Q29"/>
      <c r="R29" s="1619"/>
      <c r="T29" s="1178">
        <f>SUMPRODUCT(M9:M24,H9:H24)/M29</f>
        <v>308.17836062940842</v>
      </c>
    </row>
    <row r="30" spans="1:20" s="1178" customFormat="1">
      <c r="A30" s="1372"/>
      <c r="B30" s="1373"/>
      <c r="C30" s="1374"/>
      <c r="D30" s="1373"/>
      <c r="E30" s="1373"/>
      <c r="F30" s="1373"/>
      <c r="G30" s="1373"/>
      <c r="H30" s="1180"/>
      <c r="I30" s="1180"/>
      <c r="L30" s="1180"/>
      <c r="M30" s="1180"/>
      <c r="Q30"/>
      <c r="R30"/>
    </row>
    <row r="31" spans="1:20" s="1178" customFormat="1">
      <c r="A31" s="14" t="str">
        <f>CONCATENATE(B31,C31)</f>
        <v>43KF0007PB</v>
      </c>
      <c r="B31" s="14" t="s">
        <v>1571</v>
      </c>
      <c r="C31" s="14" t="s">
        <v>44</v>
      </c>
      <c r="D31" s="334">
        <v>59.1</v>
      </c>
      <c r="E31" s="1373"/>
      <c r="F31" s="1373"/>
      <c r="G31" s="1373"/>
      <c r="H31" s="1180"/>
      <c r="I31" s="1180"/>
      <c r="L31" s="1180"/>
      <c r="M31" s="1180"/>
      <c r="Q31"/>
      <c r="R31"/>
    </row>
    <row r="32" spans="1:20" s="1178" customFormat="1">
      <c r="A32" s="14" t="str">
        <f t="shared" ref="A32:A34" si="3">CONCATENATE(B32,C32)</f>
        <v>43KF0007AA</v>
      </c>
      <c r="B32" s="14" t="s">
        <v>1571</v>
      </c>
      <c r="C32" s="14" t="s">
        <v>42</v>
      </c>
      <c r="D32" s="334">
        <v>65.099999999999994</v>
      </c>
      <c r="E32" s="1373"/>
      <c r="F32" s="1373"/>
      <c r="G32" s="1373"/>
      <c r="H32" s="1180"/>
      <c r="I32" s="1180"/>
      <c r="L32" s="1180"/>
      <c r="M32" s="1180"/>
      <c r="Q32"/>
      <c r="R32"/>
    </row>
    <row r="33" spans="1:18" s="1178" customFormat="1">
      <c r="A33" s="14" t="str">
        <f t="shared" si="3"/>
        <v>43KF0007C</v>
      </c>
      <c r="B33" s="14" t="s">
        <v>1571</v>
      </c>
      <c r="C33" s="14" t="s">
        <v>45</v>
      </c>
      <c r="D33" s="334">
        <v>3621</v>
      </c>
      <c r="E33" s="1373"/>
      <c r="F33" s="1373"/>
      <c r="G33" s="1373"/>
      <c r="H33" s="1180"/>
      <c r="I33" s="1180"/>
      <c r="L33" s="1180"/>
      <c r="M33" s="1180"/>
      <c r="Q33"/>
      <c r="R33"/>
    </row>
    <row r="34" spans="1:18" s="1178" customFormat="1">
      <c r="A34" s="14" t="str">
        <f t="shared" si="3"/>
        <v>43KF0007AB</v>
      </c>
      <c r="B34" s="14" t="s">
        <v>1571</v>
      </c>
      <c r="C34" s="14" t="s">
        <v>43</v>
      </c>
      <c r="D34" s="334">
        <v>928.6</v>
      </c>
      <c r="E34" s="1373"/>
      <c r="F34" s="1373"/>
      <c r="G34" s="1373"/>
      <c r="H34" s="1180"/>
      <c r="I34" s="1180"/>
      <c r="L34" s="1180"/>
      <c r="M34" s="1180"/>
      <c r="Q34"/>
      <c r="R34"/>
    </row>
    <row r="35" spans="1:18" s="1178" customFormat="1">
      <c r="A35" s="14"/>
      <c r="B35" s="14"/>
      <c r="C35" s="14"/>
      <c r="D35" s="1505">
        <f>SUM(D31:D34)</f>
        <v>4673.8</v>
      </c>
      <c r="E35" s="1373"/>
      <c r="F35" s="1373"/>
      <c r="G35" s="1373"/>
      <c r="H35" s="1180"/>
      <c r="I35" s="1180"/>
      <c r="L35" s="1180"/>
      <c r="M35" s="1180"/>
      <c r="Q35"/>
      <c r="R35"/>
    </row>
    <row r="36" spans="1:18" s="1178" customFormat="1">
      <c r="A36" s="1372"/>
      <c r="B36" s="1373"/>
      <c r="C36" s="1374"/>
      <c r="D36" s="1373"/>
      <c r="E36" s="1373"/>
      <c r="F36" s="1373"/>
      <c r="G36" s="1373"/>
      <c r="H36" s="1180"/>
      <c r="I36" s="1180"/>
      <c r="L36" s="1180"/>
      <c r="M36" s="1180"/>
      <c r="Q36"/>
      <c r="R36"/>
    </row>
    <row r="37" spans="1:18" s="1178" customFormat="1">
      <c r="A37" s="1372"/>
      <c r="B37" s="1373"/>
      <c r="C37" s="1374"/>
      <c r="D37" s="1373"/>
      <c r="E37" s="1373"/>
      <c r="F37" s="1373"/>
      <c r="G37" s="1373"/>
      <c r="H37" s="1180"/>
      <c r="I37" s="1180"/>
      <c r="L37" s="1180"/>
      <c r="M37" s="1180"/>
      <c r="Q37"/>
      <c r="R37"/>
    </row>
    <row r="38" spans="1:18" s="1178" customFormat="1">
      <c r="A38" s="1372"/>
      <c r="B38" s="1373"/>
      <c r="C38" s="1374"/>
      <c r="D38" s="1373"/>
      <c r="E38" s="1373"/>
      <c r="F38" s="1373"/>
      <c r="G38" s="1373"/>
      <c r="H38" s="1180"/>
      <c r="I38" s="1180"/>
      <c r="L38" s="1180"/>
      <c r="M38" s="1180"/>
      <c r="Q38"/>
      <c r="R38"/>
    </row>
    <row r="39" spans="1:18" s="1178" customFormat="1">
      <c r="A39" s="1372"/>
      <c r="B39" s="1373"/>
      <c r="C39" s="1374"/>
      <c r="D39" s="1373"/>
      <c r="E39" s="1373"/>
      <c r="F39" s="1373"/>
      <c r="G39" s="1373"/>
      <c r="H39" s="1180"/>
      <c r="I39" s="1180"/>
      <c r="L39" s="1180"/>
      <c r="M39" s="1180"/>
      <c r="Q39"/>
      <c r="R39"/>
    </row>
    <row r="40" spans="1:18" s="1178" customFormat="1">
      <c r="A40" s="1372"/>
      <c r="B40" s="1373"/>
      <c r="C40" s="1374"/>
      <c r="D40" s="1373"/>
      <c r="E40" s="1373"/>
      <c r="F40" s="1373"/>
      <c r="G40" s="1373"/>
      <c r="H40" s="1180"/>
      <c r="I40" s="1180"/>
      <c r="L40" s="1180"/>
      <c r="M40" s="1180"/>
      <c r="Q40"/>
      <c r="R40"/>
    </row>
    <row r="42" spans="1:18" hidden="1"/>
    <row r="43" spans="1:18" hidden="1">
      <c r="M43">
        <v>12995</v>
      </c>
    </row>
    <row r="44" spans="1:18" hidden="1">
      <c r="M44">
        <f>M43/60</f>
        <v>216.58333333333334</v>
      </c>
    </row>
    <row r="45" spans="1:18" hidden="1"/>
    <row r="46" spans="1:18" hidden="1">
      <c r="L46">
        <f>434-M44</f>
        <v>217.41666666666666</v>
      </c>
    </row>
    <row r="47" spans="1:18" hidden="1">
      <c r="H47" t="s">
        <v>1375</v>
      </c>
    </row>
    <row r="48" spans="1:18" hidden="1">
      <c r="H48" s="14">
        <v>350</v>
      </c>
    </row>
    <row r="49" spans="1:12" hidden="1">
      <c r="H49" s="14">
        <v>4631.3999999999996</v>
      </c>
    </row>
    <row r="50" spans="1:12" ht="15" thickBot="1"/>
    <row r="51" spans="1:12">
      <c r="A51" s="1311" t="s">
        <v>840</v>
      </c>
      <c r="B51" s="1312" t="s">
        <v>32</v>
      </c>
      <c r="C51" s="1313" t="s">
        <v>1450</v>
      </c>
      <c r="D51" s="1312" t="s">
        <v>839</v>
      </c>
      <c r="E51" s="1312" t="s">
        <v>1451</v>
      </c>
      <c r="F51" s="1312" t="s">
        <v>1452</v>
      </c>
      <c r="G51" s="1312" t="s">
        <v>1453</v>
      </c>
      <c r="H51" s="1312" t="s">
        <v>1454</v>
      </c>
      <c r="I51" s="1312" t="s">
        <v>1455</v>
      </c>
      <c r="J51" s="1300"/>
      <c r="K51" s="1314" t="s">
        <v>2089</v>
      </c>
      <c r="L51" s="1301"/>
    </row>
    <row r="52" spans="1:12">
      <c r="A52" s="1315" t="s">
        <v>42</v>
      </c>
      <c r="B52" s="339" t="s">
        <v>1456</v>
      </c>
      <c r="C52" s="909">
        <v>46226</v>
      </c>
      <c r="D52" s="339" t="s">
        <v>1465</v>
      </c>
      <c r="E52" s="339" t="s">
        <v>1308</v>
      </c>
      <c r="F52" s="339" t="s">
        <v>1467</v>
      </c>
      <c r="G52" s="338">
        <v>4</v>
      </c>
      <c r="H52" s="337">
        <v>200.4</v>
      </c>
      <c r="I52" s="337">
        <v>-3.9</v>
      </c>
      <c r="J52" s="1685" t="str">
        <f>CONCATENATE(E52,A52)</f>
        <v>38KF0009AA</v>
      </c>
      <c r="K52" s="1305">
        <v>200.4</v>
      </c>
      <c r="L52" s="1303"/>
    </row>
    <row r="53" spans="1:12">
      <c r="A53" s="1315" t="s">
        <v>42</v>
      </c>
      <c r="B53" s="339" t="s">
        <v>1456</v>
      </c>
      <c r="C53" s="909">
        <v>46226</v>
      </c>
      <c r="D53" s="339" t="s">
        <v>1466</v>
      </c>
      <c r="E53" s="339" t="s">
        <v>1309</v>
      </c>
      <c r="F53" s="339" t="s">
        <v>1467</v>
      </c>
      <c r="G53" s="338">
        <v>2</v>
      </c>
      <c r="H53" s="337">
        <v>111.2</v>
      </c>
      <c r="I53" s="337">
        <v>-0.3</v>
      </c>
      <c r="J53" s="1685" t="str">
        <f t="shared" ref="J53:J59" si="4">CONCATENATE(E53,A53)</f>
        <v>37KF0002AA</v>
      </c>
      <c r="K53" s="1305">
        <v>111.2</v>
      </c>
      <c r="L53" s="1303"/>
    </row>
    <row r="54" spans="1:12">
      <c r="A54" s="1315" t="s">
        <v>43</v>
      </c>
      <c r="B54" s="339" t="s">
        <v>1459</v>
      </c>
      <c r="C54" s="909">
        <v>46220</v>
      </c>
      <c r="D54" s="339" t="s">
        <v>1468</v>
      </c>
      <c r="E54" s="339" t="s">
        <v>1308</v>
      </c>
      <c r="F54" s="339" t="s">
        <v>1462</v>
      </c>
      <c r="G54" s="338">
        <v>37</v>
      </c>
      <c r="H54" s="337">
        <v>2202.6999999999998</v>
      </c>
      <c r="I54" s="337">
        <v>4.9000000000000004</v>
      </c>
      <c r="J54" s="1685" t="str">
        <f t="shared" si="4"/>
        <v>38KF0009AB</v>
      </c>
      <c r="K54" s="1305">
        <v>2202.6999999999998</v>
      </c>
      <c r="L54" s="1303"/>
    </row>
    <row r="55" spans="1:12">
      <c r="A55" s="1315" t="s">
        <v>43</v>
      </c>
      <c r="B55" s="339" t="s">
        <v>1459</v>
      </c>
      <c r="C55" s="909">
        <v>46220</v>
      </c>
      <c r="D55" s="339" t="s">
        <v>1469</v>
      </c>
      <c r="E55" s="339" t="s">
        <v>1309</v>
      </c>
      <c r="F55" s="339" t="s">
        <v>1462</v>
      </c>
      <c r="G55" s="338">
        <v>33</v>
      </c>
      <c r="H55" s="337">
        <v>1945.3</v>
      </c>
      <c r="I55" s="337">
        <v>7.5</v>
      </c>
      <c r="J55" s="1685" t="str">
        <f t="shared" si="4"/>
        <v>37KF0002AB</v>
      </c>
      <c r="K55" s="1305">
        <v>1945.3</v>
      </c>
      <c r="L55" s="1303"/>
    </row>
    <row r="56" spans="1:12">
      <c r="A56" s="1315" t="s">
        <v>45</v>
      </c>
      <c r="B56" s="339" t="s">
        <v>1463</v>
      </c>
      <c r="C56" s="909">
        <v>46220</v>
      </c>
      <c r="D56" s="339" t="s">
        <v>1470</v>
      </c>
      <c r="E56" s="339" t="s">
        <v>1308</v>
      </c>
      <c r="F56" s="339" t="s">
        <v>1462</v>
      </c>
      <c r="G56" s="338">
        <v>71</v>
      </c>
      <c r="H56" s="337">
        <v>4241.1000000000004</v>
      </c>
      <c r="I56" s="337">
        <v>13.1</v>
      </c>
      <c r="J56" s="1685" t="str">
        <f t="shared" si="4"/>
        <v>38KF0009C</v>
      </c>
      <c r="K56" s="1305">
        <v>4241.1000000000004</v>
      </c>
      <c r="L56" s="1303"/>
    </row>
    <row r="57" spans="1:12">
      <c r="A57" s="1315" t="s">
        <v>45</v>
      </c>
      <c r="B57" s="339" t="s">
        <v>1463</v>
      </c>
      <c r="C57" s="909">
        <v>46220</v>
      </c>
      <c r="D57" s="339" t="s">
        <v>1471</v>
      </c>
      <c r="E57" s="339" t="s">
        <v>1309</v>
      </c>
      <c r="F57" s="339" t="s">
        <v>1462</v>
      </c>
      <c r="G57" s="338">
        <v>77</v>
      </c>
      <c r="H57" s="337">
        <v>4643.7</v>
      </c>
      <c r="I57" s="337">
        <v>12.3</v>
      </c>
      <c r="J57" s="1685" t="str">
        <f t="shared" si="4"/>
        <v>37KF0002C</v>
      </c>
      <c r="K57" s="1305">
        <v>4643.7</v>
      </c>
      <c r="L57" s="1303"/>
    </row>
    <row r="58" spans="1:12">
      <c r="A58" s="1315" t="s">
        <v>44</v>
      </c>
      <c r="B58" s="339" t="s">
        <v>1459</v>
      </c>
      <c r="C58" s="909">
        <v>46226</v>
      </c>
      <c r="D58" s="339" t="s">
        <v>1472</v>
      </c>
      <c r="E58" s="339" t="s">
        <v>1308</v>
      </c>
      <c r="F58" s="339" t="s">
        <v>1467</v>
      </c>
      <c r="G58" s="338">
        <v>3</v>
      </c>
      <c r="H58" s="337">
        <v>169.3</v>
      </c>
      <c r="I58" s="337">
        <v>-5.0999999999999996</v>
      </c>
      <c r="J58" s="1685" t="str">
        <f t="shared" si="4"/>
        <v>38KF0009PB</v>
      </c>
      <c r="K58" s="1305">
        <v>169.3</v>
      </c>
      <c r="L58" s="1303"/>
    </row>
    <row r="59" spans="1:12">
      <c r="A59" s="1315" t="s">
        <v>44</v>
      </c>
      <c r="B59" s="339" t="s">
        <v>1459</v>
      </c>
      <c r="C59" s="909">
        <v>46226</v>
      </c>
      <c r="D59" s="339" t="s">
        <v>1473</v>
      </c>
      <c r="E59" s="339" t="s">
        <v>1309</v>
      </c>
      <c r="F59" s="339" t="s">
        <v>1467</v>
      </c>
      <c r="G59" s="338">
        <v>2</v>
      </c>
      <c r="H59" s="337">
        <v>122.2</v>
      </c>
      <c r="I59" s="337">
        <v>-2.2999999999999998</v>
      </c>
      <c r="J59" s="1685" t="str">
        <f t="shared" si="4"/>
        <v>37KF0002PB</v>
      </c>
      <c r="K59" s="1305">
        <v>122.2</v>
      </c>
      <c r="L59" s="1303"/>
    </row>
    <row r="60" spans="1:12">
      <c r="A60" s="1304"/>
      <c r="L60" s="1303"/>
    </row>
    <row r="61" spans="1:12">
      <c r="A61" s="1304"/>
      <c r="H61" s="1305">
        <f>SUM(H52:H60)</f>
        <v>13635.900000000001</v>
      </c>
      <c r="I61" t="s">
        <v>413</v>
      </c>
      <c r="K61">
        <f>SUM(K52:K60)</f>
        <v>13635.900000000001</v>
      </c>
      <c r="L61" s="1303" t="s">
        <v>413</v>
      </c>
    </row>
    <row r="62" spans="1:12" ht="15" thickBot="1">
      <c r="A62" s="1306"/>
      <c r="B62" s="1307"/>
      <c r="C62" s="1307"/>
      <c r="D62" s="1307"/>
      <c r="E62" s="1307"/>
      <c r="F62" s="1307"/>
      <c r="G62" s="1307"/>
      <c r="H62" s="1307">
        <f>H61/60</f>
        <v>227.26500000000001</v>
      </c>
      <c r="I62" s="1307" t="s">
        <v>33</v>
      </c>
      <c r="J62" s="1307"/>
      <c r="K62" s="1307">
        <f>K61/60</f>
        <v>227.26500000000001</v>
      </c>
      <c r="L62" s="1308" t="s">
        <v>33</v>
      </c>
    </row>
    <row r="66" spans="1:22">
      <c r="A66" s="1489" t="s">
        <v>1847</v>
      </c>
    </row>
    <row r="67" spans="1:22">
      <c r="A67" s="1489" t="s">
        <v>1318</v>
      </c>
      <c r="B67" s="1489" t="s">
        <v>838</v>
      </c>
      <c r="C67" s="1489" t="s">
        <v>839</v>
      </c>
      <c r="D67" s="1489" t="s">
        <v>840</v>
      </c>
      <c r="E67" s="1489" t="s">
        <v>739</v>
      </c>
      <c r="F67" s="1489" t="s">
        <v>824</v>
      </c>
      <c r="G67" s="1489" t="s">
        <v>33</v>
      </c>
      <c r="H67" s="1489" t="s">
        <v>82</v>
      </c>
      <c r="I67" s="1489" t="s">
        <v>825</v>
      </c>
      <c r="J67" s="1489" t="s">
        <v>1320</v>
      </c>
      <c r="K67" s="1489" t="s">
        <v>1321</v>
      </c>
      <c r="L67" s="1490" t="s">
        <v>1322</v>
      </c>
      <c r="M67" s="1489" t="s">
        <v>824</v>
      </c>
      <c r="N67" s="1489" t="s">
        <v>33</v>
      </c>
      <c r="O67" s="1489" t="s">
        <v>82</v>
      </c>
      <c r="P67" s="1489" t="s">
        <v>1732</v>
      </c>
      <c r="Q67" s="1489" t="s">
        <v>825</v>
      </c>
      <c r="R67" s="1489" t="s">
        <v>1323</v>
      </c>
      <c r="S67" s="1489" t="s">
        <v>824</v>
      </c>
      <c r="T67" s="1489" t="s">
        <v>825</v>
      </c>
    </row>
    <row r="68" spans="1:22" ht="26">
      <c r="A68" s="339" t="s">
        <v>1839</v>
      </c>
      <c r="B68" s="339" t="s">
        <v>1571</v>
      </c>
      <c r="C68" s="339" t="s">
        <v>1840</v>
      </c>
      <c r="D68" s="339" t="s">
        <v>44</v>
      </c>
      <c r="E68" s="339" t="s">
        <v>350</v>
      </c>
      <c r="F68" s="338">
        <v>2</v>
      </c>
      <c r="G68" s="338">
        <v>1</v>
      </c>
      <c r="H68" s="337">
        <v>0.5</v>
      </c>
      <c r="I68" s="338">
        <v>60.5</v>
      </c>
      <c r="J68" s="339" t="s">
        <v>1332</v>
      </c>
      <c r="K68" s="1491" t="s">
        <v>1748</v>
      </c>
      <c r="L68" s="909">
        <v>46244</v>
      </c>
      <c r="M68" s="337">
        <v>1</v>
      </c>
      <c r="N68" s="338">
        <v>0</v>
      </c>
      <c r="O68" s="337">
        <v>59.1</v>
      </c>
      <c r="P68" s="338" t="str">
        <f>CONCATENATE(B68,D68)</f>
        <v>43KF0007PB</v>
      </c>
      <c r="Q68" s="1693">
        <v>59.1</v>
      </c>
      <c r="R68" s="339" t="s">
        <v>1841</v>
      </c>
      <c r="S68" s="337">
        <v>-1</v>
      </c>
      <c r="T68" s="337">
        <v>-1.4</v>
      </c>
    </row>
    <row r="69" spans="1:22" ht="26">
      <c r="A69" s="339" t="s">
        <v>1839</v>
      </c>
      <c r="B69" s="339" t="s">
        <v>1571</v>
      </c>
      <c r="C69" s="339" t="s">
        <v>1842</v>
      </c>
      <c r="D69" s="339" t="s">
        <v>42</v>
      </c>
      <c r="E69" s="339" t="s">
        <v>350</v>
      </c>
      <c r="F69" s="338">
        <v>2</v>
      </c>
      <c r="G69" s="338">
        <v>1</v>
      </c>
      <c r="H69" s="337">
        <v>4</v>
      </c>
      <c r="I69" s="338">
        <v>64</v>
      </c>
      <c r="J69" s="339" t="s">
        <v>1332</v>
      </c>
      <c r="K69" s="1491" t="s">
        <v>1748</v>
      </c>
      <c r="L69" s="909">
        <v>46244</v>
      </c>
      <c r="M69" s="337">
        <v>1</v>
      </c>
      <c r="N69" s="338">
        <v>1</v>
      </c>
      <c r="O69" s="337">
        <v>5.0999999999999996</v>
      </c>
      <c r="P69" s="338" t="str">
        <f t="shared" ref="P69:P71" si="5">CONCATENATE(B69,D69)</f>
        <v>43KF0007AA</v>
      </c>
      <c r="Q69" s="338">
        <v>65.099999999999994</v>
      </c>
      <c r="R69" s="339" t="s">
        <v>1843</v>
      </c>
      <c r="S69" s="337">
        <v>-1</v>
      </c>
      <c r="T69" s="337">
        <v>1.1000000000000001</v>
      </c>
    </row>
    <row r="70" spans="1:22" ht="26">
      <c r="A70" s="339" t="s">
        <v>1839</v>
      </c>
      <c r="B70" s="339" t="s">
        <v>1571</v>
      </c>
      <c r="C70" s="339" t="s">
        <v>1844</v>
      </c>
      <c r="D70" s="339" t="s">
        <v>45</v>
      </c>
      <c r="E70" s="339" t="s">
        <v>350</v>
      </c>
      <c r="F70" s="338">
        <v>60</v>
      </c>
      <c r="G70" s="338">
        <v>60</v>
      </c>
      <c r="H70" s="337">
        <v>19.3</v>
      </c>
      <c r="I70" s="338">
        <v>3619.3</v>
      </c>
      <c r="J70" s="339" t="s">
        <v>1332</v>
      </c>
      <c r="K70" s="1491" t="s">
        <v>1748</v>
      </c>
      <c r="L70" s="909">
        <v>46244</v>
      </c>
      <c r="M70" s="337">
        <v>60</v>
      </c>
      <c r="N70" s="338">
        <v>60</v>
      </c>
      <c r="O70" s="337">
        <v>21</v>
      </c>
      <c r="P70" s="338" t="str">
        <f t="shared" si="5"/>
        <v>43KF0007C</v>
      </c>
      <c r="Q70" s="338">
        <v>3621</v>
      </c>
      <c r="R70" s="339" t="s">
        <v>1845</v>
      </c>
      <c r="S70" s="337">
        <v>0</v>
      </c>
      <c r="T70" s="337">
        <v>1.7</v>
      </c>
    </row>
    <row r="71" spans="1:22" ht="26">
      <c r="A71" s="339" t="s">
        <v>1839</v>
      </c>
      <c r="B71" s="339" t="s">
        <v>1571</v>
      </c>
      <c r="C71" s="339" t="s">
        <v>1846</v>
      </c>
      <c r="D71" s="339" t="s">
        <v>43</v>
      </c>
      <c r="E71" s="339" t="s">
        <v>350</v>
      </c>
      <c r="F71" s="338">
        <v>16</v>
      </c>
      <c r="G71" s="338">
        <v>15</v>
      </c>
      <c r="H71" s="337">
        <v>5.0999999999999996</v>
      </c>
      <c r="I71" s="338">
        <v>905.1</v>
      </c>
      <c r="J71" s="339" t="s">
        <v>1332</v>
      </c>
      <c r="K71" s="1491" t="s">
        <v>1748</v>
      </c>
      <c r="L71" s="909">
        <v>46244</v>
      </c>
      <c r="M71" s="337">
        <v>16</v>
      </c>
      <c r="N71" s="338">
        <v>15</v>
      </c>
      <c r="O71" s="337">
        <v>28.6</v>
      </c>
      <c r="P71" s="338" t="str">
        <f t="shared" si="5"/>
        <v>43KF0007AB</v>
      </c>
      <c r="Q71" s="338">
        <v>928.6</v>
      </c>
      <c r="R71" s="339" t="s">
        <v>1841</v>
      </c>
      <c r="S71" s="337">
        <v>0</v>
      </c>
      <c r="T71" s="337">
        <v>23.5</v>
      </c>
    </row>
    <row r="72" spans="1:22">
      <c r="P72" s="1494">
        <f>SUM(P68:P71)</f>
        <v>0</v>
      </c>
      <c r="Q72" s="900">
        <f>SUM(Q68:Q71)</f>
        <v>4673.8</v>
      </c>
    </row>
    <row r="73" spans="1:22">
      <c r="D73" s="1504"/>
    </row>
    <row r="74" spans="1:22">
      <c r="A74" t="str">
        <f t="shared" ref="A74:A76" si="6">CONCATENATE(B74,C74)</f>
        <v/>
      </c>
      <c r="D74" s="1504"/>
    </row>
    <row r="75" spans="1:22">
      <c r="A75" t="str">
        <f t="shared" si="6"/>
        <v/>
      </c>
      <c r="D75" s="1504"/>
    </row>
    <row r="76" spans="1:22">
      <c r="A76" t="str">
        <f t="shared" si="6"/>
        <v/>
      </c>
      <c r="D76" s="1504"/>
      <c r="I76" s="17">
        <f>SUM(I66:I75)</f>
        <v>4648.9000000000005</v>
      </c>
      <c r="V76">
        <f>SUM(V66:V75)</f>
        <v>0</v>
      </c>
    </row>
    <row r="77" spans="1:22">
      <c r="D77" s="167"/>
      <c r="I77" s="17">
        <f>I76/60</f>
        <v>77.481666666666669</v>
      </c>
    </row>
    <row r="80" spans="1:22">
      <c r="I80" s="17">
        <f>SUM(I78:I79)</f>
        <v>0</v>
      </c>
      <c r="V80">
        <f>SUM(V78:V79)</f>
        <v>0</v>
      </c>
    </row>
    <row r="81" spans="7:11">
      <c r="I81" s="111">
        <f>I80/60</f>
        <v>0</v>
      </c>
    </row>
    <row r="85" spans="7:11">
      <c r="G85" s="8"/>
      <c r="H85" s="8"/>
      <c r="I85" s="8" t="s">
        <v>1372</v>
      </c>
      <c r="J85" s="8" t="s">
        <v>1373</v>
      </c>
      <c r="K85" s="8" t="s">
        <v>1374</v>
      </c>
    </row>
    <row r="86" spans="7:11">
      <c r="G86" s="8" t="s">
        <v>354</v>
      </c>
      <c r="H86" s="8"/>
      <c r="I86" s="8">
        <v>30087</v>
      </c>
      <c r="J86" s="8">
        <v>30223.7</v>
      </c>
      <c r="K86" s="8">
        <v>30163</v>
      </c>
    </row>
    <row r="87" spans="7:11">
      <c r="G87" s="8" t="s">
        <v>856</v>
      </c>
      <c r="H87" s="8"/>
      <c r="I87" s="8">
        <v>88</v>
      </c>
      <c r="J87" s="8">
        <v>88</v>
      </c>
      <c r="K87" s="8">
        <v>89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35F3-866D-48C9-B860-F066EB8FA856}">
  <dimension ref="A1:V63"/>
  <sheetViews>
    <sheetView topLeftCell="A10" workbookViewId="0">
      <selection activeCell="F21" sqref="F21:F29"/>
    </sheetView>
  </sheetViews>
  <sheetFormatPr defaultRowHeight="14.5"/>
  <cols>
    <col min="1" max="1" width="20.08984375" bestFit="1" customWidth="1"/>
    <col min="2" max="2" width="16.1796875" bestFit="1" customWidth="1"/>
    <col min="3" max="3" width="15.90625" customWidth="1"/>
    <col min="5" max="5" width="9.6328125" bestFit="1" customWidth="1"/>
    <col min="6" max="6" width="11.1796875" bestFit="1" customWidth="1"/>
    <col min="7" max="7" width="13.81640625" bestFit="1" customWidth="1"/>
    <col min="9" max="9" width="19.453125" bestFit="1" customWidth="1"/>
    <col min="10" max="10" width="14.36328125" bestFit="1" customWidth="1"/>
    <col min="11" max="11" width="14.54296875" bestFit="1" customWidth="1"/>
    <col min="13" max="13" width="15.453125" bestFit="1" customWidth="1"/>
    <col min="16" max="16" width="13.36328125" customWidth="1"/>
  </cols>
  <sheetData>
    <row r="1" spans="1:16">
      <c r="A1" t="s">
        <v>811</v>
      </c>
      <c r="B1" t="s">
        <v>1302</v>
      </c>
      <c r="C1" t="s">
        <v>24</v>
      </c>
      <c r="D1" t="s">
        <v>1304</v>
      </c>
      <c r="E1" t="s">
        <v>1312</v>
      </c>
    </row>
    <row r="2" spans="1:16">
      <c r="A2" t="s">
        <v>1303</v>
      </c>
      <c r="B2" t="s">
        <v>42</v>
      </c>
      <c r="C2">
        <v>14</v>
      </c>
      <c r="D2">
        <v>1</v>
      </c>
      <c r="E2">
        <f>D2-C2</f>
        <v>-13</v>
      </c>
    </row>
    <row r="3" spans="1:16">
      <c r="B3" t="s">
        <v>43</v>
      </c>
      <c r="C3">
        <v>105</v>
      </c>
      <c r="D3" s="167">
        <f>E9+E14</f>
        <v>31</v>
      </c>
      <c r="E3">
        <f t="shared" ref="E3:E5" si="0">D3-C3</f>
        <v>-74</v>
      </c>
    </row>
    <row r="4" spans="1:16">
      <c r="B4" t="s">
        <v>44</v>
      </c>
      <c r="C4">
        <v>12</v>
      </c>
      <c r="D4">
        <v>1</v>
      </c>
      <c r="E4">
        <f t="shared" si="0"/>
        <v>-11</v>
      </c>
    </row>
    <row r="5" spans="1:16">
      <c r="B5" t="s">
        <v>45</v>
      </c>
      <c r="C5">
        <v>86</v>
      </c>
      <c r="D5">
        <f>E12+E16</f>
        <v>61</v>
      </c>
      <c r="E5">
        <f t="shared" si="0"/>
        <v>-25</v>
      </c>
    </row>
    <row r="6" spans="1:16">
      <c r="A6" t="s">
        <v>487</v>
      </c>
      <c r="C6">
        <f>SUM(C2:C5)</f>
        <v>217</v>
      </c>
      <c r="D6">
        <f>SUM(D2:D5)</f>
        <v>94</v>
      </c>
    </row>
    <row r="7" spans="1:16">
      <c r="N7" s="1746" t="s">
        <v>1274</v>
      </c>
      <c r="O7" s="1746"/>
      <c r="P7" s="1746"/>
    </row>
    <row r="8" spans="1:16" ht="15.5">
      <c r="A8" s="1018" t="s">
        <v>1306</v>
      </c>
      <c r="B8" s="1015" t="s">
        <v>80</v>
      </c>
      <c r="C8" s="1015" t="s">
        <v>1307</v>
      </c>
      <c r="D8" s="1015" t="s">
        <v>81</v>
      </c>
      <c r="E8" s="1019" t="s">
        <v>33</v>
      </c>
      <c r="F8" s="1019" t="s">
        <v>82</v>
      </c>
      <c r="G8" s="1019" t="s">
        <v>35</v>
      </c>
      <c r="H8" s="1019"/>
      <c r="I8" s="1019" t="s">
        <v>4</v>
      </c>
      <c r="J8" s="1019" t="s">
        <v>902</v>
      </c>
      <c r="K8" s="1016" t="s">
        <v>679</v>
      </c>
      <c r="L8" s="1019" t="s">
        <v>1371</v>
      </c>
      <c r="M8" s="1019" t="s">
        <v>406</v>
      </c>
      <c r="N8" s="1248" t="s">
        <v>33</v>
      </c>
      <c r="O8" s="1248" t="s">
        <v>82</v>
      </c>
      <c r="P8" s="1248" t="s">
        <v>35</v>
      </c>
    </row>
    <row r="9" spans="1:16" s="1026" customFormat="1">
      <c r="A9" s="1181">
        <v>46209</v>
      </c>
      <c r="B9" s="1020" t="s">
        <v>1311</v>
      </c>
      <c r="C9" s="1183" t="s">
        <v>1394</v>
      </c>
      <c r="D9" s="1021" t="s">
        <v>43</v>
      </c>
      <c r="E9" s="1022">
        <v>19</v>
      </c>
      <c r="F9" s="1023">
        <v>18</v>
      </c>
      <c r="G9" s="1024">
        <v>1162</v>
      </c>
      <c r="H9" s="1022"/>
      <c r="I9" s="1025" t="s">
        <v>54</v>
      </c>
      <c r="J9" s="1026" t="s">
        <v>354</v>
      </c>
      <c r="K9" s="1026" t="s">
        <v>697</v>
      </c>
      <c r="L9" s="372">
        <v>70630</v>
      </c>
      <c r="M9" s="372">
        <v>1162.9000000000001</v>
      </c>
      <c r="N9" s="1027"/>
      <c r="O9" s="1027"/>
      <c r="P9" s="1027"/>
    </row>
    <row r="10" spans="1:16" s="1180" customFormat="1" ht="12">
      <c r="A10" s="1176">
        <v>46216</v>
      </c>
      <c r="B10" s="1179" t="s">
        <v>1311</v>
      </c>
      <c r="C10" s="1183" t="s">
        <v>1394</v>
      </c>
      <c r="D10" s="1179" t="s">
        <v>42</v>
      </c>
      <c r="E10" s="1179">
        <v>1</v>
      </c>
      <c r="F10" s="1177">
        <v>66</v>
      </c>
      <c r="G10" s="1177">
        <v>126</v>
      </c>
      <c r="H10" s="1018"/>
      <c r="I10" s="1018" t="s">
        <v>54</v>
      </c>
      <c r="J10" s="1018" t="s">
        <v>354</v>
      </c>
      <c r="K10" s="1018" t="s">
        <v>434</v>
      </c>
      <c r="L10" s="1198">
        <v>70647</v>
      </c>
      <c r="M10" s="1198">
        <v>126.1</v>
      </c>
      <c r="N10" s="1018"/>
      <c r="O10" s="1018"/>
      <c r="P10" s="1018"/>
    </row>
    <row r="11" spans="1:16" s="1180" customFormat="1" ht="12">
      <c r="A11" s="1176">
        <v>46216</v>
      </c>
      <c r="B11" s="1179" t="s">
        <v>1311</v>
      </c>
      <c r="C11" s="1183" t="s">
        <v>1394</v>
      </c>
      <c r="D11" s="1179" t="s">
        <v>44</v>
      </c>
      <c r="E11" s="1179">
        <v>1</v>
      </c>
      <c r="F11" s="1177">
        <v>19</v>
      </c>
      <c r="G11" s="1177">
        <v>79</v>
      </c>
      <c r="H11" s="1018"/>
      <c r="I11" s="1018" t="s">
        <v>54</v>
      </c>
      <c r="J11" s="1018" t="s">
        <v>354</v>
      </c>
      <c r="K11" s="1018" t="s">
        <v>697</v>
      </c>
      <c r="L11" s="1198">
        <v>70652</v>
      </c>
      <c r="M11" s="1198">
        <v>79.3</v>
      </c>
      <c r="N11" s="1018"/>
      <c r="O11" s="1018"/>
      <c r="P11" s="1018"/>
    </row>
    <row r="12" spans="1:16" s="1180" customFormat="1" ht="12">
      <c r="A12" s="1176">
        <v>46216</v>
      </c>
      <c r="B12" s="1179" t="s">
        <v>1311</v>
      </c>
      <c r="C12" s="1183" t="s">
        <v>1394</v>
      </c>
      <c r="D12" s="1179" t="s">
        <v>45</v>
      </c>
      <c r="E12" s="1179">
        <v>30</v>
      </c>
      <c r="F12" s="1177">
        <v>12</v>
      </c>
      <c r="G12" s="1177">
        <v>1819</v>
      </c>
      <c r="H12" s="1018"/>
      <c r="I12" s="1018" t="s">
        <v>57</v>
      </c>
      <c r="J12" s="1018" t="s">
        <v>354</v>
      </c>
      <c r="K12" s="1018" t="s">
        <v>427</v>
      </c>
      <c r="L12" s="1198">
        <v>70650</v>
      </c>
      <c r="M12" s="1198">
        <v>1819.2</v>
      </c>
      <c r="N12" s="1018"/>
      <c r="O12" s="1018"/>
      <c r="P12" s="1018"/>
    </row>
    <row r="13" spans="1:16" s="1180" customFormat="1" ht="12">
      <c r="A13" s="1176">
        <v>46216</v>
      </c>
      <c r="B13" s="1179" t="s">
        <v>1391</v>
      </c>
      <c r="C13" s="1183" t="s">
        <v>1394</v>
      </c>
      <c r="D13" s="1179" t="s">
        <v>42</v>
      </c>
      <c r="E13" s="1179">
        <v>0</v>
      </c>
      <c r="F13" s="1177">
        <v>25</v>
      </c>
      <c r="G13" s="1177">
        <v>25</v>
      </c>
      <c r="H13" s="1018"/>
      <c r="I13" s="1018" t="s">
        <v>54</v>
      </c>
      <c r="J13" s="1018" t="s">
        <v>354</v>
      </c>
      <c r="K13" s="1018" t="s">
        <v>434</v>
      </c>
      <c r="L13" s="1198">
        <v>70648</v>
      </c>
      <c r="M13" s="1198">
        <v>25</v>
      </c>
      <c r="N13" s="1018"/>
      <c r="O13" s="1018"/>
      <c r="P13" s="1018"/>
    </row>
    <row r="14" spans="1:16" s="1180" customFormat="1" ht="12">
      <c r="A14" s="1176">
        <v>46216</v>
      </c>
      <c r="B14" s="1179" t="s">
        <v>1391</v>
      </c>
      <c r="C14" s="1183" t="s">
        <v>1394</v>
      </c>
      <c r="D14" s="1179" t="s">
        <v>43</v>
      </c>
      <c r="E14" s="1179">
        <v>12</v>
      </c>
      <c r="F14" s="1177">
        <v>46</v>
      </c>
      <c r="G14" s="1177">
        <v>767</v>
      </c>
      <c r="H14" s="1018"/>
      <c r="I14" s="1018" t="s">
        <v>54</v>
      </c>
      <c r="J14" s="1018" t="s">
        <v>354</v>
      </c>
      <c r="K14" s="1018" t="s">
        <v>697</v>
      </c>
      <c r="L14" s="1198">
        <v>70649</v>
      </c>
      <c r="M14" s="1198">
        <v>767.2</v>
      </c>
      <c r="N14" s="1018"/>
      <c r="O14" s="1018"/>
      <c r="P14" s="1018"/>
    </row>
    <row r="15" spans="1:16" s="1180" customFormat="1" ht="12">
      <c r="A15" s="1176">
        <v>46216</v>
      </c>
      <c r="B15" s="1179" t="s">
        <v>1391</v>
      </c>
      <c r="C15" s="1183" t="s">
        <v>1394</v>
      </c>
      <c r="D15" s="1179" t="s">
        <v>44</v>
      </c>
      <c r="E15" s="1179">
        <v>0</v>
      </c>
      <c r="F15" s="1177">
        <v>37</v>
      </c>
      <c r="G15" s="1177">
        <v>37</v>
      </c>
      <c r="H15" s="1018"/>
      <c r="I15" s="1018" t="s">
        <v>54</v>
      </c>
      <c r="J15" s="1018" t="s">
        <v>354</v>
      </c>
      <c r="K15" s="1018" t="s">
        <v>697</v>
      </c>
      <c r="L15" s="1198">
        <v>70653</v>
      </c>
      <c r="M15" s="1198">
        <v>37</v>
      </c>
      <c r="N15" s="1018"/>
      <c r="O15" s="1018"/>
      <c r="P15" s="1018"/>
    </row>
    <row r="16" spans="1:16" s="1180" customFormat="1" ht="12">
      <c r="A16" s="1176">
        <v>46216</v>
      </c>
      <c r="B16" s="1179" t="s">
        <v>1391</v>
      </c>
      <c r="C16" s="1183" t="s">
        <v>1394</v>
      </c>
      <c r="D16" s="1179" t="s">
        <v>45</v>
      </c>
      <c r="E16" s="1179">
        <v>31</v>
      </c>
      <c r="F16" s="1177">
        <v>28</v>
      </c>
      <c r="G16" s="1177">
        <v>1890</v>
      </c>
      <c r="H16" s="1018"/>
      <c r="I16" s="1018" t="s">
        <v>54</v>
      </c>
      <c r="J16" s="1018" t="s">
        <v>354</v>
      </c>
      <c r="K16" s="1018" t="s">
        <v>435</v>
      </c>
      <c r="L16" s="1198">
        <v>70651</v>
      </c>
      <c r="M16" s="1198">
        <v>1890.3</v>
      </c>
      <c r="N16" s="1018"/>
      <c r="O16" s="1018"/>
      <c r="P16" s="1018"/>
    </row>
    <row r="17" spans="1:13">
      <c r="E17" s="30">
        <f>G17/60</f>
        <v>98.416666666666671</v>
      </c>
      <c r="G17" s="167">
        <f>SUM(G9:G16)</f>
        <v>5905</v>
      </c>
      <c r="H17" t="s">
        <v>1375</v>
      </c>
      <c r="M17">
        <f>SUM(M9:M16)</f>
        <v>5907</v>
      </c>
    </row>
    <row r="18" spans="1:13">
      <c r="H18">
        <v>350</v>
      </c>
      <c r="M18">
        <f>M17/60</f>
        <v>98.45</v>
      </c>
    </row>
    <row r="20" spans="1:13">
      <c r="A20" s="1385" t="s">
        <v>709</v>
      </c>
      <c r="B20" s="1386" t="s">
        <v>710</v>
      </c>
      <c r="C20" s="1386" t="s">
        <v>23</v>
      </c>
      <c r="D20" s="1386" t="s">
        <v>24</v>
      </c>
      <c r="E20" s="1386" t="s">
        <v>1573</v>
      </c>
      <c r="F20" s="1387" t="s">
        <v>112</v>
      </c>
      <c r="G20" s="1388" t="s">
        <v>405</v>
      </c>
    </row>
    <row r="21" spans="1:13">
      <c r="A21" s="1389" t="s">
        <v>1574</v>
      </c>
      <c r="B21" s="1390" t="s">
        <v>1311</v>
      </c>
      <c r="C21" s="1390" t="s">
        <v>42</v>
      </c>
      <c r="D21" s="1390">
        <f t="shared" ref="D21:D28" si="1">TRUNC(F21/60)</f>
        <v>2</v>
      </c>
      <c r="E21" s="1390">
        <f t="shared" ref="E21:E28" si="2">TRUNC(F21-(D21*60))</f>
        <v>6</v>
      </c>
      <c r="F21" s="1391">
        <v>126.1</v>
      </c>
      <c r="G21" s="1392">
        <v>70647</v>
      </c>
    </row>
    <row r="22" spans="1:13">
      <c r="A22" s="1389" t="s">
        <v>1574</v>
      </c>
      <c r="B22" s="1390" t="s">
        <v>1391</v>
      </c>
      <c r="C22" s="1390" t="s">
        <v>42</v>
      </c>
      <c r="D22" s="1390">
        <f t="shared" si="1"/>
        <v>0</v>
      </c>
      <c r="E22" s="1390">
        <f t="shared" si="2"/>
        <v>25</v>
      </c>
      <c r="F22" s="1391">
        <v>25</v>
      </c>
      <c r="G22" s="1392">
        <v>70648</v>
      </c>
    </row>
    <row r="23" spans="1:13">
      <c r="A23" s="1389" t="s">
        <v>1574</v>
      </c>
      <c r="B23" s="1390" t="s">
        <v>1311</v>
      </c>
      <c r="C23" s="1390" t="s">
        <v>43</v>
      </c>
      <c r="D23" s="1390">
        <f t="shared" si="1"/>
        <v>19</v>
      </c>
      <c r="E23" s="1390">
        <f t="shared" si="2"/>
        <v>22</v>
      </c>
      <c r="F23" s="1391">
        <v>1162.9000000000001</v>
      </c>
      <c r="G23" s="1392">
        <v>70630</v>
      </c>
    </row>
    <row r="24" spans="1:13">
      <c r="A24" s="1389" t="s">
        <v>1574</v>
      </c>
      <c r="B24" s="1390" t="s">
        <v>1391</v>
      </c>
      <c r="C24" s="1390" t="s">
        <v>43</v>
      </c>
      <c r="D24" s="1390">
        <f t="shared" si="1"/>
        <v>12</v>
      </c>
      <c r="E24" s="1390">
        <f t="shared" si="2"/>
        <v>47</v>
      </c>
      <c r="F24" s="1391">
        <v>767.2</v>
      </c>
      <c r="G24" s="1392">
        <v>70649</v>
      </c>
    </row>
    <row r="25" spans="1:13">
      <c r="A25" s="1389" t="s">
        <v>1574</v>
      </c>
      <c r="B25" s="1390" t="s">
        <v>1311</v>
      </c>
      <c r="C25" s="1390" t="s">
        <v>45</v>
      </c>
      <c r="D25" s="1390">
        <f t="shared" si="1"/>
        <v>30</v>
      </c>
      <c r="E25" s="1390">
        <f t="shared" si="2"/>
        <v>19</v>
      </c>
      <c r="F25" s="1391">
        <v>1819.2</v>
      </c>
      <c r="G25" s="1392">
        <v>70650</v>
      </c>
    </row>
    <row r="26" spans="1:13">
      <c r="A26" s="1389" t="s">
        <v>1574</v>
      </c>
      <c r="B26" s="1390" t="s">
        <v>1391</v>
      </c>
      <c r="C26" s="1390" t="s">
        <v>45</v>
      </c>
      <c r="D26" s="1390">
        <f t="shared" si="1"/>
        <v>31</v>
      </c>
      <c r="E26" s="1390">
        <f t="shared" si="2"/>
        <v>30</v>
      </c>
      <c r="F26" s="1391">
        <v>1890.3</v>
      </c>
      <c r="G26" s="1392">
        <v>70651</v>
      </c>
    </row>
    <row r="27" spans="1:13">
      <c r="A27" s="1389" t="s">
        <v>1574</v>
      </c>
      <c r="B27" s="1390" t="s">
        <v>1311</v>
      </c>
      <c r="C27" s="1390" t="s">
        <v>44</v>
      </c>
      <c r="D27" s="1390">
        <f t="shared" si="1"/>
        <v>1</v>
      </c>
      <c r="E27" s="1390">
        <f t="shared" si="2"/>
        <v>19</v>
      </c>
      <c r="F27" s="1391">
        <v>79.3</v>
      </c>
      <c r="G27" s="1392">
        <v>70652</v>
      </c>
    </row>
    <row r="28" spans="1:13">
      <c r="A28" s="1393" t="s">
        <v>1574</v>
      </c>
      <c r="B28" s="1394" t="s">
        <v>1391</v>
      </c>
      <c r="C28" s="1394" t="s">
        <v>44</v>
      </c>
      <c r="D28" s="1394">
        <f t="shared" si="1"/>
        <v>0</v>
      </c>
      <c r="E28" s="1394">
        <f t="shared" si="2"/>
        <v>37</v>
      </c>
      <c r="F28" s="1395">
        <v>37</v>
      </c>
      <c r="G28" s="1396">
        <v>70653</v>
      </c>
    </row>
    <row r="29" spans="1:13">
      <c r="F29" s="167">
        <f>SUM(F21:F28)</f>
        <v>5907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mergeCells count="1">
    <mergeCell ref="N7:P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8DA9-9034-429A-A2B0-76617C414A23}">
  <dimension ref="A1:AH73"/>
  <sheetViews>
    <sheetView topLeftCell="F1" zoomScale="70" zoomScaleNormal="70" workbookViewId="0">
      <selection activeCell="AB16" sqref="AB16"/>
    </sheetView>
  </sheetViews>
  <sheetFormatPr defaultRowHeight="14.5"/>
  <cols>
    <col min="1" max="1" width="12" customWidth="1"/>
    <col min="2" max="2" width="19.54296875" style="16" customWidth="1"/>
    <col min="3" max="3" width="28.08984375" customWidth="1"/>
    <col min="8" max="8" width="14.6328125" customWidth="1"/>
    <col min="9" max="9" width="12.81640625" customWidth="1"/>
    <col min="10" max="10" width="14.6328125" customWidth="1"/>
    <col min="11" max="11" width="25.1796875" customWidth="1"/>
    <col min="12" max="12" width="14.6328125" customWidth="1"/>
    <col min="15" max="15" width="12.54296875" customWidth="1"/>
    <col min="16" max="16" width="19.453125" bestFit="1" customWidth="1"/>
    <col min="17" max="17" width="18.54296875" bestFit="1" customWidth="1"/>
    <col min="18" max="18" width="18.54296875" customWidth="1"/>
    <col min="19" max="19" width="9.453125" customWidth="1"/>
    <col min="20" max="20" width="11.08984375" customWidth="1"/>
    <col min="21" max="21" width="10.90625" customWidth="1"/>
    <col min="22" max="22" width="13.6328125" hidden="1" customWidth="1"/>
    <col min="23" max="25" width="0" hidden="1" customWidth="1"/>
    <col min="26" max="26" width="13.36328125" hidden="1" customWidth="1"/>
    <col min="28" max="28" width="12.08984375" bestFit="1" customWidth="1"/>
  </cols>
  <sheetData>
    <row r="1" spans="1:26">
      <c r="A1" t="s">
        <v>1428</v>
      </c>
      <c r="S1" s="1747" t="s">
        <v>1426</v>
      </c>
      <c r="T1" s="1747"/>
      <c r="U1" s="1747"/>
    </row>
    <row r="2" spans="1:26" ht="16.5" thickBot="1">
      <c r="A2" s="1270" t="s">
        <v>20</v>
      </c>
      <c r="B2" s="1273" t="s">
        <v>22</v>
      </c>
      <c r="C2" s="1275" t="s">
        <v>344</v>
      </c>
      <c r="D2" s="1277" t="s">
        <v>23</v>
      </c>
      <c r="E2" s="1275" t="s">
        <v>24</v>
      </c>
      <c r="F2" s="1280" t="s">
        <v>111</v>
      </c>
      <c r="G2" s="1138" t="s">
        <v>345</v>
      </c>
      <c r="H2" s="1173" t="s">
        <v>346</v>
      </c>
      <c r="I2" s="1173" t="s">
        <v>1212</v>
      </c>
      <c r="J2" s="1173" t="s">
        <v>1390</v>
      </c>
      <c r="K2" s="1173" t="s">
        <v>1055</v>
      </c>
      <c r="L2" s="1173" t="s">
        <v>26</v>
      </c>
      <c r="M2" s="1173" t="s">
        <v>142</v>
      </c>
      <c r="N2" s="1173" t="s">
        <v>396</v>
      </c>
      <c r="O2" s="2" t="s">
        <v>674</v>
      </c>
      <c r="P2" s="2" t="s">
        <v>1371</v>
      </c>
      <c r="Q2" s="2" t="s">
        <v>406</v>
      </c>
      <c r="R2" s="2"/>
      <c r="S2" s="14" t="s">
        <v>24</v>
      </c>
      <c r="T2" s="14" t="s">
        <v>161</v>
      </c>
      <c r="U2" s="14" t="s">
        <v>1153</v>
      </c>
    </row>
    <row r="3" spans="1:26" ht="15" thickTop="1">
      <c r="A3" s="1145">
        <v>46218</v>
      </c>
      <c r="B3" s="1272" t="s">
        <v>1376</v>
      </c>
      <c r="C3" s="1274" t="s">
        <v>262</v>
      </c>
      <c r="D3" s="1276" t="s">
        <v>42</v>
      </c>
      <c r="E3" s="1147">
        <v>3</v>
      </c>
      <c r="F3" s="1149">
        <v>14</v>
      </c>
      <c r="G3" s="1156">
        <v>194</v>
      </c>
      <c r="H3" s="1174">
        <f t="shared" ref="H3:H49" si="0">+G3/60</f>
        <v>3.2333333333333334</v>
      </c>
      <c r="I3" s="1174"/>
      <c r="J3" s="1174" t="s">
        <v>354</v>
      </c>
      <c r="K3" s="1174" t="s">
        <v>434</v>
      </c>
      <c r="L3" s="1175" t="s">
        <v>54</v>
      </c>
      <c r="M3" s="1175">
        <v>430</v>
      </c>
      <c r="N3" s="1175"/>
      <c r="O3" s="14" t="s">
        <v>621</v>
      </c>
      <c r="P3" s="343">
        <v>70682</v>
      </c>
      <c r="Q3" s="343">
        <v>194.9</v>
      </c>
      <c r="R3" s="343" t="s">
        <v>1503</v>
      </c>
      <c r="S3" s="14"/>
      <c r="T3" s="14"/>
      <c r="U3" s="14">
        <f>IFERROR(VLOOKUP(R3,[3]FAQ!$AL:$AN,3,FALSE),"0")</f>
        <v>195.4</v>
      </c>
      <c r="V3" t="str">
        <f t="shared" ref="V3:V34" si="1">CONCATENATE(B3,D3)</f>
        <v>41IM0048AA</v>
      </c>
      <c r="W3">
        <f t="shared" ref="W3:W34" si="2">M3</f>
        <v>430</v>
      </c>
      <c r="X3">
        <f>IFERROR(VLOOKUP(V3,'[4]CONFIRMED LIST'!$L:$M,2,FALSE),"0")</f>
        <v>430</v>
      </c>
      <c r="Y3" t="b">
        <f t="shared" ref="Y3:Y34" si="3">X3=M3</f>
        <v>1</v>
      </c>
      <c r="Z3">
        <f t="shared" ref="Z3:Z34" si="4">Q3</f>
        <v>194.9</v>
      </c>
    </row>
    <row r="4" spans="1:26">
      <c r="A4" s="1140">
        <v>46218</v>
      </c>
      <c r="B4" s="1141" t="s">
        <v>1376</v>
      </c>
      <c r="C4" s="1142" t="s">
        <v>262</v>
      </c>
      <c r="D4" s="1143" t="s">
        <v>43</v>
      </c>
      <c r="E4" s="1144">
        <v>43</v>
      </c>
      <c r="F4" s="1144">
        <v>13</v>
      </c>
      <c r="G4" s="1169">
        <v>2609</v>
      </c>
      <c r="H4" s="1174">
        <f t="shared" si="0"/>
        <v>43.483333333333334</v>
      </c>
      <c r="I4" s="1174"/>
      <c r="J4" s="1174" t="s">
        <v>354</v>
      </c>
      <c r="K4" s="1174" t="s">
        <v>697</v>
      </c>
      <c r="L4" s="1175" t="s">
        <v>54</v>
      </c>
      <c r="M4" s="1175">
        <v>417</v>
      </c>
      <c r="N4" s="1175"/>
      <c r="O4" s="14" t="s">
        <v>621</v>
      </c>
      <c r="P4" s="343">
        <v>70683</v>
      </c>
      <c r="Q4" s="343">
        <v>2609.5</v>
      </c>
      <c r="R4" s="343" t="s">
        <v>1504</v>
      </c>
      <c r="S4" s="14"/>
      <c r="T4" s="14"/>
      <c r="U4" s="14">
        <f>IFERROR(VLOOKUP(R4,[3]FAQ!$AL:$AN,3,FALSE),"0")</f>
        <v>2606.4</v>
      </c>
      <c r="V4" t="str">
        <f t="shared" si="1"/>
        <v>41IM0048AB</v>
      </c>
      <c r="W4">
        <f t="shared" si="2"/>
        <v>417</v>
      </c>
      <c r="X4">
        <f>IFERROR(VLOOKUP(V4,'[4]CONFIRMED LIST'!$L:$M,2,FALSE),"0")</f>
        <v>417</v>
      </c>
      <c r="Y4" t="b">
        <f t="shared" si="3"/>
        <v>1</v>
      </c>
      <c r="Z4">
        <f t="shared" si="4"/>
        <v>2609.5</v>
      </c>
    </row>
    <row r="5" spans="1:26">
      <c r="A5" s="1145">
        <v>46218</v>
      </c>
      <c r="B5" s="1146" t="s">
        <v>1376</v>
      </c>
      <c r="C5" s="1147" t="s">
        <v>262</v>
      </c>
      <c r="D5" s="1148" t="s">
        <v>45</v>
      </c>
      <c r="E5" s="1148">
        <v>57</v>
      </c>
      <c r="F5" s="1149">
        <v>32</v>
      </c>
      <c r="G5" s="1156">
        <v>3471</v>
      </c>
      <c r="H5" s="1174">
        <f t="shared" si="0"/>
        <v>57.85</v>
      </c>
      <c r="I5" s="1174"/>
      <c r="J5" s="1174" t="s">
        <v>354</v>
      </c>
      <c r="K5" s="1174" t="s">
        <v>435</v>
      </c>
      <c r="L5" s="1175" t="s">
        <v>54</v>
      </c>
      <c r="M5" s="1175">
        <v>368</v>
      </c>
      <c r="N5" s="1175"/>
      <c r="O5" s="14" t="s">
        <v>621</v>
      </c>
      <c r="P5" s="343">
        <v>70684</v>
      </c>
      <c r="Q5" s="343">
        <v>3472.3</v>
      </c>
      <c r="R5" s="343" t="s">
        <v>1505</v>
      </c>
      <c r="S5" s="14"/>
      <c r="T5" s="14"/>
      <c r="U5" s="14">
        <f>IFERROR(VLOOKUP(R5,[3]FAQ!$AL:$AN,3,FALSE),"0")</f>
        <v>3476.8</v>
      </c>
      <c r="V5" t="str">
        <f t="shared" si="1"/>
        <v>41IM0048C</v>
      </c>
      <c r="W5">
        <f t="shared" si="2"/>
        <v>368</v>
      </c>
      <c r="X5">
        <f>IFERROR(VLOOKUP(V5,'[4]CONFIRMED LIST'!$L:$M,2,FALSE),"0")</f>
        <v>368</v>
      </c>
      <c r="Y5" t="b">
        <f t="shared" si="3"/>
        <v>1</v>
      </c>
      <c r="Z5">
        <f t="shared" si="4"/>
        <v>3472.3</v>
      </c>
    </row>
    <row r="6" spans="1:26">
      <c r="A6" s="1145">
        <v>46218</v>
      </c>
      <c r="B6" s="1146" t="s">
        <v>1376</v>
      </c>
      <c r="C6" s="1147" t="s">
        <v>262</v>
      </c>
      <c r="D6" s="1148" t="s">
        <v>44</v>
      </c>
      <c r="E6" s="1148">
        <v>5</v>
      </c>
      <c r="F6" s="1149">
        <v>13</v>
      </c>
      <c r="G6" s="1156">
        <v>313</v>
      </c>
      <c r="H6" s="1174">
        <f t="shared" si="0"/>
        <v>5.2166666666666668</v>
      </c>
      <c r="I6" s="1174"/>
      <c r="J6" s="1174" t="s">
        <v>354</v>
      </c>
      <c r="K6" s="1174" t="s">
        <v>697</v>
      </c>
      <c r="L6" s="1175" t="s">
        <v>54</v>
      </c>
      <c r="M6" s="1175">
        <v>400</v>
      </c>
      <c r="N6" s="1175"/>
      <c r="O6" s="14" t="s">
        <v>621</v>
      </c>
      <c r="P6" s="343">
        <v>70685</v>
      </c>
      <c r="Q6" s="343">
        <v>313.89999999999998</v>
      </c>
      <c r="R6" s="343" t="s">
        <v>1506</v>
      </c>
      <c r="S6" s="14"/>
      <c r="T6" s="14"/>
      <c r="U6" s="14">
        <f>IFERROR(VLOOKUP(R6,[3]FAQ!$AL:$AN,3,FALSE),"0")</f>
        <v>314.60000000000002</v>
      </c>
      <c r="V6" t="str">
        <f t="shared" si="1"/>
        <v>41IM0048PB</v>
      </c>
      <c r="W6">
        <f t="shared" si="2"/>
        <v>400</v>
      </c>
      <c r="X6">
        <f>IFERROR(VLOOKUP(V6,'[4]CONFIRMED LIST'!$L:$M,2,FALSE),"0")</f>
        <v>400</v>
      </c>
      <c r="Y6" t="b">
        <f t="shared" si="3"/>
        <v>1</v>
      </c>
      <c r="Z6">
        <f t="shared" si="4"/>
        <v>313.89999999999998</v>
      </c>
    </row>
    <row r="7" spans="1:26">
      <c r="A7" s="1140">
        <v>46218</v>
      </c>
      <c r="B7" s="1141" t="s">
        <v>1377</v>
      </c>
      <c r="C7" s="1150" t="s">
        <v>312</v>
      </c>
      <c r="D7" s="1151" t="s">
        <v>42</v>
      </c>
      <c r="E7" s="1151">
        <v>5</v>
      </c>
      <c r="F7" s="1152">
        <v>24</v>
      </c>
      <c r="G7" s="1157">
        <v>324</v>
      </c>
      <c r="H7" s="1174">
        <f t="shared" si="0"/>
        <v>5.4</v>
      </c>
      <c r="I7" s="1174"/>
      <c r="J7" s="1174" t="s">
        <v>354</v>
      </c>
      <c r="K7" s="1174" t="s">
        <v>434</v>
      </c>
      <c r="L7" s="1175" t="s">
        <v>45</v>
      </c>
      <c r="M7" s="1175">
        <v>430</v>
      </c>
      <c r="N7" s="1175"/>
      <c r="O7" s="14" t="s">
        <v>621</v>
      </c>
      <c r="P7" s="343">
        <v>70673</v>
      </c>
      <c r="Q7" s="343">
        <v>324.7</v>
      </c>
      <c r="R7" s="343" t="s">
        <v>1507</v>
      </c>
      <c r="S7" s="14"/>
      <c r="T7" s="14"/>
      <c r="U7" s="14">
        <f>IFERROR(VLOOKUP(R7,[3]FAQ!$AL:$AN,3,FALSE),"0")</f>
        <v>324.60000000000002</v>
      </c>
      <c r="V7" t="str">
        <f t="shared" si="1"/>
        <v>41IM0050AA</v>
      </c>
      <c r="W7">
        <f t="shared" si="2"/>
        <v>430</v>
      </c>
      <c r="X7">
        <f>IFERROR(VLOOKUP(V7,'[4]CONFIRMED LIST'!$L:$M,2,FALSE),"0")</f>
        <v>430</v>
      </c>
      <c r="Y7" t="b">
        <f t="shared" si="3"/>
        <v>1</v>
      </c>
      <c r="Z7">
        <f t="shared" si="4"/>
        <v>324.7</v>
      </c>
    </row>
    <row r="8" spans="1:26">
      <c r="A8" s="1145">
        <v>46218</v>
      </c>
      <c r="B8" s="1146" t="s">
        <v>1377</v>
      </c>
      <c r="C8" s="1147" t="s">
        <v>312</v>
      </c>
      <c r="D8" s="1148" t="s">
        <v>43</v>
      </c>
      <c r="E8" s="1148">
        <v>50</v>
      </c>
      <c r="F8" s="1149">
        <v>18</v>
      </c>
      <c r="G8" s="1156">
        <v>3026</v>
      </c>
      <c r="H8" s="1174">
        <f t="shared" si="0"/>
        <v>50.43333333333333</v>
      </c>
      <c r="I8" s="1174"/>
      <c r="J8" s="1174" t="s">
        <v>354</v>
      </c>
      <c r="K8" s="1174" t="s">
        <v>697</v>
      </c>
      <c r="L8" s="1175" t="s">
        <v>45</v>
      </c>
      <c r="M8" s="1175">
        <v>417</v>
      </c>
      <c r="N8" s="1175"/>
      <c r="O8" s="14" t="s">
        <v>621</v>
      </c>
      <c r="P8" s="1212">
        <v>70674</v>
      </c>
      <c r="Q8" s="1212">
        <v>3026.4</v>
      </c>
      <c r="R8" s="343" t="s">
        <v>1508</v>
      </c>
      <c r="S8" s="14"/>
      <c r="T8" s="14"/>
      <c r="U8" s="14">
        <f>IFERROR(VLOOKUP(R8,[3]FAQ!$AL:$AN,3,FALSE),"0")</f>
        <v>3026.1</v>
      </c>
      <c r="V8" t="str">
        <f t="shared" si="1"/>
        <v>41IM0050AB</v>
      </c>
      <c r="W8">
        <f t="shared" si="2"/>
        <v>417</v>
      </c>
      <c r="X8">
        <f>IFERROR(VLOOKUP(V8,'[4]CONFIRMED LIST'!$L:$M,2,FALSE),"0")</f>
        <v>417</v>
      </c>
      <c r="Y8" t="b">
        <f t="shared" si="3"/>
        <v>1</v>
      </c>
      <c r="Z8">
        <f t="shared" si="4"/>
        <v>3026.4</v>
      </c>
    </row>
    <row r="9" spans="1:26">
      <c r="A9" s="1140">
        <v>46218</v>
      </c>
      <c r="B9" s="1141" t="s">
        <v>1377</v>
      </c>
      <c r="C9" s="1150" t="s">
        <v>312</v>
      </c>
      <c r="D9" s="1151" t="s">
        <v>44</v>
      </c>
      <c r="E9" s="1151">
        <v>4</v>
      </c>
      <c r="F9" s="1152">
        <v>24</v>
      </c>
      <c r="G9" s="1157">
        <v>264</v>
      </c>
      <c r="H9" s="1174">
        <f t="shared" si="0"/>
        <v>4.4000000000000004</v>
      </c>
      <c r="I9" s="1174"/>
      <c r="J9" s="1174" t="s">
        <v>354</v>
      </c>
      <c r="K9" s="1174" t="s">
        <v>697</v>
      </c>
      <c r="L9" s="1175" t="s">
        <v>45</v>
      </c>
      <c r="M9" s="1175">
        <v>400</v>
      </c>
      <c r="N9" s="1175"/>
      <c r="O9" s="14" t="s">
        <v>621</v>
      </c>
      <c r="P9" s="343">
        <v>70675</v>
      </c>
      <c r="Q9" s="343">
        <v>264.60000000000002</v>
      </c>
      <c r="R9" s="343" t="s">
        <v>1509</v>
      </c>
      <c r="S9" s="14"/>
      <c r="T9" s="14"/>
      <c r="U9" s="14">
        <f>IFERROR(VLOOKUP(R9,[3]FAQ!$AL:$AN,3,FALSE),"0")</f>
        <v>268.5</v>
      </c>
      <c r="V9" t="str">
        <f t="shared" si="1"/>
        <v>41IM0050PB</v>
      </c>
      <c r="W9">
        <f t="shared" si="2"/>
        <v>400</v>
      </c>
      <c r="X9">
        <f>IFERROR(VLOOKUP(V9,'[4]CONFIRMED LIST'!$L:$M,2,FALSE),"0")</f>
        <v>400</v>
      </c>
      <c r="Y9" t="b">
        <f t="shared" si="3"/>
        <v>1</v>
      </c>
      <c r="Z9">
        <f t="shared" si="4"/>
        <v>264.60000000000002</v>
      </c>
    </row>
    <row r="10" spans="1:26">
      <c r="A10" s="1145">
        <v>46218</v>
      </c>
      <c r="B10" s="1146" t="s">
        <v>1378</v>
      </c>
      <c r="C10" s="1147" t="s">
        <v>303</v>
      </c>
      <c r="D10" s="1148" t="s">
        <v>42</v>
      </c>
      <c r="E10" s="1148">
        <v>7</v>
      </c>
      <c r="F10" s="1149">
        <v>61</v>
      </c>
      <c r="G10" s="1156">
        <v>479</v>
      </c>
      <c r="H10" s="1174">
        <f t="shared" si="0"/>
        <v>7.9833333333333334</v>
      </c>
      <c r="I10" s="1174"/>
      <c r="J10" s="1174" t="s">
        <v>354</v>
      </c>
      <c r="K10" s="1174" t="s">
        <v>434</v>
      </c>
      <c r="L10" s="1175" t="s">
        <v>54</v>
      </c>
      <c r="M10" s="1175">
        <v>430</v>
      </c>
      <c r="N10" s="1175"/>
      <c r="O10" s="14" t="s">
        <v>621</v>
      </c>
      <c r="P10" s="343">
        <v>70658</v>
      </c>
      <c r="Q10" s="343">
        <v>479.7</v>
      </c>
      <c r="R10" s="343" t="s">
        <v>1510</v>
      </c>
      <c r="S10" s="14"/>
      <c r="T10" s="14"/>
      <c r="U10" s="14">
        <f>IFERROR(VLOOKUP(R10,[3]FAQ!$AL:$AN,3,FALSE),"0")</f>
        <v>480.8</v>
      </c>
      <c r="V10" t="str">
        <f t="shared" si="1"/>
        <v>41IM0051AA</v>
      </c>
      <c r="W10">
        <f t="shared" si="2"/>
        <v>430</v>
      </c>
      <c r="X10">
        <f>IFERROR(VLOOKUP(V10,'[4]CONFIRMED LIST'!$L:$M,2,FALSE),"0")</f>
        <v>430</v>
      </c>
      <c r="Y10" t="b">
        <f t="shared" si="3"/>
        <v>1</v>
      </c>
      <c r="Z10">
        <f t="shared" si="4"/>
        <v>479.7</v>
      </c>
    </row>
    <row r="11" spans="1:26">
      <c r="A11" s="1140">
        <v>46218</v>
      </c>
      <c r="B11" s="1141" t="s">
        <v>1378</v>
      </c>
      <c r="C11" s="1150" t="s">
        <v>303</v>
      </c>
      <c r="D11" s="1151" t="s">
        <v>43</v>
      </c>
      <c r="E11" s="1151">
        <v>38</v>
      </c>
      <c r="F11" s="1152">
        <v>18</v>
      </c>
      <c r="G11" s="1157">
        <v>2299</v>
      </c>
      <c r="H11" s="1174">
        <f t="shared" si="0"/>
        <v>38.31666666666667</v>
      </c>
      <c r="I11" s="1174"/>
      <c r="J11" s="1174" t="s">
        <v>354</v>
      </c>
      <c r="K11" s="1174" t="s">
        <v>697</v>
      </c>
      <c r="L11" s="1175" t="s">
        <v>54</v>
      </c>
      <c r="M11" s="1175">
        <v>417</v>
      </c>
      <c r="N11" s="1175"/>
      <c r="O11" s="14" t="s">
        <v>621</v>
      </c>
      <c r="P11" s="343">
        <v>70659</v>
      </c>
      <c r="Q11" s="343">
        <v>2299</v>
      </c>
      <c r="R11" s="343" t="s">
        <v>1511</v>
      </c>
      <c r="S11" s="14"/>
      <c r="T11" s="14"/>
      <c r="U11" s="14">
        <f>IFERROR(VLOOKUP(R11,[3]FAQ!$AL:$AN,3,FALSE),"0")</f>
        <v>2300.9</v>
      </c>
      <c r="V11" t="str">
        <f t="shared" si="1"/>
        <v>41IM0051AB</v>
      </c>
      <c r="W11">
        <f t="shared" si="2"/>
        <v>417</v>
      </c>
      <c r="X11">
        <f>IFERROR(VLOOKUP(V11,'[4]CONFIRMED LIST'!$L:$M,2,FALSE),"0")</f>
        <v>417</v>
      </c>
      <c r="Y11" t="b">
        <f t="shared" si="3"/>
        <v>1</v>
      </c>
      <c r="Z11">
        <f t="shared" si="4"/>
        <v>2299</v>
      </c>
    </row>
    <row r="12" spans="1:26">
      <c r="A12" s="1145">
        <v>46218</v>
      </c>
      <c r="B12" s="1146" t="s">
        <v>1378</v>
      </c>
      <c r="C12" s="1147" t="s">
        <v>303</v>
      </c>
      <c r="D12" s="1148" t="s">
        <v>45</v>
      </c>
      <c r="E12" s="1148">
        <v>58</v>
      </c>
      <c r="F12" s="1149">
        <v>27</v>
      </c>
      <c r="G12" s="1156">
        <v>3507</v>
      </c>
      <c r="H12" s="1174">
        <f t="shared" si="0"/>
        <v>58.45</v>
      </c>
      <c r="I12" s="1174"/>
      <c r="J12" s="1174" t="s">
        <v>354</v>
      </c>
      <c r="K12" s="1174" t="s">
        <v>435</v>
      </c>
      <c r="L12" s="1175" t="s">
        <v>54</v>
      </c>
      <c r="M12" s="1175">
        <v>368</v>
      </c>
      <c r="N12" s="1175"/>
      <c r="O12" s="14" t="s">
        <v>621</v>
      </c>
      <c r="P12" s="343">
        <v>70660</v>
      </c>
      <c r="Q12" s="343">
        <v>3507.4</v>
      </c>
      <c r="R12" s="343" t="s">
        <v>1512</v>
      </c>
      <c r="S12" s="14"/>
      <c r="T12" s="14"/>
      <c r="U12" s="14">
        <f>IFERROR(VLOOKUP(R12,[3]FAQ!$AL:$AN,3,FALSE),"0")</f>
        <v>3509.9</v>
      </c>
      <c r="V12" t="str">
        <f t="shared" si="1"/>
        <v>41IM0051C</v>
      </c>
      <c r="W12">
        <f t="shared" si="2"/>
        <v>368</v>
      </c>
      <c r="X12">
        <f>IFERROR(VLOOKUP(V12,'[4]CONFIRMED LIST'!$L:$M,2,FALSE),"0")</f>
        <v>368</v>
      </c>
      <c r="Y12" t="b">
        <f t="shared" si="3"/>
        <v>1</v>
      </c>
      <c r="Z12">
        <f t="shared" si="4"/>
        <v>3507.4</v>
      </c>
    </row>
    <row r="13" spans="1:26">
      <c r="A13" s="1140">
        <v>46218</v>
      </c>
      <c r="B13" s="1141" t="s">
        <v>1378</v>
      </c>
      <c r="C13" s="1150" t="s">
        <v>303</v>
      </c>
      <c r="D13" s="1151" t="s">
        <v>44</v>
      </c>
      <c r="E13" s="1151">
        <v>6</v>
      </c>
      <c r="F13" s="1152">
        <v>10</v>
      </c>
      <c r="G13" s="1157">
        <v>367</v>
      </c>
      <c r="H13" s="1174">
        <f t="shared" si="0"/>
        <v>6.1166666666666663</v>
      </c>
      <c r="I13" s="1174"/>
      <c r="J13" s="1174" t="s">
        <v>354</v>
      </c>
      <c r="K13" s="1174" t="s">
        <v>697</v>
      </c>
      <c r="L13" s="1175" t="s">
        <v>54</v>
      </c>
      <c r="M13" s="1175">
        <v>400</v>
      </c>
      <c r="N13" s="1175"/>
      <c r="O13" s="14" t="s">
        <v>621</v>
      </c>
      <c r="P13" s="343">
        <v>70661</v>
      </c>
      <c r="Q13" s="343">
        <v>367.2</v>
      </c>
      <c r="R13" s="343" t="s">
        <v>1513</v>
      </c>
      <c r="S13" s="14"/>
      <c r="T13" s="14"/>
      <c r="U13" s="14">
        <f>IFERROR(VLOOKUP(R13,[3]FAQ!$AL:$AN,3,FALSE),"0")</f>
        <v>367.7</v>
      </c>
      <c r="V13" t="str">
        <f t="shared" si="1"/>
        <v>41IM0051PB</v>
      </c>
      <c r="W13">
        <f t="shared" si="2"/>
        <v>400</v>
      </c>
      <c r="X13">
        <f>IFERROR(VLOOKUP(V13,'[4]CONFIRMED LIST'!$L:$M,2,FALSE),"0")</f>
        <v>400</v>
      </c>
      <c r="Y13" t="b">
        <f t="shared" si="3"/>
        <v>1</v>
      </c>
      <c r="Z13">
        <f t="shared" si="4"/>
        <v>367.2</v>
      </c>
    </row>
    <row r="14" spans="1:26">
      <c r="A14" s="1145">
        <v>46218</v>
      </c>
      <c r="B14" s="1146" t="s">
        <v>1379</v>
      </c>
      <c r="C14" s="1147" t="s">
        <v>271</v>
      </c>
      <c r="D14" s="1148" t="s">
        <v>42</v>
      </c>
      <c r="E14" s="1148">
        <v>9</v>
      </c>
      <c r="F14" s="1149">
        <v>17</v>
      </c>
      <c r="G14" s="1156">
        <v>558</v>
      </c>
      <c r="H14" s="1174">
        <f t="shared" si="0"/>
        <v>9.3000000000000007</v>
      </c>
      <c r="I14" s="1174"/>
      <c r="J14" s="1174" t="s">
        <v>354</v>
      </c>
      <c r="K14" s="1174" t="s">
        <v>434</v>
      </c>
      <c r="L14" s="1175" t="s">
        <v>45</v>
      </c>
      <c r="M14" s="1175">
        <v>430</v>
      </c>
      <c r="N14" s="1175"/>
      <c r="O14" s="14" t="s">
        <v>621</v>
      </c>
      <c r="P14" s="343">
        <v>70708</v>
      </c>
      <c r="Q14" s="343">
        <v>558.1</v>
      </c>
      <c r="R14" s="343" t="s">
        <v>1514</v>
      </c>
      <c r="S14" s="14"/>
      <c r="T14" s="14"/>
      <c r="U14" s="14">
        <f>IFERROR(VLOOKUP(R14,[3]FAQ!$AL:$AN,3,FALSE),"0")</f>
        <v>556</v>
      </c>
      <c r="V14" t="str">
        <f t="shared" si="1"/>
        <v>41IM0052AA</v>
      </c>
      <c r="W14">
        <f t="shared" si="2"/>
        <v>430</v>
      </c>
      <c r="X14">
        <f>IFERROR(VLOOKUP(V14,'[4]CONFIRMED LIST'!$L:$M,2,FALSE),"0")</f>
        <v>430</v>
      </c>
      <c r="Y14" t="b">
        <f t="shared" si="3"/>
        <v>1</v>
      </c>
      <c r="Z14">
        <f t="shared" si="4"/>
        <v>558.1</v>
      </c>
    </row>
    <row r="15" spans="1:26">
      <c r="A15" s="1153">
        <v>46218</v>
      </c>
      <c r="B15" s="1146" t="s">
        <v>1379</v>
      </c>
      <c r="C15" s="1147" t="s">
        <v>271</v>
      </c>
      <c r="D15" s="1148" t="s">
        <v>45</v>
      </c>
      <c r="E15" s="1148">
        <v>73</v>
      </c>
      <c r="F15" s="1149">
        <v>34</v>
      </c>
      <c r="G15" s="1156">
        <v>4480</v>
      </c>
      <c r="H15" s="1174">
        <f t="shared" si="0"/>
        <v>74.666666666666671</v>
      </c>
      <c r="I15" s="1174"/>
      <c r="J15" s="1174" t="s">
        <v>354</v>
      </c>
      <c r="K15" s="1174" t="s">
        <v>435</v>
      </c>
      <c r="L15" s="1175" t="s">
        <v>54</v>
      </c>
      <c r="M15" s="1175">
        <v>368</v>
      </c>
      <c r="N15" s="1175"/>
      <c r="O15" s="14" t="s">
        <v>621</v>
      </c>
      <c r="P15" s="343">
        <v>70709</v>
      </c>
      <c r="Q15" s="343">
        <v>4481</v>
      </c>
      <c r="R15" s="343" t="s">
        <v>1515</v>
      </c>
      <c r="S15" s="14"/>
      <c r="T15" s="14"/>
      <c r="U15" s="14">
        <f>IFERROR(VLOOKUP(R15,[3]FAQ!$AL:$AN,3,FALSE),"0")</f>
        <v>4479.3999999999996</v>
      </c>
      <c r="V15" t="str">
        <f t="shared" si="1"/>
        <v>41IM0052C</v>
      </c>
      <c r="W15">
        <f t="shared" si="2"/>
        <v>368</v>
      </c>
      <c r="X15">
        <f>IFERROR(VLOOKUP(V15,'[4]CONFIRMED LIST'!$L:$M,2,FALSE),"0")</f>
        <v>368</v>
      </c>
      <c r="Y15" t="b">
        <f t="shared" si="3"/>
        <v>1</v>
      </c>
      <c r="Z15">
        <f t="shared" si="4"/>
        <v>4481</v>
      </c>
    </row>
    <row r="16" spans="1:26">
      <c r="A16" s="1140">
        <v>46218</v>
      </c>
      <c r="B16" s="1141" t="s">
        <v>1379</v>
      </c>
      <c r="C16" s="1150" t="s">
        <v>271</v>
      </c>
      <c r="D16" s="1151" t="s">
        <v>44</v>
      </c>
      <c r="E16" s="1151">
        <v>7</v>
      </c>
      <c r="F16" s="1152">
        <v>55</v>
      </c>
      <c r="G16" s="1157">
        <v>475</v>
      </c>
      <c r="H16" s="1174">
        <f t="shared" si="0"/>
        <v>7.916666666666667</v>
      </c>
      <c r="I16" s="1174"/>
      <c r="J16" s="1174" t="s">
        <v>354</v>
      </c>
      <c r="K16" s="1174" t="s">
        <v>697</v>
      </c>
      <c r="L16" s="1175" t="s">
        <v>45</v>
      </c>
      <c r="M16" s="1175">
        <v>400</v>
      </c>
      <c r="N16" s="1175"/>
      <c r="O16" s="14" t="s">
        <v>621</v>
      </c>
      <c r="P16" s="343">
        <v>70710</v>
      </c>
      <c r="Q16" s="343">
        <v>475.7</v>
      </c>
      <c r="R16" s="343" t="s">
        <v>1516</v>
      </c>
      <c r="S16" s="14"/>
      <c r="T16" s="14"/>
      <c r="U16" s="14">
        <f>IFERROR(VLOOKUP(R16,[3]FAQ!$AL:$AN,3,FALSE),"0")</f>
        <v>474.8</v>
      </c>
      <c r="V16" t="str">
        <f t="shared" si="1"/>
        <v>41IM0052PB</v>
      </c>
      <c r="W16">
        <f t="shared" si="2"/>
        <v>400</v>
      </c>
      <c r="X16">
        <f>IFERROR(VLOOKUP(V16,'[4]CONFIRMED LIST'!$L:$M,2,FALSE),"0")</f>
        <v>400</v>
      </c>
      <c r="Y16" t="b">
        <f t="shared" si="3"/>
        <v>1</v>
      </c>
      <c r="Z16">
        <f t="shared" si="4"/>
        <v>475.7</v>
      </c>
    </row>
    <row r="17" spans="1:26">
      <c r="A17" s="1145">
        <v>46218</v>
      </c>
      <c r="B17" s="1146" t="s">
        <v>1380</v>
      </c>
      <c r="C17" s="1147" t="s">
        <v>1049</v>
      </c>
      <c r="D17" s="1148" t="s">
        <v>42</v>
      </c>
      <c r="E17" s="1148">
        <v>3</v>
      </c>
      <c r="F17" s="1149">
        <v>31</v>
      </c>
      <c r="G17" s="1156">
        <v>211</v>
      </c>
      <c r="H17" s="1174">
        <f t="shared" si="0"/>
        <v>3.5166666666666666</v>
      </c>
      <c r="I17" s="1174"/>
      <c r="J17" s="1174" t="s">
        <v>354</v>
      </c>
      <c r="K17" s="1174" t="s">
        <v>434</v>
      </c>
      <c r="L17" s="1175" t="s">
        <v>54</v>
      </c>
      <c r="M17" s="1175">
        <v>430</v>
      </c>
      <c r="N17" s="1175"/>
      <c r="O17" s="14" t="s">
        <v>621</v>
      </c>
      <c r="P17" s="343">
        <v>70703</v>
      </c>
      <c r="Q17" s="343">
        <v>211.7</v>
      </c>
      <c r="R17" s="343" t="s">
        <v>1517</v>
      </c>
      <c r="S17" s="14"/>
      <c r="T17" s="14"/>
      <c r="U17" s="14">
        <f>IFERROR(VLOOKUP(R17,[3]FAQ!$AL:$AN,3,FALSE),"0")</f>
        <v>212.4</v>
      </c>
      <c r="V17" t="str">
        <f t="shared" si="1"/>
        <v>41IM0053AA</v>
      </c>
      <c r="W17">
        <f t="shared" si="2"/>
        <v>430</v>
      </c>
      <c r="X17">
        <f>IFERROR(VLOOKUP(V17,'[4]CONFIRMED LIST'!$L:$M,2,FALSE),"0")</f>
        <v>430</v>
      </c>
      <c r="Y17" t="b">
        <f t="shared" si="3"/>
        <v>1</v>
      </c>
      <c r="Z17">
        <f t="shared" si="4"/>
        <v>211.7</v>
      </c>
    </row>
    <row r="18" spans="1:26">
      <c r="A18" s="1154">
        <v>46218</v>
      </c>
      <c r="B18" s="1141" t="s">
        <v>1380</v>
      </c>
      <c r="C18" s="1150" t="s">
        <v>1049</v>
      </c>
      <c r="D18" s="1151" t="s">
        <v>43</v>
      </c>
      <c r="E18" s="1151">
        <v>30</v>
      </c>
      <c r="F18" s="1152">
        <v>10</v>
      </c>
      <c r="G18" s="1157">
        <v>1820</v>
      </c>
      <c r="H18" s="1174">
        <f t="shared" si="0"/>
        <v>30.333333333333332</v>
      </c>
      <c r="I18" s="1174"/>
      <c r="J18" s="1174" t="s">
        <v>354</v>
      </c>
      <c r="K18" s="1174" t="s">
        <v>697</v>
      </c>
      <c r="L18" s="1175" t="s">
        <v>54</v>
      </c>
      <c r="M18" s="1175">
        <v>417</v>
      </c>
      <c r="N18" s="1175"/>
      <c r="O18" s="14" t="s">
        <v>621</v>
      </c>
      <c r="P18" s="343">
        <v>70704</v>
      </c>
      <c r="Q18" s="343">
        <v>1820</v>
      </c>
      <c r="R18" s="343" t="s">
        <v>1518</v>
      </c>
      <c r="S18" s="14"/>
      <c r="T18" s="14"/>
      <c r="U18" s="14">
        <f>IFERROR(VLOOKUP(R18,[3]FAQ!$AL:$AN,3,FALSE),"0")</f>
        <v>1820.1</v>
      </c>
      <c r="V18" t="str">
        <f t="shared" si="1"/>
        <v>41IM0053AB</v>
      </c>
      <c r="W18">
        <f t="shared" si="2"/>
        <v>417</v>
      </c>
      <c r="X18">
        <f>IFERROR(VLOOKUP(V18,'[4]CONFIRMED LIST'!$L:$M,2,FALSE),"0")</f>
        <v>417</v>
      </c>
      <c r="Y18" t="b">
        <f t="shared" si="3"/>
        <v>1</v>
      </c>
      <c r="Z18">
        <f t="shared" si="4"/>
        <v>1820</v>
      </c>
    </row>
    <row r="19" spans="1:26">
      <c r="A19" s="1145">
        <v>46218</v>
      </c>
      <c r="B19" s="1146" t="s">
        <v>1380</v>
      </c>
      <c r="C19" s="1147" t="s">
        <v>1049</v>
      </c>
      <c r="D19" s="1148" t="s">
        <v>45</v>
      </c>
      <c r="E19" s="1148">
        <v>56</v>
      </c>
      <c r="F19" s="1149">
        <v>35</v>
      </c>
      <c r="G19" s="1156">
        <v>3408</v>
      </c>
      <c r="H19" s="1174">
        <f t="shared" si="0"/>
        <v>56.8</v>
      </c>
      <c r="I19" s="1174"/>
      <c r="J19" s="1174" t="s">
        <v>354</v>
      </c>
      <c r="K19" s="1174" t="s">
        <v>435</v>
      </c>
      <c r="L19" s="1175" t="s">
        <v>54</v>
      </c>
      <c r="M19" s="1175">
        <v>368</v>
      </c>
      <c r="N19" s="1175"/>
      <c r="O19" s="14" t="s">
        <v>621</v>
      </c>
      <c r="P19" s="343">
        <v>70705</v>
      </c>
      <c r="Q19" s="343">
        <v>3408.4</v>
      </c>
      <c r="R19" s="343" t="s">
        <v>1519</v>
      </c>
      <c r="S19" s="14"/>
      <c r="T19" s="14"/>
      <c r="U19" s="14">
        <f>IFERROR(VLOOKUP(R19,[3]FAQ!$AL:$AN,3,FALSE),"0")</f>
        <v>3407.7</v>
      </c>
      <c r="V19" t="str">
        <f t="shared" si="1"/>
        <v>41IM0053C</v>
      </c>
      <c r="W19">
        <f t="shared" si="2"/>
        <v>368</v>
      </c>
      <c r="X19">
        <f>IFERROR(VLOOKUP(V19,'[4]CONFIRMED LIST'!$L:$M,2,FALSE),"0")</f>
        <v>368</v>
      </c>
      <c r="Y19" t="b">
        <f t="shared" si="3"/>
        <v>1</v>
      </c>
      <c r="Z19">
        <f t="shared" si="4"/>
        <v>3408.4</v>
      </c>
    </row>
    <row r="20" spans="1:26">
      <c r="A20" s="1140">
        <v>46218</v>
      </c>
      <c r="B20" s="1141" t="s">
        <v>1380</v>
      </c>
      <c r="C20" s="1150" t="s">
        <v>1049</v>
      </c>
      <c r="D20" s="1155" t="s">
        <v>44</v>
      </c>
      <c r="E20" s="1151">
        <v>4</v>
      </c>
      <c r="F20" s="1155">
        <v>39</v>
      </c>
      <c r="G20" s="1152">
        <v>280</v>
      </c>
      <c r="H20" s="1174">
        <f t="shared" si="0"/>
        <v>4.666666666666667</v>
      </c>
      <c r="I20" s="1174"/>
      <c r="J20" s="1174" t="s">
        <v>354</v>
      </c>
      <c r="K20" s="1174" t="s">
        <v>697</v>
      </c>
      <c r="L20" s="1175" t="s">
        <v>54</v>
      </c>
      <c r="M20" s="1175">
        <v>400</v>
      </c>
      <c r="N20" s="1175"/>
      <c r="O20" s="14" t="s">
        <v>621</v>
      </c>
      <c r="P20" s="343">
        <v>70706</v>
      </c>
      <c r="Q20" s="343">
        <v>280</v>
      </c>
      <c r="R20" s="343" t="s">
        <v>1520</v>
      </c>
      <c r="S20" s="14"/>
      <c r="T20" s="14"/>
      <c r="U20" s="14">
        <f>IFERROR(VLOOKUP(R20,[3]FAQ!$AL:$AN,3,FALSE),"0")</f>
        <v>279.5</v>
      </c>
      <c r="V20" t="str">
        <f t="shared" si="1"/>
        <v>41IM0053PB</v>
      </c>
      <c r="W20">
        <f t="shared" si="2"/>
        <v>400</v>
      </c>
      <c r="X20">
        <f>IFERROR(VLOOKUP(V20,'[4]CONFIRMED LIST'!$L:$M,2,FALSE),"0")</f>
        <v>400</v>
      </c>
      <c r="Y20" t="b">
        <f t="shared" si="3"/>
        <v>1</v>
      </c>
      <c r="Z20">
        <f t="shared" si="4"/>
        <v>280</v>
      </c>
    </row>
    <row r="21" spans="1:26">
      <c r="A21" s="1145">
        <v>46218</v>
      </c>
      <c r="B21" s="1146" t="s">
        <v>1381</v>
      </c>
      <c r="C21" s="1147" t="s">
        <v>318</v>
      </c>
      <c r="D21" s="1148" t="s">
        <v>43</v>
      </c>
      <c r="E21" s="1148">
        <v>25</v>
      </c>
      <c r="F21" s="1148">
        <v>53</v>
      </c>
      <c r="G21" s="1149">
        <v>1558</v>
      </c>
      <c r="H21" s="1174">
        <f t="shared" si="0"/>
        <v>25.966666666666665</v>
      </c>
      <c r="I21" s="1174"/>
      <c r="J21" s="1174" t="s">
        <v>354</v>
      </c>
      <c r="K21" s="1174" t="s">
        <v>697</v>
      </c>
      <c r="L21" s="1175" t="s">
        <v>45</v>
      </c>
      <c r="M21" s="1175">
        <v>417</v>
      </c>
      <c r="N21" s="1175"/>
      <c r="O21" s="14" t="s">
        <v>621</v>
      </c>
      <c r="P21" s="343">
        <v>70665</v>
      </c>
      <c r="Q21" s="343">
        <v>1558.7</v>
      </c>
      <c r="R21" s="343" t="s">
        <v>1521</v>
      </c>
      <c r="S21" s="14"/>
      <c r="T21" s="14"/>
      <c r="U21" s="14">
        <f>IFERROR(VLOOKUP(R21,[3]FAQ!$AL:$AN,3,FALSE),"0")</f>
        <v>1559.6</v>
      </c>
      <c r="V21" t="str">
        <f t="shared" si="1"/>
        <v>41IM0055AB</v>
      </c>
      <c r="W21">
        <f t="shared" si="2"/>
        <v>417</v>
      </c>
      <c r="X21">
        <f>IFERROR(VLOOKUP(V21,'[4]CONFIRMED LIST'!$L:$M,2,FALSE),"0")</f>
        <v>417</v>
      </c>
      <c r="Y21" t="b">
        <f t="shared" si="3"/>
        <v>1</v>
      </c>
      <c r="Z21">
        <f t="shared" si="4"/>
        <v>1558.7</v>
      </c>
    </row>
    <row r="22" spans="1:26">
      <c r="A22" s="1140">
        <v>46218</v>
      </c>
      <c r="B22" s="1141" t="s">
        <v>1381</v>
      </c>
      <c r="C22" s="1150" t="s">
        <v>318</v>
      </c>
      <c r="D22" s="1151" t="s">
        <v>45</v>
      </c>
      <c r="E22" s="1151">
        <v>32</v>
      </c>
      <c r="F22" s="1151">
        <v>52</v>
      </c>
      <c r="G22" s="1170">
        <v>1972</v>
      </c>
      <c r="H22" s="1174">
        <f t="shared" si="0"/>
        <v>32.866666666666667</v>
      </c>
      <c r="I22" s="1174"/>
      <c r="J22" s="1174" t="s">
        <v>354</v>
      </c>
      <c r="K22" s="1174" t="s">
        <v>435</v>
      </c>
      <c r="L22" s="1175" t="s">
        <v>54</v>
      </c>
      <c r="M22" s="1175">
        <v>368</v>
      </c>
      <c r="N22" s="1175"/>
      <c r="O22" s="14" t="s">
        <v>621</v>
      </c>
      <c r="P22" s="343">
        <v>70666</v>
      </c>
      <c r="Q22" s="343">
        <v>1979.2</v>
      </c>
      <c r="R22" s="343" t="s">
        <v>1522</v>
      </c>
      <c r="S22" s="14"/>
      <c r="T22" s="14"/>
      <c r="U22" s="14">
        <f>IFERROR(VLOOKUP(R22,[3]FAQ!$AL:$AN,3,FALSE),"0")</f>
        <v>1981.3</v>
      </c>
      <c r="V22" t="str">
        <f t="shared" si="1"/>
        <v>41IM0055C</v>
      </c>
      <c r="W22">
        <f t="shared" si="2"/>
        <v>368</v>
      </c>
      <c r="X22">
        <f>IFERROR(VLOOKUP(V22,'[4]CONFIRMED LIST'!$L:$M,2,FALSE),"0")</f>
        <v>368</v>
      </c>
      <c r="Y22" t="b">
        <f t="shared" si="3"/>
        <v>1</v>
      </c>
      <c r="Z22">
        <f t="shared" si="4"/>
        <v>1979.2</v>
      </c>
    </row>
    <row r="23" spans="1:26">
      <c r="A23" s="1145">
        <v>46218</v>
      </c>
      <c r="B23" s="1146" t="s">
        <v>1381</v>
      </c>
      <c r="C23" s="1147" t="s">
        <v>318</v>
      </c>
      <c r="D23" s="1148" t="s">
        <v>44</v>
      </c>
      <c r="E23" s="1149">
        <v>3</v>
      </c>
      <c r="F23" s="1147">
        <v>21</v>
      </c>
      <c r="G23" s="1149">
        <v>197</v>
      </c>
      <c r="H23" s="1174">
        <f t="shared" si="0"/>
        <v>3.2833333333333332</v>
      </c>
      <c r="I23" s="1174"/>
      <c r="J23" s="1174" t="s">
        <v>354</v>
      </c>
      <c r="K23" s="1174" t="s">
        <v>697</v>
      </c>
      <c r="L23" s="1175" t="s">
        <v>45</v>
      </c>
      <c r="M23" s="1175">
        <v>400</v>
      </c>
      <c r="N23" s="1175"/>
      <c r="O23" s="14" t="s">
        <v>621</v>
      </c>
      <c r="P23" s="343">
        <v>70667</v>
      </c>
      <c r="Q23" s="343">
        <v>197.6</v>
      </c>
      <c r="R23" s="343" t="s">
        <v>1523</v>
      </c>
      <c r="S23" s="14"/>
      <c r="T23" s="14"/>
      <c r="U23" s="14">
        <f>IFERROR(VLOOKUP(R23,[3]FAQ!$AL:$AN,3,FALSE),"0")</f>
        <v>200.4</v>
      </c>
      <c r="V23" t="str">
        <f t="shared" si="1"/>
        <v>41IM0055PB</v>
      </c>
      <c r="W23">
        <f t="shared" si="2"/>
        <v>400</v>
      </c>
      <c r="X23">
        <f>IFERROR(VLOOKUP(V23,'[4]CONFIRMED LIST'!$L:$M,2,FALSE),"0")</f>
        <v>400</v>
      </c>
      <c r="Y23" t="b">
        <f t="shared" si="3"/>
        <v>1</v>
      </c>
      <c r="Z23">
        <f t="shared" si="4"/>
        <v>197.6</v>
      </c>
    </row>
    <row r="24" spans="1:26">
      <c r="A24" s="1153">
        <v>46218</v>
      </c>
      <c r="B24" s="1146" t="s">
        <v>1382</v>
      </c>
      <c r="C24" s="1147" t="s">
        <v>318</v>
      </c>
      <c r="D24" s="1148" t="s">
        <v>43</v>
      </c>
      <c r="E24" s="1149">
        <v>37</v>
      </c>
      <c r="F24" s="1147">
        <v>20</v>
      </c>
      <c r="G24" s="1149">
        <v>2252</v>
      </c>
      <c r="H24" s="1174">
        <f t="shared" si="0"/>
        <v>37.533333333333331</v>
      </c>
      <c r="I24" s="1174"/>
      <c r="J24" s="1174" t="s">
        <v>354</v>
      </c>
      <c r="K24" s="1174" t="s">
        <v>697</v>
      </c>
      <c r="L24" s="1175" t="s">
        <v>45</v>
      </c>
      <c r="M24" s="1175">
        <v>417</v>
      </c>
      <c r="N24" s="1175"/>
      <c r="O24" s="14" t="s">
        <v>621</v>
      </c>
      <c r="P24" s="343">
        <v>70669</v>
      </c>
      <c r="Q24" s="343">
        <v>2252.3000000000002</v>
      </c>
      <c r="R24" s="343" t="s">
        <v>1524</v>
      </c>
      <c r="S24" s="14"/>
      <c r="T24" s="14"/>
      <c r="U24" s="14">
        <f>IFERROR(VLOOKUP(R24,[3]FAQ!$AL:$AN,3,FALSE),"0")</f>
        <v>2251.8000000000002</v>
      </c>
      <c r="V24" t="str">
        <f t="shared" si="1"/>
        <v>41IM0056AB</v>
      </c>
      <c r="W24">
        <f t="shared" si="2"/>
        <v>417</v>
      </c>
      <c r="X24">
        <f>IFERROR(VLOOKUP(V24,'[4]CONFIRMED LIST'!$L:$M,2,FALSE),"0")</f>
        <v>417</v>
      </c>
      <c r="Y24" t="b">
        <f t="shared" si="3"/>
        <v>1</v>
      </c>
      <c r="Z24">
        <f t="shared" si="4"/>
        <v>2252.3000000000002</v>
      </c>
    </row>
    <row r="25" spans="1:26">
      <c r="A25" s="1140">
        <v>46218</v>
      </c>
      <c r="B25" s="1141" t="s">
        <v>1382</v>
      </c>
      <c r="C25" s="1150" t="s">
        <v>318</v>
      </c>
      <c r="D25" s="1151" t="s">
        <v>45</v>
      </c>
      <c r="E25" s="1152">
        <v>46</v>
      </c>
      <c r="F25" s="1150">
        <v>32</v>
      </c>
      <c r="G25" s="1152">
        <v>2807</v>
      </c>
      <c r="H25" s="1174">
        <f t="shared" si="0"/>
        <v>46.783333333333331</v>
      </c>
      <c r="I25" s="1174"/>
      <c r="J25" s="1174" t="s">
        <v>354</v>
      </c>
      <c r="K25" s="1174" t="s">
        <v>435</v>
      </c>
      <c r="L25" s="1175" t="s">
        <v>54</v>
      </c>
      <c r="M25" s="1175">
        <v>368</v>
      </c>
      <c r="N25" s="1175"/>
      <c r="O25" s="14" t="s">
        <v>621</v>
      </c>
      <c r="P25" s="343">
        <v>70670</v>
      </c>
      <c r="Q25" s="343">
        <v>2807.8</v>
      </c>
      <c r="R25" s="343" t="s">
        <v>1525</v>
      </c>
      <c r="S25" s="14"/>
      <c r="T25" s="14"/>
      <c r="U25" s="14">
        <f>IFERROR(VLOOKUP(R25,[3]FAQ!$AL:$AN,3,FALSE),"0")</f>
        <v>2808.7</v>
      </c>
      <c r="V25" t="str">
        <f t="shared" si="1"/>
        <v>41IM0056C</v>
      </c>
      <c r="W25">
        <f t="shared" si="2"/>
        <v>368</v>
      </c>
      <c r="X25">
        <f>IFERROR(VLOOKUP(V25,'[4]CONFIRMED LIST'!$L:$M,2,FALSE),"0")</f>
        <v>368</v>
      </c>
      <c r="Y25" t="b">
        <f t="shared" si="3"/>
        <v>1</v>
      </c>
      <c r="Z25">
        <f t="shared" si="4"/>
        <v>2807.8</v>
      </c>
    </row>
    <row r="26" spans="1:26">
      <c r="A26" s="1145">
        <v>46218</v>
      </c>
      <c r="B26" s="1146" t="s">
        <v>1382</v>
      </c>
      <c r="C26" s="1147" t="s">
        <v>318</v>
      </c>
      <c r="D26" s="1148" t="s">
        <v>44</v>
      </c>
      <c r="E26" s="1149">
        <v>4</v>
      </c>
      <c r="F26" s="1147">
        <v>45</v>
      </c>
      <c r="G26" s="1149">
        <v>284</v>
      </c>
      <c r="H26" s="1174">
        <f t="shared" si="0"/>
        <v>4.7333333333333334</v>
      </c>
      <c r="I26" s="1174"/>
      <c r="J26" s="1174" t="s">
        <v>354</v>
      </c>
      <c r="K26" s="1174" t="s">
        <v>697</v>
      </c>
      <c r="L26" s="1175" t="s">
        <v>45</v>
      </c>
      <c r="M26" s="1175">
        <v>400</v>
      </c>
      <c r="N26" s="1175"/>
      <c r="O26" s="14" t="s">
        <v>621</v>
      </c>
      <c r="P26" s="343">
        <v>70671</v>
      </c>
      <c r="Q26" s="343">
        <v>284.8</v>
      </c>
      <c r="R26" s="343" t="s">
        <v>1526</v>
      </c>
      <c r="S26" s="14"/>
      <c r="T26" s="14"/>
      <c r="U26" s="14">
        <f>IFERROR(VLOOKUP(R26,[3]FAQ!$AL:$AN,3,FALSE),"0")</f>
        <v>285.5</v>
      </c>
      <c r="V26" t="str">
        <f t="shared" si="1"/>
        <v>41IM0056PB</v>
      </c>
      <c r="W26">
        <f t="shared" si="2"/>
        <v>400</v>
      </c>
      <c r="X26">
        <f>IFERROR(VLOOKUP(V26,'[4]CONFIRMED LIST'!$L:$M,2,FALSE),"0")</f>
        <v>400</v>
      </c>
      <c r="Y26" t="b">
        <f t="shared" si="3"/>
        <v>1</v>
      </c>
      <c r="Z26">
        <f t="shared" si="4"/>
        <v>284.8</v>
      </c>
    </row>
    <row r="27" spans="1:26">
      <c r="A27" s="1140">
        <v>46218</v>
      </c>
      <c r="B27" s="1141" t="s">
        <v>1383</v>
      </c>
      <c r="C27" s="1150" t="s">
        <v>265</v>
      </c>
      <c r="D27" s="1151" t="s">
        <v>42</v>
      </c>
      <c r="E27" s="1152">
        <v>3</v>
      </c>
      <c r="F27" s="1150">
        <v>37</v>
      </c>
      <c r="G27" s="1152">
        <v>217</v>
      </c>
      <c r="H27" s="1174">
        <f t="shared" si="0"/>
        <v>3.6166666666666667</v>
      </c>
      <c r="I27" s="1174"/>
      <c r="J27" s="1174" t="s">
        <v>354</v>
      </c>
      <c r="K27" s="1174" t="s">
        <v>434</v>
      </c>
      <c r="L27" s="1175" t="s">
        <v>54</v>
      </c>
      <c r="M27" s="1175">
        <v>430</v>
      </c>
      <c r="N27" s="1175"/>
      <c r="O27" s="14" t="s">
        <v>621</v>
      </c>
      <c r="P27" s="343">
        <v>70678</v>
      </c>
      <c r="Q27" s="343">
        <v>217.9</v>
      </c>
      <c r="R27" s="343" t="s">
        <v>1527</v>
      </c>
      <c r="S27" s="14"/>
      <c r="T27" s="14"/>
      <c r="U27" s="326">
        <v>217</v>
      </c>
      <c r="V27" t="str">
        <f t="shared" si="1"/>
        <v>41IM0057AA</v>
      </c>
      <c r="W27">
        <f t="shared" si="2"/>
        <v>430</v>
      </c>
      <c r="X27">
        <f>IFERROR(VLOOKUP(V27,'[4]CONFIRMED LIST'!$L:$M,2,FALSE),"0")</f>
        <v>430</v>
      </c>
      <c r="Y27" t="b">
        <f t="shared" si="3"/>
        <v>1</v>
      </c>
      <c r="Z27">
        <f t="shared" si="4"/>
        <v>217.9</v>
      </c>
    </row>
    <row r="28" spans="1:26">
      <c r="A28" s="1145">
        <v>46218</v>
      </c>
      <c r="B28" s="1146" t="s">
        <v>1383</v>
      </c>
      <c r="C28" s="1147" t="s">
        <v>265</v>
      </c>
      <c r="D28" s="1148" t="s">
        <v>43</v>
      </c>
      <c r="E28" s="1149">
        <v>27</v>
      </c>
      <c r="F28" s="1147">
        <v>27</v>
      </c>
      <c r="G28" s="1149">
        <v>1651</v>
      </c>
      <c r="H28" s="1174">
        <f t="shared" si="0"/>
        <v>27.516666666666666</v>
      </c>
      <c r="I28" s="1174"/>
      <c r="J28" s="1174" t="s">
        <v>354</v>
      </c>
      <c r="K28" s="1174" t="s">
        <v>697</v>
      </c>
      <c r="L28" s="1175" t="s">
        <v>54</v>
      </c>
      <c r="M28" s="1175">
        <v>417</v>
      </c>
      <c r="N28" s="1175"/>
      <c r="O28" s="14" t="s">
        <v>621</v>
      </c>
      <c r="P28" s="343">
        <v>70679</v>
      </c>
      <c r="Q28" s="343">
        <v>1651.1</v>
      </c>
      <c r="R28" s="343" t="s">
        <v>1528</v>
      </c>
      <c r="S28" s="14"/>
      <c r="T28" s="14"/>
      <c r="U28" s="14">
        <f>IFERROR(VLOOKUP(R28,[3]FAQ!$AL:$AN,3,FALSE),"0")</f>
        <v>1649.8</v>
      </c>
      <c r="V28" t="str">
        <f t="shared" si="1"/>
        <v>41IM0057AB</v>
      </c>
      <c r="W28">
        <f t="shared" si="2"/>
        <v>417</v>
      </c>
      <c r="X28">
        <f>IFERROR(VLOOKUP(V28,'[4]CONFIRMED LIST'!$L:$M,2,FALSE),"0")</f>
        <v>417</v>
      </c>
      <c r="Y28" t="b">
        <f t="shared" si="3"/>
        <v>1</v>
      </c>
      <c r="Z28">
        <f t="shared" si="4"/>
        <v>1651.1</v>
      </c>
    </row>
    <row r="29" spans="1:26">
      <c r="A29" s="1140">
        <v>46218</v>
      </c>
      <c r="B29" s="1141" t="s">
        <v>1383</v>
      </c>
      <c r="C29" s="1150" t="s">
        <v>265</v>
      </c>
      <c r="D29" s="1151" t="s">
        <v>45</v>
      </c>
      <c r="E29" s="1152">
        <v>20</v>
      </c>
      <c r="F29" s="1150">
        <v>47</v>
      </c>
      <c r="G29" s="1152">
        <v>1251</v>
      </c>
      <c r="H29" s="1174">
        <f t="shared" si="0"/>
        <v>20.85</v>
      </c>
      <c r="I29" s="1174"/>
      <c r="J29" s="1174" t="s">
        <v>354</v>
      </c>
      <c r="K29" s="1174" t="s">
        <v>435</v>
      </c>
      <c r="L29" s="1175" t="s">
        <v>54</v>
      </c>
      <c r="M29" s="1175">
        <v>368</v>
      </c>
      <c r="N29" s="1175"/>
      <c r="O29" s="14" t="s">
        <v>621</v>
      </c>
      <c r="P29" s="343">
        <v>70680</v>
      </c>
      <c r="Q29" s="343">
        <v>1251.5999999999999</v>
      </c>
      <c r="R29" s="343" t="s">
        <v>1529</v>
      </c>
      <c r="S29" s="14"/>
      <c r="T29" s="14"/>
      <c r="U29" s="14">
        <f>IFERROR(VLOOKUP(R29,[3]FAQ!$AL:$AN,3,FALSE),"0")</f>
        <v>1250.0999999999999</v>
      </c>
      <c r="V29" t="str">
        <f t="shared" si="1"/>
        <v>41IM0057C</v>
      </c>
      <c r="W29">
        <f t="shared" si="2"/>
        <v>368</v>
      </c>
      <c r="X29">
        <f>IFERROR(VLOOKUP(V29,'[4]CONFIRMED LIST'!$L:$M,2,FALSE),"0")</f>
        <v>368</v>
      </c>
      <c r="Y29" t="b">
        <f t="shared" si="3"/>
        <v>1</v>
      </c>
      <c r="Z29">
        <f t="shared" si="4"/>
        <v>1251.5999999999999</v>
      </c>
    </row>
    <row r="30" spans="1:26">
      <c r="A30" s="1145">
        <v>46218</v>
      </c>
      <c r="B30" s="1146" t="s">
        <v>1384</v>
      </c>
      <c r="C30" s="1147" t="s">
        <v>288</v>
      </c>
      <c r="D30" s="1148" t="s">
        <v>42</v>
      </c>
      <c r="E30" s="1149">
        <v>3</v>
      </c>
      <c r="F30" s="1147">
        <v>34</v>
      </c>
      <c r="G30" s="1149">
        <v>214</v>
      </c>
      <c r="H30" s="1174">
        <f t="shared" si="0"/>
        <v>3.5666666666666669</v>
      </c>
      <c r="I30" s="1174"/>
      <c r="J30" s="1174" t="s">
        <v>354</v>
      </c>
      <c r="K30" s="1174" t="s">
        <v>434</v>
      </c>
      <c r="L30" s="1175" t="s">
        <v>54</v>
      </c>
      <c r="M30" s="1175">
        <v>430</v>
      </c>
      <c r="N30" s="1175"/>
      <c r="O30" s="14" t="s">
        <v>621</v>
      </c>
      <c r="P30" s="343">
        <v>70654</v>
      </c>
      <c r="Q30" s="343">
        <v>214.7</v>
      </c>
      <c r="R30" s="343" t="s">
        <v>1530</v>
      </c>
      <c r="S30" s="14"/>
      <c r="T30" s="14"/>
      <c r="U30" s="14">
        <f>IFERROR(VLOOKUP(R30,[3]FAQ!$AL:$AN,3,FALSE),"0")</f>
        <v>214.4</v>
      </c>
      <c r="V30" t="str">
        <f t="shared" si="1"/>
        <v>41IM0058AA</v>
      </c>
      <c r="W30">
        <f t="shared" si="2"/>
        <v>430</v>
      </c>
      <c r="X30">
        <f>IFERROR(VLOOKUP(V30,'[4]CONFIRMED LIST'!$L:$M,2,FALSE),"0")</f>
        <v>430</v>
      </c>
      <c r="Y30" t="b">
        <f t="shared" si="3"/>
        <v>1</v>
      </c>
      <c r="Z30">
        <f t="shared" si="4"/>
        <v>214.7</v>
      </c>
    </row>
    <row r="31" spans="1:26">
      <c r="A31" s="1153">
        <v>46218</v>
      </c>
      <c r="B31" s="1146" t="s">
        <v>1384</v>
      </c>
      <c r="C31" s="1147" t="s">
        <v>288</v>
      </c>
      <c r="D31" s="1148" t="s">
        <v>43</v>
      </c>
      <c r="E31" s="1149">
        <v>27</v>
      </c>
      <c r="F31" s="1147">
        <v>47</v>
      </c>
      <c r="G31" s="1149">
        <v>1671</v>
      </c>
      <c r="H31" s="1174">
        <f t="shared" si="0"/>
        <v>27.85</v>
      </c>
      <c r="I31" s="1174"/>
      <c r="J31" s="1174" t="s">
        <v>354</v>
      </c>
      <c r="K31" s="1174" t="s">
        <v>697</v>
      </c>
      <c r="L31" s="1175" t="s">
        <v>54</v>
      </c>
      <c r="M31" s="1175">
        <v>417</v>
      </c>
      <c r="N31" s="1175"/>
      <c r="O31" s="14" t="s">
        <v>621</v>
      </c>
      <c r="P31" s="343">
        <v>70655</v>
      </c>
      <c r="Q31" s="343">
        <v>1671.3</v>
      </c>
      <c r="R31" s="343" t="s">
        <v>1531</v>
      </c>
      <c r="S31" s="14"/>
      <c r="T31" s="14"/>
      <c r="U31" s="14">
        <f>IFERROR(VLOOKUP(R31,[3]FAQ!$AL:$AN,3,FALSE),"0")</f>
        <v>1671.8</v>
      </c>
      <c r="V31" t="str">
        <f t="shared" si="1"/>
        <v>41IM0058AB</v>
      </c>
      <c r="W31">
        <f t="shared" si="2"/>
        <v>417</v>
      </c>
      <c r="X31">
        <f>IFERROR(VLOOKUP(V31,'[4]CONFIRMED LIST'!$L:$M,2,FALSE),"0")</f>
        <v>417</v>
      </c>
      <c r="Y31" t="b">
        <f t="shared" si="3"/>
        <v>1</v>
      </c>
      <c r="Z31">
        <f t="shared" si="4"/>
        <v>1671.3</v>
      </c>
    </row>
    <row r="32" spans="1:26">
      <c r="A32" s="1140">
        <v>46218</v>
      </c>
      <c r="B32" s="1141" t="s">
        <v>1384</v>
      </c>
      <c r="C32" s="1150" t="s">
        <v>288</v>
      </c>
      <c r="D32" s="1151" t="s">
        <v>45</v>
      </c>
      <c r="E32" s="1152">
        <v>25</v>
      </c>
      <c r="F32" s="1150">
        <v>54</v>
      </c>
      <c r="G32" s="1152">
        <v>1563</v>
      </c>
      <c r="H32" s="1174">
        <f t="shared" si="0"/>
        <v>26.05</v>
      </c>
      <c r="I32" s="1174"/>
      <c r="J32" s="1174" t="s">
        <v>354</v>
      </c>
      <c r="K32" s="1174" t="s">
        <v>435</v>
      </c>
      <c r="L32" s="1175" t="s">
        <v>54</v>
      </c>
      <c r="M32" s="1175">
        <v>368</v>
      </c>
      <c r="N32" s="1175"/>
      <c r="O32" s="14" t="s">
        <v>621</v>
      </c>
      <c r="P32" s="343">
        <v>70656</v>
      </c>
      <c r="Q32" s="343">
        <v>1563.7</v>
      </c>
      <c r="R32" s="343" t="s">
        <v>1532</v>
      </c>
      <c r="S32" s="14"/>
      <c r="T32" s="14"/>
      <c r="U32" s="14">
        <f>IFERROR(VLOOKUP(R32,[3]FAQ!$AL:$AN,3,FALSE),"0")</f>
        <v>1563.6</v>
      </c>
      <c r="V32" t="str">
        <f t="shared" si="1"/>
        <v>41IM0058C</v>
      </c>
      <c r="W32">
        <f t="shared" si="2"/>
        <v>368</v>
      </c>
      <c r="X32">
        <f>IFERROR(VLOOKUP(V32,'[4]CONFIRMED LIST'!$L:$M,2,FALSE),"0")</f>
        <v>368</v>
      </c>
      <c r="Y32" t="b">
        <f t="shared" si="3"/>
        <v>1</v>
      </c>
      <c r="Z32">
        <f t="shared" si="4"/>
        <v>1563.7</v>
      </c>
    </row>
    <row r="33" spans="1:26">
      <c r="A33" s="1145">
        <v>46218</v>
      </c>
      <c r="B33" s="1146" t="s">
        <v>1385</v>
      </c>
      <c r="C33" s="1147" t="s">
        <v>262</v>
      </c>
      <c r="D33" s="1148" t="s">
        <v>43</v>
      </c>
      <c r="E33" s="1149">
        <v>47</v>
      </c>
      <c r="F33" s="1147">
        <v>28</v>
      </c>
      <c r="G33" s="1149">
        <v>2859</v>
      </c>
      <c r="H33" s="1174">
        <f t="shared" si="0"/>
        <v>47.65</v>
      </c>
      <c r="I33" s="1174"/>
      <c r="J33" s="1174" t="s">
        <v>354</v>
      </c>
      <c r="K33" s="1174" t="s">
        <v>697</v>
      </c>
      <c r="L33" s="1175" t="s">
        <v>45</v>
      </c>
      <c r="M33" s="1175">
        <v>417</v>
      </c>
      <c r="N33" s="1175"/>
      <c r="O33" s="14" t="s">
        <v>621</v>
      </c>
      <c r="P33" s="343">
        <v>70687</v>
      </c>
      <c r="Q33" s="343">
        <v>2859.9</v>
      </c>
      <c r="R33" s="343" t="s">
        <v>1533</v>
      </c>
      <c r="S33" s="14"/>
      <c r="T33" s="14"/>
      <c r="U33" s="14">
        <f>IFERROR(VLOOKUP(R33,[3]FAQ!$AL:$AN,3,FALSE),"0")</f>
        <v>2863.8</v>
      </c>
      <c r="V33" t="str">
        <f t="shared" si="1"/>
        <v>41IM0066AB</v>
      </c>
      <c r="W33">
        <f t="shared" si="2"/>
        <v>417</v>
      </c>
      <c r="X33">
        <f>IFERROR(VLOOKUP(V33,'[4]CONFIRMED LIST'!$L:$M,2,FALSE),"0")</f>
        <v>417</v>
      </c>
      <c r="Y33" t="b">
        <f t="shared" si="3"/>
        <v>1</v>
      </c>
      <c r="Z33">
        <f t="shared" si="4"/>
        <v>2859.9</v>
      </c>
    </row>
    <row r="34" spans="1:26">
      <c r="A34" s="1140">
        <v>46218</v>
      </c>
      <c r="B34" s="1141" t="s">
        <v>1385</v>
      </c>
      <c r="C34" s="1150" t="s">
        <v>262</v>
      </c>
      <c r="D34" s="1151" t="s">
        <v>45</v>
      </c>
      <c r="E34" s="1152">
        <v>55</v>
      </c>
      <c r="F34" s="1150">
        <v>41</v>
      </c>
      <c r="G34" s="1167">
        <v>3359</v>
      </c>
      <c r="H34" s="1174">
        <f t="shared" si="0"/>
        <v>55.983333333333334</v>
      </c>
      <c r="I34" s="1174"/>
      <c r="J34" s="1174" t="s">
        <v>354</v>
      </c>
      <c r="K34" s="1174" t="s">
        <v>435</v>
      </c>
      <c r="L34" s="1175" t="s">
        <v>54</v>
      </c>
      <c r="M34" s="1175">
        <v>368</v>
      </c>
      <c r="N34" s="1175"/>
      <c r="O34" s="14" t="s">
        <v>621</v>
      </c>
      <c r="P34" s="343">
        <v>70688</v>
      </c>
      <c r="Q34" s="343">
        <v>3359.7</v>
      </c>
      <c r="R34" s="343" t="s">
        <v>1534</v>
      </c>
      <c r="S34" s="14"/>
      <c r="T34" s="14"/>
      <c r="U34" s="14">
        <f>IFERROR(VLOOKUP(R34,[3]FAQ!$AL:$AN,3,FALSE),"0")</f>
        <v>3347.6</v>
      </c>
      <c r="V34" t="str">
        <f t="shared" si="1"/>
        <v>41IM0066C</v>
      </c>
      <c r="W34">
        <f t="shared" si="2"/>
        <v>368</v>
      </c>
      <c r="X34">
        <f>IFERROR(VLOOKUP(V34,'[4]CONFIRMED LIST'!$L:$M,2,FALSE),"0")</f>
        <v>368</v>
      </c>
      <c r="Y34" t="b">
        <f t="shared" si="3"/>
        <v>1</v>
      </c>
      <c r="Z34">
        <f t="shared" si="4"/>
        <v>3359.7</v>
      </c>
    </row>
    <row r="35" spans="1:26">
      <c r="A35" s="1145">
        <v>46218</v>
      </c>
      <c r="B35" s="1146" t="s">
        <v>1385</v>
      </c>
      <c r="C35" s="1147" t="s">
        <v>262</v>
      </c>
      <c r="D35" s="1148" t="s">
        <v>44</v>
      </c>
      <c r="E35" s="1149">
        <v>5</v>
      </c>
      <c r="F35" s="1156">
        <v>62</v>
      </c>
      <c r="G35" s="1156">
        <v>361</v>
      </c>
      <c r="H35" s="1174">
        <f t="shared" si="0"/>
        <v>6.0166666666666666</v>
      </c>
      <c r="I35" s="1174"/>
      <c r="J35" s="1174" t="s">
        <v>354</v>
      </c>
      <c r="K35" s="1174" t="s">
        <v>697</v>
      </c>
      <c r="L35" s="1175" t="s">
        <v>45</v>
      </c>
      <c r="M35" s="1175">
        <v>400</v>
      </c>
      <c r="N35" s="1175"/>
      <c r="O35" s="14" t="s">
        <v>621</v>
      </c>
      <c r="P35" s="343">
        <v>70689</v>
      </c>
      <c r="Q35" s="343">
        <v>361.7</v>
      </c>
      <c r="R35" s="343" t="s">
        <v>1535</v>
      </c>
      <c r="S35" s="14"/>
      <c r="T35" s="14"/>
      <c r="U35" s="14">
        <f>IFERROR(VLOOKUP(R35,[3]FAQ!$AL:$AN,3,FALSE),"0")</f>
        <v>358.6</v>
      </c>
      <c r="V35" t="str">
        <f t="shared" ref="V35:V73" si="5">CONCATENATE(B35,D35)</f>
        <v>41IM0066PB</v>
      </c>
      <c r="W35">
        <f t="shared" ref="W35:W71" si="6">M35</f>
        <v>400</v>
      </c>
      <c r="X35">
        <f>IFERROR(VLOOKUP(V35,'[4]CONFIRMED LIST'!$L:$M,2,FALSE),"0")</f>
        <v>400</v>
      </c>
      <c r="Y35" t="b">
        <f t="shared" ref="Y35:Y68" si="7">X35=M35</f>
        <v>1</v>
      </c>
      <c r="Z35">
        <f t="shared" ref="Z35:Z71" si="8">Q35</f>
        <v>361.7</v>
      </c>
    </row>
    <row r="36" spans="1:26" ht="16">
      <c r="A36" s="1140">
        <v>46218</v>
      </c>
      <c r="B36" s="817" t="s">
        <v>1386</v>
      </c>
      <c r="C36" s="1163" t="s">
        <v>279</v>
      </c>
      <c r="D36" s="1164" t="s">
        <v>43</v>
      </c>
      <c r="E36" s="866">
        <v>77</v>
      </c>
      <c r="F36" s="817">
        <v>69</v>
      </c>
      <c r="G36" s="817">
        <v>4705</v>
      </c>
      <c r="H36" s="1174">
        <f t="shared" si="0"/>
        <v>78.416666666666671</v>
      </c>
      <c r="I36" s="1174"/>
      <c r="J36" s="1174" t="s">
        <v>354</v>
      </c>
      <c r="K36" s="1174" t="s">
        <v>697</v>
      </c>
      <c r="L36" s="1104" t="s">
        <v>45</v>
      </c>
      <c r="M36" s="1104">
        <v>417</v>
      </c>
      <c r="N36" s="1104"/>
      <c r="O36" s="914" t="s">
        <v>621</v>
      </c>
      <c r="P36" s="343">
        <v>70663</v>
      </c>
      <c r="Q36" s="343">
        <v>4705.7</v>
      </c>
      <c r="R36" s="343" t="s">
        <v>1536</v>
      </c>
      <c r="S36" s="14"/>
      <c r="T36" s="14"/>
      <c r="U36" s="14">
        <f>IFERROR(VLOOKUP(R36,[3]FAQ!$AL:$AN,3,FALSE),"0")</f>
        <v>4703.8</v>
      </c>
      <c r="V36" t="str">
        <f t="shared" si="5"/>
        <v>41IM0054AB</v>
      </c>
      <c r="W36">
        <f t="shared" si="6"/>
        <v>417</v>
      </c>
      <c r="X36">
        <f>IFERROR(VLOOKUP(V36,'[4]CONFIRMED LIST'!$L:$M,2,FALSE),"0")</f>
        <v>417</v>
      </c>
      <c r="Y36" t="b">
        <f t="shared" si="7"/>
        <v>1</v>
      </c>
      <c r="Z36">
        <f t="shared" si="8"/>
        <v>4705.7</v>
      </c>
    </row>
    <row r="37" spans="1:26" ht="16">
      <c r="A37" s="1145">
        <v>46218</v>
      </c>
      <c r="B37" s="1166" t="s">
        <v>1386</v>
      </c>
      <c r="C37" s="1104" t="s">
        <v>279</v>
      </c>
      <c r="D37" s="1161" t="s">
        <v>45</v>
      </c>
      <c r="E37" s="1104">
        <v>61</v>
      </c>
      <c r="F37" s="1161">
        <v>34</v>
      </c>
      <c r="G37" s="1166">
        <v>3694</v>
      </c>
      <c r="H37" s="1174">
        <f t="shared" si="0"/>
        <v>61.56666666666667</v>
      </c>
      <c r="I37" s="1174"/>
      <c r="J37" s="1174" t="s">
        <v>354</v>
      </c>
      <c r="K37" s="1174" t="s">
        <v>435</v>
      </c>
      <c r="L37" s="1104" t="s">
        <v>54</v>
      </c>
      <c r="M37" s="1175">
        <v>368</v>
      </c>
      <c r="N37" s="1104"/>
      <c r="O37" s="914" t="s">
        <v>621</v>
      </c>
      <c r="P37" s="343">
        <v>70664</v>
      </c>
      <c r="Q37" s="343">
        <v>3723.3</v>
      </c>
      <c r="R37" s="343" t="s">
        <v>1537</v>
      </c>
      <c r="S37" s="14"/>
      <c r="T37" s="14"/>
      <c r="U37" s="14">
        <f>IFERROR(VLOOKUP(R37,[3]FAQ!$AL:$AN,3,FALSE),"0")</f>
        <v>3728.2</v>
      </c>
      <c r="V37" t="str">
        <f t="shared" si="5"/>
        <v>41IM0054C</v>
      </c>
      <c r="W37">
        <f t="shared" si="6"/>
        <v>368</v>
      </c>
      <c r="X37">
        <f>IFERROR(VLOOKUP(V37,'[4]CONFIRMED LIST'!$L:$M,2,FALSE),"0")</f>
        <v>368</v>
      </c>
      <c r="Y37" t="b">
        <f t="shared" si="7"/>
        <v>1</v>
      </c>
      <c r="Z37">
        <f t="shared" si="8"/>
        <v>3723.3</v>
      </c>
    </row>
    <row r="38" spans="1:26" ht="16">
      <c r="A38" s="1140">
        <v>46218</v>
      </c>
      <c r="B38" s="817" t="s">
        <v>1387</v>
      </c>
      <c r="C38" s="1163" t="s">
        <v>319</v>
      </c>
      <c r="D38" s="1165" t="s">
        <v>42</v>
      </c>
      <c r="E38" s="1163">
        <v>14</v>
      </c>
      <c r="F38" s="1165">
        <v>54</v>
      </c>
      <c r="G38" s="817">
        <v>894</v>
      </c>
      <c r="H38" s="1174">
        <f t="shared" si="0"/>
        <v>14.9</v>
      </c>
      <c r="I38" s="1174"/>
      <c r="J38" s="1174" t="s">
        <v>354</v>
      </c>
      <c r="K38" s="1174" t="s">
        <v>434</v>
      </c>
      <c r="L38" s="1104" t="s">
        <v>45</v>
      </c>
      <c r="M38" s="1104">
        <v>430</v>
      </c>
      <c r="N38" s="1104"/>
      <c r="O38" s="914" t="s">
        <v>621</v>
      </c>
      <c r="P38" s="343">
        <v>70691</v>
      </c>
      <c r="Q38" s="343">
        <v>896.6</v>
      </c>
      <c r="R38" s="343" t="s">
        <v>1538</v>
      </c>
      <c r="S38" s="14"/>
      <c r="T38" s="14"/>
      <c r="U38" s="14">
        <f>IFERROR(VLOOKUP(R38,[3]FAQ!$AL:$AN,3,FALSE),"0")</f>
        <v>891.5</v>
      </c>
      <c r="V38" t="str">
        <f t="shared" si="5"/>
        <v>41IM0049AA</v>
      </c>
      <c r="W38">
        <f t="shared" si="6"/>
        <v>430</v>
      </c>
      <c r="X38">
        <f>IFERROR(VLOOKUP(V38,'[4]CONFIRMED LIST'!$L:$M,2,FALSE),"0")</f>
        <v>430</v>
      </c>
      <c r="Y38" t="b">
        <f t="shared" si="7"/>
        <v>1</v>
      </c>
      <c r="Z38">
        <f t="shared" si="8"/>
        <v>896.6</v>
      </c>
    </row>
    <row r="39" spans="1:26" ht="16">
      <c r="A39" s="1145">
        <v>46218</v>
      </c>
      <c r="B39" s="1166" t="s">
        <v>1387</v>
      </c>
      <c r="C39" s="1104" t="s">
        <v>319</v>
      </c>
      <c r="D39" s="1161" t="s">
        <v>43</v>
      </c>
      <c r="E39" s="1104">
        <v>99</v>
      </c>
      <c r="F39" s="1161">
        <v>17</v>
      </c>
      <c r="G39" s="1166">
        <v>5957</v>
      </c>
      <c r="H39" s="1174">
        <f t="shared" si="0"/>
        <v>99.283333333333331</v>
      </c>
      <c r="I39" s="1174"/>
      <c r="J39" s="1174" t="s">
        <v>354</v>
      </c>
      <c r="K39" s="1174" t="s">
        <v>697</v>
      </c>
      <c r="L39" s="1104" t="s">
        <v>45</v>
      </c>
      <c r="M39" s="1104">
        <v>417</v>
      </c>
      <c r="N39" s="1104"/>
      <c r="O39" s="914" t="s">
        <v>621</v>
      </c>
      <c r="P39" s="1213">
        <v>70692</v>
      </c>
      <c r="Q39" s="1213">
        <v>5966.9</v>
      </c>
      <c r="R39" s="343" t="s">
        <v>1539</v>
      </c>
      <c r="S39" s="14"/>
      <c r="T39" s="14"/>
      <c r="U39" s="14">
        <f>IFERROR(VLOOKUP(R39,[3]FAQ!$AL:$AN,3,FALSE),"0")</f>
        <v>5951</v>
      </c>
      <c r="V39" t="str">
        <f t="shared" si="5"/>
        <v>41IM0049AB</v>
      </c>
      <c r="W39">
        <f t="shared" si="6"/>
        <v>417</v>
      </c>
      <c r="X39">
        <f>IFERROR(VLOOKUP(V39,'[4]CONFIRMED LIST'!$L:$M,2,FALSE),"0")</f>
        <v>417</v>
      </c>
      <c r="Y39" t="b">
        <f t="shared" si="7"/>
        <v>1</v>
      </c>
      <c r="Z39">
        <f t="shared" si="8"/>
        <v>5966.9</v>
      </c>
    </row>
    <row r="40" spans="1:26" ht="16">
      <c r="A40" s="1140">
        <v>46218</v>
      </c>
      <c r="B40" s="817" t="s">
        <v>1387</v>
      </c>
      <c r="C40" s="1163" t="s">
        <v>319</v>
      </c>
      <c r="D40" s="866" t="s">
        <v>45</v>
      </c>
      <c r="E40" s="1163">
        <v>97</v>
      </c>
      <c r="F40" s="866">
        <v>67</v>
      </c>
      <c r="G40" s="817">
        <v>5887</v>
      </c>
      <c r="H40" s="1174">
        <f t="shared" si="0"/>
        <v>98.11666666666666</v>
      </c>
      <c r="I40" s="1174"/>
      <c r="J40" s="1174" t="s">
        <v>354</v>
      </c>
      <c r="K40" s="1174" t="s">
        <v>435</v>
      </c>
      <c r="L40" s="1104" t="s">
        <v>54</v>
      </c>
      <c r="M40" s="1175">
        <v>368</v>
      </c>
      <c r="N40" s="1104"/>
      <c r="O40" s="914" t="s">
        <v>621</v>
      </c>
      <c r="P40" s="343">
        <v>70693</v>
      </c>
      <c r="Q40" s="343">
        <v>5904.7</v>
      </c>
      <c r="R40" s="343" t="s">
        <v>1540</v>
      </c>
      <c r="S40" s="14"/>
      <c r="T40" s="14"/>
      <c r="U40" s="14">
        <f>IFERROR(VLOOKUP(R40,[3]FAQ!$AL:$AN,3,FALSE),"0")</f>
        <v>5893.8</v>
      </c>
      <c r="V40" t="str">
        <f t="shared" si="5"/>
        <v>41IM0049C</v>
      </c>
      <c r="W40">
        <f t="shared" si="6"/>
        <v>368</v>
      </c>
      <c r="X40">
        <f>IFERROR(VLOOKUP(V40,'[4]CONFIRMED LIST'!$L:$M,2,FALSE),"0")</f>
        <v>368</v>
      </c>
      <c r="Y40" t="b">
        <f t="shared" si="7"/>
        <v>1</v>
      </c>
      <c r="Z40">
        <f t="shared" si="8"/>
        <v>5904.7</v>
      </c>
    </row>
    <row r="41" spans="1:26" ht="16">
      <c r="A41" s="1145">
        <v>46218</v>
      </c>
      <c r="B41" s="1166" t="s">
        <v>1387</v>
      </c>
      <c r="C41" s="1104" t="s">
        <v>319</v>
      </c>
      <c r="D41" s="1161" t="s">
        <v>44</v>
      </c>
      <c r="E41" s="1104">
        <v>11</v>
      </c>
      <c r="F41" s="1161">
        <v>12</v>
      </c>
      <c r="G41" s="1166">
        <v>672</v>
      </c>
      <c r="H41" s="1174">
        <f t="shared" si="0"/>
        <v>11.2</v>
      </c>
      <c r="I41" s="1174"/>
      <c r="J41" s="1174" t="s">
        <v>354</v>
      </c>
      <c r="K41" s="1174" t="s">
        <v>697</v>
      </c>
      <c r="L41" s="1104" t="s">
        <v>45</v>
      </c>
      <c r="M41" s="1104">
        <v>400</v>
      </c>
      <c r="N41" s="1104"/>
      <c r="O41" s="914" t="s">
        <v>621</v>
      </c>
      <c r="P41" s="343">
        <v>70694</v>
      </c>
      <c r="Q41" s="343">
        <v>671.1</v>
      </c>
      <c r="R41" s="343" t="s">
        <v>1541</v>
      </c>
      <c r="S41" s="14"/>
      <c r="T41" s="14"/>
      <c r="U41" s="14">
        <f>IFERROR(VLOOKUP(R41,[3]FAQ!$AL:$AN,3,FALSE),"0")</f>
        <v>674.2</v>
      </c>
      <c r="V41" t="str">
        <f t="shared" si="5"/>
        <v>41IM0049PB</v>
      </c>
      <c r="W41">
        <f t="shared" si="6"/>
        <v>400</v>
      </c>
      <c r="X41">
        <f>IFERROR(VLOOKUP(V41,'[4]CONFIRMED LIST'!$L:$M,2,FALSE),"0")</f>
        <v>400</v>
      </c>
      <c r="Y41" t="b">
        <f t="shared" si="7"/>
        <v>1</v>
      </c>
      <c r="Z41">
        <f t="shared" si="8"/>
        <v>671.1</v>
      </c>
    </row>
    <row r="42" spans="1:26" ht="16">
      <c r="A42" s="1153">
        <v>46218</v>
      </c>
      <c r="B42" s="1166" t="s">
        <v>1388</v>
      </c>
      <c r="C42" s="1104" t="s">
        <v>273</v>
      </c>
      <c r="D42" s="1161" t="s">
        <v>42</v>
      </c>
      <c r="E42" s="1104">
        <v>6</v>
      </c>
      <c r="F42" s="1161">
        <v>48</v>
      </c>
      <c r="G42" s="1166">
        <v>408</v>
      </c>
      <c r="H42" s="1174">
        <f t="shared" si="0"/>
        <v>6.8</v>
      </c>
      <c r="I42" s="1174"/>
      <c r="J42" s="1174" t="s">
        <v>354</v>
      </c>
      <c r="K42" s="1174" t="s">
        <v>434</v>
      </c>
      <c r="L42" s="1104" t="s">
        <v>45</v>
      </c>
      <c r="M42" s="1104">
        <v>430</v>
      </c>
      <c r="N42" s="1104"/>
      <c r="O42" s="914" t="s">
        <v>621</v>
      </c>
      <c r="P42" s="343">
        <v>70696</v>
      </c>
      <c r="Q42" s="343">
        <v>409.4</v>
      </c>
      <c r="R42" s="343" t="s">
        <v>1542</v>
      </c>
      <c r="S42" s="14"/>
      <c r="T42" s="14"/>
      <c r="U42" s="14">
        <f>IFERROR(VLOOKUP(R42,[3]FAQ!$AL:$AN,3,FALSE),"0")</f>
        <v>408.7</v>
      </c>
      <c r="V42" t="str">
        <f t="shared" si="5"/>
        <v>41IM0063AA</v>
      </c>
      <c r="W42">
        <f t="shared" si="6"/>
        <v>430</v>
      </c>
      <c r="X42">
        <f>IFERROR(VLOOKUP(V42,'[4]CONFIRMED LIST'!$L:$M,2,FALSE),"0")</f>
        <v>430</v>
      </c>
      <c r="Y42" t="b">
        <f t="shared" si="7"/>
        <v>1</v>
      </c>
      <c r="Z42">
        <f t="shared" si="8"/>
        <v>409.4</v>
      </c>
    </row>
    <row r="43" spans="1:26" ht="16">
      <c r="A43" s="1145">
        <v>46218</v>
      </c>
      <c r="B43" s="1166" t="s">
        <v>1388</v>
      </c>
      <c r="C43" s="1104" t="s">
        <v>273</v>
      </c>
      <c r="D43" s="1161" t="s">
        <v>43</v>
      </c>
      <c r="E43" s="1104">
        <v>49</v>
      </c>
      <c r="F43" s="1161">
        <v>63</v>
      </c>
      <c r="G43" s="1166">
        <v>3003</v>
      </c>
      <c r="H43" s="1174">
        <f t="shared" si="0"/>
        <v>50.05</v>
      </c>
      <c r="I43" s="1174"/>
      <c r="J43" s="1174" t="s">
        <v>354</v>
      </c>
      <c r="K43" s="1174" t="s">
        <v>697</v>
      </c>
      <c r="L43" s="1104" t="s">
        <v>45</v>
      </c>
      <c r="M43" s="1104">
        <v>417</v>
      </c>
      <c r="N43" s="1104"/>
      <c r="O43" s="914" t="s">
        <v>621</v>
      </c>
      <c r="P43" s="343">
        <v>70697</v>
      </c>
      <c r="Q43" s="343">
        <v>3021.5</v>
      </c>
      <c r="R43" s="343" t="s">
        <v>1543</v>
      </c>
      <c r="S43" s="14"/>
      <c r="T43" s="14"/>
      <c r="U43" s="14">
        <f>IFERROR(VLOOKUP(R43,[3]FAQ!$AL:$AN,3,FALSE),"0")</f>
        <v>3020</v>
      </c>
      <c r="V43" t="str">
        <f t="shared" si="5"/>
        <v>41IM0063AB</v>
      </c>
      <c r="W43">
        <f t="shared" si="6"/>
        <v>417</v>
      </c>
      <c r="X43">
        <f>IFERROR(VLOOKUP(V43,'[4]CONFIRMED LIST'!$L:$M,2,FALSE),"0")</f>
        <v>417</v>
      </c>
      <c r="Y43" t="b">
        <f t="shared" si="7"/>
        <v>1</v>
      </c>
      <c r="Z43">
        <f t="shared" si="8"/>
        <v>3021.5</v>
      </c>
    </row>
    <row r="44" spans="1:26" ht="16">
      <c r="A44" s="1140">
        <v>46218</v>
      </c>
      <c r="B44" s="817" t="s">
        <v>1388</v>
      </c>
      <c r="C44" s="1163" t="s">
        <v>273</v>
      </c>
      <c r="D44" s="866" t="s">
        <v>45</v>
      </c>
      <c r="E44" s="1163">
        <v>36</v>
      </c>
      <c r="F44" s="866">
        <v>13</v>
      </c>
      <c r="G44" s="817">
        <v>2173</v>
      </c>
      <c r="H44" s="1174">
        <f t="shared" si="0"/>
        <v>36.216666666666669</v>
      </c>
      <c r="I44" s="1174"/>
      <c r="J44" s="1174" t="s">
        <v>354</v>
      </c>
      <c r="K44" s="1174" t="s">
        <v>435</v>
      </c>
      <c r="L44" s="1104" t="s">
        <v>54</v>
      </c>
      <c r="M44" s="1175">
        <v>368</v>
      </c>
      <c r="N44" s="1104"/>
      <c r="O44" s="914" t="s">
        <v>621</v>
      </c>
      <c r="P44" s="343">
        <v>70698</v>
      </c>
      <c r="Q44" s="343">
        <v>2179.8000000000002</v>
      </c>
      <c r="R44" s="343" t="s">
        <v>1544</v>
      </c>
      <c r="S44" s="14"/>
      <c r="T44" s="14"/>
      <c r="U44" s="14">
        <f>IFERROR(VLOOKUP(R44,[3]FAQ!$AL:$AN,3,FALSE),"0")</f>
        <v>2175.6999999999998</v>
      </c>
      <c r="V44" t="str">
        <f t="shared" si="5"/>
        <v>41IM0063C</v>
      </c>
      <c r="W44">
        <f t="shared" si="6"/>
        <v>368</v>
      </c>
      <c r="X44">
        <f>IFERROR(VLOOKUP(V44,'[4]CONFIRMED LIST'!$L:$M,2,FALSE),"0")</f>
        <v>368</v>
      </c>
      <c r="Y44" t="b">
        <f t="shared" si="7"/>
        <v>1</v>
      </c>
      <c r="Z44">
        <f t="shared" si="8"/>
        <v>2179.8000000000002</v>
      </c>
    </row>
    <row r="45" spans="1:26" ht="16">
      <c r="A45" s="1145">
        <v>46218</v>
      </c>
      <c r="B45" s="1166" t="s">
        <v>1388</v>
      </c>
      <c r="C45" s="1104" t="s">
        <v>273</v>
      </c>
      <c r="D45" s="1161" t="s">
        <v>44</v>
      </c>
      <c r="E45" s="1104">
        <v>3</v>
      </c>
      <c r="F45" s="1161">
        <v>56</v>
      </c>
      <c r="G45" s="1166">
        <v>236</v>
      </c>
      <c r="H45" s="1174">
        <f t="shared" si="0"/>
        <v>3.9333333333333331</v>
      </c>
      <c r="I45" s="1174"/>
      <c r="J45" s="1174" t="s">
        <v>354</v>
      </c>
      <c r="K45" s="1174" t="s">
        <v>697</v>
      </c>
      <c r="L45" s="1104" t="s">
        <v>45</v>
      </c>
      <c r="M45" s="1104">
        <v>400</v>
      </c>
      <c r="N45" s="1104"/>
      <c r="O45" s="914" t="s">
        <v>621</v>
      </c>
      <c r="P45" s="343">
        <v>70699</v>
      </c>
      <c r="Q45" s="343">
        <v>236.5</v>
      </c>
      <c r="R45" s="343" t="s">
        <v>1545</v>
      </c>
      <c r="S45" s="14"/>
      <c r="T45" s="14"/>
      <c r="U45" s="14">
        <f>IFERROR(VLOOKUP(R45,[3]FAQ!$AL:$AN,3,FALSE),"0")</f>
        <v>237.4</v>
      </c>
      <c r="V45" t="str">
        <f t="shared" si="5"/>
        <v>41IM0063PB</v>
      </c>
      <c r="W45">
        <f t="shared" si="6"/>
        <v>400</v>
      </c>
      <c r="X45">
        <f>IFERROR(VLOOKUP(V45,'[4]CONFIRMED LIST'!$L:$M,2,FALSE),"0")</f>
        <v>400</v>
      </c>
      <c r="Y45" t="b">
        <f t="shared" si="7"/>
        <v>1</v>
      </c>
      <c r="Z45">
        <f t="shared" si="8"/>
        <v>236.5</v>
      </c>
    </row>
    <row r="46" spans="1:26" ht="16">
      <c r="A46" s="1153">
        <v>46218</v>
      </c>
      <c r="B46" s="1166" t="s">
        <v>1389</v>
      </c>
      <c r="C46" s="1104" t="s">
        <v>281</v>
      </c>
      <c r="D46" s="1161" t="s">
        <v>43</v>
      </c>
      <c r="E46" s="1104">
        <v>11</v>
      </c>
      <c r="F46" s="1161">
        <v>42</v>
      </c>
      <c r="G46" s="1166">
        <v>702</v>
      </c>
      <c r="H46" s="1174">
        <f t="shared" si="0"/>
        <v>11.7</v>
      </c>
      <c r="I46" s="1174"/>
      <c r="J46" s="1174" t="s">
        <v>354</v>
      </c>
      <c r="K46" s="1174" t="s">
        <v>697</v>
      </c>
      <c r="L46" s="1104" t="s">
        <v>45</v>
      </c>
      <c r="M46" s="1104">
        <v>417</v>
      </c>
      <c r="N46" s="1104"/>
      <c r="O46" s="914" t="s">
        <v>621</v>
      </c>
      <c r="P46" s="343">
        <v>70701</v>
      </c>
      <c r="Q46" s="343">
        <v>702.9</v>
      </c>
      <c r="R46" s="343" t="s">
        <v>1546</v>
      </c>
      <c r="S46" s="14"/>
      <c r="T46" s="14"/>
      <c r="U46" s="14">
        <f>IFERROR(VLOOKUP(R46,[3]FAQ!$AL:$AN,3,FALSE),"0")</f>
        <v>705.2</v>
      </c>
      <c r="V46" t="str">
        <f t="shared" si="5"/>
        <v>41IM0065AB</v>
      </c>
      <c r="W46">
        <f t="shared" si="6"/>
        <v>417</v>
      </c>
      <c r="X46">
        <f>IFERROR(VLOOKUP(V46,'[4]CONFIRMED LIST'!$L:$M,2,FALSE),"0")</f>
        <v>417</v>
      </c>
      <c r="Y46" t="b">
        <f t="shared" si="7"/>
        <v>1</v>
      </c>
      <c r="Z46">
        <f t="shared" si="8"/>
        <v>702.9</v>
      </c>
    </row>
    <row r="47" spans="1:26" ht="16">
      <c r="A47" s="1158">
        <v>46218</v>
      </c>
      <c r="B47" s="1159" t="s">
        <v>1389</v>
      </c>
      <c r="C47" s="866" t="s">
        <v>281</v>
      </c>
      <c r="D47" s="1159" t="s">
        <v>45</v>
      </c>
      <c r="E47" s="1160">
        <v>9</v>
      </c>
      <c r="F47" s="866">
        <v>65</v>
      </c>
      <c r="G47" s="1171">
        <v>605</v>
      </c>
      <c r="H47" s="1174">
        <f t="shared" si="0"/>
        <v>10.083333333333334</v>
      </c>
      <c r="I47" s="1174"/>
      <c r="J47" s="1174" t="s">
        <v>354</v>
      </c>
      <c r="K47" s="1174" t="s">
        <v>435</v>
      </c>
      <c r="L47" s="1104" t="s">
        <v>54</v>
      </c>
      <c r="M47" s="1175">
        <v>368</v>
      </c>
      <c r="N47" s="1104"/>
      <c r="O47" s="914" t="s">
        <v>621</v>
      </c>
      <c r="P47" s="343">
        <v>70702</v>
      </c>
      <c r="Q47" s="343">
        <v>604.5</v>
      </c>
      <c r="R47" s="343" t="s">
        <v>1547</v>
      </c>
      <c r="S47" s="14"/>
      <c r="T47" s="14"/>
      <c r="U47" s="14">
        <f>IFERROR(VLOOKUP(R47,[3]FAQ!$AL:$AN,3,FALSE),"0")</f>
        <v>607</v>
      </c>
      <c r="V47" t="str">
        <f t="shared" si="5"/>
        <v>41IM0065C</v>
      </c>
      <c r="W47">
        <f t="shared" si="6"/>
        <v>368</v>
      </c>
      <c r="X47">
        <f>IFERROR(VLOOKUP(V47,'[4]CONFIRMED LIST'!$L:$M,2,FALSE),"0")</f>
        <v>368</v>
      </c>
      <c r="Y47" t="b">
        <f t="shared" si="7"/>
        <v>1</v>
      </c>
      <c r="Z47">
        <f t="shared" si="8"/>
        <v>604.5</v>
      </c>
    </row>
    <row r="48" spans="1:26" ht="16">
      <c r="A48" s="1145">
        <v>46218</v>
      </c>
      <c r="B48" s="1104" t="s">
        <v>1379</v>
      </c>
      <c r="C48" s="1161" t="s">
        <v>271</v>
      </c>
      <c r="D48" s="1104" t="s">
        <v>43</v>
      </c>
      <c r="E48" s="1162">
        <v>79</v>
      </c>
      <c r="F48" s="1161">
        <v>27</v>
      </c>
      <c r="G48" s="1166">
        <v>4767</v>
      </c>
      <c r="H48" s="1174">
        <f t="shared" si="0"/>
        <v>79.45</v>
      </c>
      <c r="I48" s="1174"/>
      <c r="J48" s="1174" t="s">
        <v>354</v>
      </c>
      <c r="K48" s="1174" t="s">
        <v>697</v>
      </c>
      <c r="L48" s="1104" t="s">
        <v>45</v>
      </c>
      <c r="M48" s="1104">
        <v>417</v>
      </c>
      <c r="N48" s="1104"/>
      <c r="O48" s="914" t="s">
        <v>621</v>
      </c>
      <c r="P48" s="343">
        <v>70712</v>
      </c>
      <c r="Q48" s="343">
        <v>4803.8999999999996</v>
      </c>
      <c r="R48" s="343" t="s">
        <v>1548</v>
      </c>
      <c r="S48" s="14"/>
      <c r="T48" s="14"/>
      <c r="U48" s="14">
        <f>IFERROR(VLOOKUP(R48,[3]FAQ!$AL:$AN,3,FALSE),"0")</f>
        <v>4797</v>
      </c>
      <c r="V48" t="str">
        <f t="shared" si="5"/>
        <v>41IM0052AB</v>
      </c>
      <c r="W48">
        <f t="shared" si="6"/>
        <v>417</v>
      </c>
      <c r="X48">
        <f>IFERROR(VLOOKUP(V48,'[4]CONFIRMED LIST'!$L:$M,2,FALSE),"0")</f>
        <v>417</v>
      </c>
      <c r="Y48" t="b">
        <f t="shared" si="7"/>
        <v>1</v>
      </c>
      <c r="Z48">
        <f t="shared" si="8"/>
        <v>4803.8999999999996</v>
      </c>
    </row>
    <row r="49" spans="1:28" ht="16">
      <c r="A49" s="1271">
        <v>46218</v>
      </c>
      <c r="B49" s="1163" t="s">
        <v>1377</v>
      </c>
      <c r="C49" s="866" t="s">
        <v>312</v>
      </c>
      <c r="D49" s="1163" t="s">
        <v>45</v>
      </c>
      <c r="E49" s="1164">
        <v>41</v>
      </c>
      <c r="F49" s="866">
        <v>59</v>
      </c>
      <c r="G49" s="817">
        <v>2519</v>
      </c>
      <c r="H49" s="1174">
        <f t="shared" si="0"/>
        <v>41.983333333333334</v>
      </c>
      <c r="I49" s="1174"/>
      <c r="J49" s="1174" t="s">
        <v>354</v>
      </c>
      <c r="K49" s="1174" t="s">
        <v>435</v>
      </c>
      <c r="L49" s="1104" t="s">
        <v>54</v>
      </c>
      <c r="M49" s="1175">
        <v>368</v>
      </c>
      <c r="N49" s="1104"/>
      <c r="O49" s="914" t="s">
        <v>621</v>
      </c>
      <c r="P49" s="343">
        <v>70677</v>
      </c>
      <c r="Q49" s="343">
        <v>2497.8000000000002</v>
      </c>
      <c r="R49" s="343" t="s">
        <v>1549</v>
      </c>
      <c r="S49" s="14"/>
      <c r="T49" s="14"/>
      <c r="U49" s="14">
        <f>IFERROR(VLOOKUP(R49,[3]FAQ!$AL:$AN,3,FALSE),"0")</f>
        <v>2500.1999999999998</v>
      </c>
      <c r="V49" t="str">
        <f t="shared" si="5"/>
        <v>41IM0050C</v>
      </c>
      <c r="W49">
        <f t="shared" si="6"/>
        <v>368</v>
      </c>
      <c r="X49">
        <f>IFERROR(VLOOKUP(V49,'[4]CONFIRMED LIST'!$L:$M,2,FALSE),"0")</f>
        <v>368</v>
      </c>
      <c r="Y49" t="b">
        <f t="shared" si="7"/>
        <v>1</v>
      </c>
      <c r="Z49">
        <f t="shared" si="8"/>
        <v>2497.8000000000002</v>
      </c>
    </row>
    <row r="50" spans="1:28" ht="15.5">
      <c r="A50" s="1269" t="s">
        <v>1395</v>
      </c>
      <c r="B50" s="1185" t="s">
        <v>1386</v>
      </c>
      <c r="C50" s="1187" t="s">
        <v>279</v>
      </c>
      <c r="D50" s="1186" t="s">
        <v>42</v>
      </c>
      <c r="E50" s="1279">
        <v>11</v>
      </c>
      <c r="F50" s="1187">
        <v>20</v>
      </c>
      <c r="G50" s="1282">
        <f>E50*60+F50</f>
        <v>680</v>
      </c>
      <c r="H50" s="1193"/>
      <c r="I50" s="1174"/>
      <c r="J50" s="1174" t="s">
        <v>354</v>
      </c>
      <c r="K50" s="1174" t="s">
        <v>434</v>
      </c>
      <c r="L50" s="1192" t="s">
        <v>45</v>
      </c>
      <c r="M50" s="325">
        <v>430</v>
      </c>
      <c r="N50" s="32"/>
      <c r="O50" s="1214" t="s">
        <v>621</v>
      </c>
      <c r="P50" s="343">
        <v>70713</v>
      </c>
      <c r="Q50" s="343">
        <v>681.1</v>
      </c>
      <c r="R50" s="343" t="s">
        <v>1550</v>
      </c>
      <c r="S50" s="32"/>
      <c r="T50" s="32"/>
      <c r="U50" s="14">
        <f>IFERROR(VLOOKUP(R50,[3]FAQ!$AL:$AN,3,FALSE),"0")</f>
        <v>681.2</v>
      </c>
      <c r="V50" t="str">
        <f t="shared" si="5"/>
        <v>41IM0054AA</v>
      </c>
      <c r="W50">
        <f t="shared" si="6"/>
        <v>430</v>
      </c>
      <c r="X50">
        <f>IFERROR(VLOOKUP(V50,'[4]CONFIRMED LIST'!$L:$M,2,FALSE),"0")</f>
        <v>430</v>
      </c>
      <c r="Y50" t="b">
        <f t="shared" si="7"/>
        <v>1</v>
      </c>
      <c r="Z50">
        <f t="shared" si="8"/>
        <v>681.1</v>
      </c>
    </row>
    <row r="51" spans="1:28" ht="15.5">
      <c r="A51" s="1269" t="s">
        <v>1395</v>
      </c>
      <c r="B51" s="1185" t="s">
        <v>1386</v>
      </c>
      <c r="C51" s="1187" t="s">
        <v>279</v>
      </c>
      <c r="D51" s="1186" t="s">
        <v>44</v>
      </c>
      <c r="E51" s="1278">
        <v>7</v>
      </c>
      <c r="F51" s="1184">
        <v>12</v>
      </c>
      <c r="G51" s="1281">
        <f>E51*60+F51</f>
        <v>432</v>
      </c>
      <c r="H51" s="1193"/>
      <c r="I51" s="1174"/>
      <c r="J51" s="1174" t="s">
        <v>354</v>
      </c>
      <c r="K51" s="1174" t="s">
        <v>697</v>
      </c>
      <c r="L51" s="1192" t="s">
        <v>45</v>
      </c>
      <c r="M51" s="325">
        <v>400</v>
      </c>
      <c r="N51" s="32"/>
      <c r="O51" s="1214" t="s">
        <v>621</v>
      </c>
      <c r="P51" s="343">
        <v>70714</v>
      </c>
      <c r="Q51" s="343">
        <v>433.1</v>
      </c>
      <c r="R51" s="343" t="s">
        <v>1551</v>
      </c>
      <c r="S51" s="32"/>
      <c r="T51" s="32"/>
      <c r="U51" s="14">
        <f>IFERROR(VLOOKUP(R51,[3]FAQ!$AL:$AN,3,FALSE),"0")</f>
        <v>432.8</v>
      </c>
      <c r="V51" t="str">
        <f t="shared" si="5"/>
        <v>41IM0054PB</v>
      </c>
      <c r="W51">
        <f t="shared" si="6"/>
        <v>400</v>
      </c>
      <c r="X51">
        <f>IFERROR(VLOOKUP(V51,'[4]CONFIRMED LIST'!$L:$M,2,FALSE),"0")</f>
        <v>400</v>
      </c>
      <c r="Y51" t="b">
        <f t="shared" si="7"/>
        <v>1</v>
      </c>
      <c r="Z51">
        <f t="shared" si="8"/>
        <v>433.1</v>
      </c>
    </row>
    <row r="52" spans="1:28" ht="15.5">
      <c r="A52" s="1269" t="s">
        <v>1395</v>
      </c>
      <c r="B52" s="1188" t="s">
        <v>1396</v>
      </c>
      <c r="C52" s="1190" t="s">
        <v>1397</v>
      </c>
      <c r="D52" s="1189" t="s">
        <v>42</v>
      </c>
      <c r="E52" s="1279">
        <v>6</v>
      </c>
      <c r="F52" s="1187">
        <v>37</v>
      </c>
      <c r="G52" s="1282">
        <f>E52*60+F52</f>
        <v>397</v>
      </c>
      <c r="H52" s="1193"/>
      <c r="I52" s="32"/>
      <c r="J52" s="1174" t="s">
        <v>354</v>
      </c>
      <c r="K52" s="1174" t="s">
        <v>434</v>
      </c>
      <c r="L52" s="1192" t="s">
        <v>45</v>
      </c>
      <c r="M52" s="325">
        <v>430</v>
      </c>
      <c r="N52" s="32"/>
      <c r="O52" s="1214" t="s">
        <v>621</v>
      </c>
      <c r="P52" s="343">
        <v>70717</v>
      </c>
      <c r="Q52" s="343">
        <v>397.6</v>
      </c>
      <c r="R52" s="343" t="s">
        <v>1552</v>
      </c>
      <c r="S52" s="32"/>
      <c r="T52" s="32"/>
      <c r="U52" s="14">
        <f>IFERROR(VLOOKUP(R52,[3]FAQ!$AL:$AN,3,FALSE),"0")</f>
        <v>397.7</v>
      </c>
      <c r="V52" t="str">
        <f t="shared" si="5"/>
        <v>42IM2001AA</v>
      </c>
      <c r="W52">
        <f t="shared" si="6"/>
        <v>430</v>
      </c>
      <c r="X52">
        <f>IFERROR(VLOOKUP(V52,'[4]CONFIRMED LIST'!$L:$M,2,FALSE),"0")</f>
        <v>430</v>
      </c>
      <c r="Y52" t="b">
        <f t="shared" si="7"/>
        <v>1</v>
      </c>
      <c r="Z52">
        <f t="shared" si="8"/>
        <v>397.6</v>
      </c>
    </row>
    <row r="53" spans="1:28" ht="16" thickBot="1">
      <c r="A53" s="1324" t="s">
        <v>1395</v>
      </c>
      <c r="B53" s="1330" t="s">
        <v>1398</v>
      </c>
      <c r="C53" s="1184" t="s">
        <v>1397</v>
      </c>
      <c r="D53" s="1331" t="s">
        <v>44</v>
      </c>
      <c r="E53" s="1278">
        <v>5</v>
      </c>
      <c r="F53" s="1184">
        <v>44</v>
      </c>
      <c r="G53" s="1281">
        <f>E53*60+F53</f>
        <v>344</v>
      </c>
      <c r="H53" s="1325"/>
      <c r="I53" s="38"/>
      <c r="J53" s="1191" t="s">
        <v>354</v>
      </c>
      <c r="K53" s="1191" t="s">
        <v>697</v>
      </c>
      <c r="L53" s="1326" t="s">
        <v>45</v>
      </c>
      <c r="M53" s="1327">
        <v>400</v>
      </c>
      <c r="N53" s="38"/>
      <c r="O53" s="1328" t="s">
        <v>621</v>
      </c>
      <c r="P53" s="1357">
        <v>70718</v>
      </c>
      <c r="Q53" s="1357">
        <v>344.5</v>
      </c>
      <c r="R53" s="1357" t="s">
        <v>1553</v>
      </c>
      <c r="S53" s="38"/>
      <c r="T53" s="38"/>
      <c r="U53" s="14">
        <f>IFERROR(VLOOKUP(R53,[3]FAQ!$AL:$AN,3,FALSE),"0")</f>
        <v>338.6</v>
      </c>
      <c r="V53" t="str">
        <f t="shared" si="5"/>
        <v>42IM2005PB</v>
      </c>
      <c r="W53">
        <f t="shared" si="6"/>
        <v>400</v>
      </c>
      <c r="X53">
        <v>400</v>
      </c>
      <c r="Y53" t="b">
        <f t="shared" si="7"/>
        <v>1</v>
      </c>
      <c r="Z53">
        <f t="shared" si="8"/>
        <v>344.5</v>
      </c>
    </row>
    <row r="54" spans="1:28" ht="16" thickBot="1">
      <c r="A54" s="1339"/>
      <c r="B54" s="1340"/>
      <c r="C54" s="1341"/>
      <c r="D54" s="1341"/>
      <c r="E54" s="1341"/>
      <c r="F54" s="1341"/>
      <c r="G54" s="1342"/>
      <c r="H54" s="1343"/>
      <c r="I54" s="1344"/>
      <c r="J54" s="1345"/>
      <c r="K54" s="1345"/>
      <c r="L54" s="1342"/>
      <c r="M54" s="1346"/>
      <c r="N54" s="1344"/>
      <c r="O54" s="1355"/>
      <c r="P54" s="1359"/>
      <c r="Q54" s="1360"/>
      <c r="R54" s="1360"/>
      <c r="S54" s="1344"/>
      <c r="T54" s="1376">
        <f>U54/60</f>
        <v>1474.4933333333331</v>
      </c>
      <c r="U54" s="1371">
        <f>SUM(U3:U53)</f>
        <v>88469.599999999991</v>
      </c>
      <c r="AA54" s="1321" t="s">
        <v>29</v>
      </c>
      <c r="AB54" s="1323">
        <f>SUMPRODUCT(U3:U53,M3:M53)/U54</f>
        <v>394.30081180428084</v>
      </c>
    </row>
    <row r="55" spans="1:28" ht="16" thickBot="1">
      <c r="A55" s="1347"/>
      <c r="B55" s="1348"/>
      <c r="C55" s="1349"/>
      <c r="D55" s="1349"/>
      <c r="E55" s="1349"/>
      <c r="F55" s="1349"/>
      <c r="G55" s="1350"/>
      <c r="H55" s="1351"/>
      <c r="I55" s="1352"/>
      <c r="J55" s="1353"/>
      <c r="K55" s="1353"/>
      <c r="L55" s="1350"/>
      <c r="M55" s="1354"/>
      <c r="N55" s="1352"/>
      <c r="O55" s="1356"/>
      <c r="P55" s="1361"/>
      <c r="Q55" s="1362"/>
      <c r="R55" s="1362"/>
      <c r="S55" s="1352"/>
      <c r="T55" s="1363"/>
      <c r="U55" s="546"/>
    </row>
    <row r="56" spans="1:28" ht="15.5">
      <c r="A56" s="1332" t="s">
        <v>1395</v>
      </c>
      <c r="B56" s="1188" t="s">
        <v>1399</v>
      </c>
      <c r="C56" s="1189" t="s">
        <v>1397</v>
      </c>
      <c r="D56" s="1189" t="s">
        <v>46</v>
      </c>
      <c r="E56" s="1189">
        <v>13</v>
      </c>
      <c r="F56" s="1189">
        <v>55</v>
      </c>
      <c r="G56" s="1333">
        <f>E56*60+F56</f>
        <v>835</v>
      </c>
      <c r="H56" s="1334"/>
      <c r="I56" s="1335"/>
      <c r="J56" s="1336" t="s">
        <v>418</v>
      </c>
      <c r="K56" s="1336" t="s">
        <v>749</v>
      </c>
      <c r="L56" s="1333" t="s">
        <v>356</v>
      </c>
      <c r="M56" s="1337">
        <v>285</v>
      </c>
      <c r="N56" s="1335"/>
      <c r="O56" s="1338" t="s">
        <v>621</v>
      </c>
      <c r="P56" s="1358">
        <v>70719</v>
      </c>
      <c r="Q56" s="1358">
        <v>833.7</v>
      </c>
      <c r="R56" s="1358" t="s">
        <v>1554</v>
      </c>
      <c r="S56" s="1335"/>
      <c r="T56" s="1335"/>
      <c r="U56" s="14">
        <f>IFERROR(VLOOKUP(R56,[3]Grinder!$U:$V,2,FALSE),"0")</f>
        <v>834.4</v>
      </c>
      <c r="V56" t="str">
        <f t="shared" si="5"/>
        <v>42IM2010TT</v>
      </c>
      <c r="W56">
        <f t="shared" si="6"/>
        <v>285</v>
      </c>
      <c r="X56">
        <v>285</v>
      </c>
      <c r="Y56" t="b">
        <f t="shared" si="7"/>
        <v>1</v>
      </c>
      <c r="Z56">
        <f t="shared" si="8"/>
        <v>833.7</v>
      </c>
    </row>
    <row r="57" spans="1:28">
      <c r="A57" s="1199">
        <v>46218</v>
      </c>
      <c r="B57" s="1175" t="s">
        <v>1376</v>
      </c>
      <c r="C57" s="1147" t="s">
        <v>262</v>
      </c>
      <c r="D57" s="1147" t="s">
        <v>47</v>
      </c>
      <c r="E57" s="1147">
        <v>16</v>
      </c>
      <c r="F57" s="1147">
        <v>45</v>
      </c>
      <c r="G57" s="1147">
        <v>1010</v>
      </c>
      <c r="H57" s="1174">
        <f t="shared" ref="H57:H68" si="9">+G57/60</f>
        <v>16.833333333333332</v>
      </c>
      <c r="I57" s="1174"/>
      <c r="J57" s="1174" t="s">
        <v>418</v>
      </c>
      <c r="K57" s="1174" t="s">
        <v>436</v>
      </c>
      <c r="L57" s="1175" t="s">
        <v>397</v>
      </c>
      <c r="M57" s="1175">
        <v>285</v>
      </c>
      <c r="N57" s="1175"/>
      <c r="O57" s="14" t="s">
        <v>621</v>
      </c>
      <c r="P57" s="343">
        <v>70686</v>
      </c>
      <c r="Q57" s="343">
        <v>1010.6</v>
      </c>
      <c r="R57" s="343" t="s">
        <v>1555</v>
      </c>
      <c r="S57" s="14"/>
      <c r="T57" s="14"/>
      <c r="U57" s="14">
        <f>IFERROR(VLOOKUP(R57,[3]Grinder!$U:$V,2,FALSE),"0")</f>
        <v>1006.7</v>
      </c>
      <c r="V57" t="str">
        <f t="shared" si="5"/>
        <v>41IM0048T</v>
      </c>
      <c r="W57">
        <f t="shared" si="6"/>
        <v>285</v>
      </c>
      <c r="X57">
        <f>IFERROR(VLOOKUP(V57,'[4]CONFIRMED LIST'!$L:$M,2,FALSE),"0")</f>
        <v>285</v>
      </c>
      <c r="Y57" t="b">
        <f t="shared" si="7"/>
        <v>1</v>
      </c>
      <c r="Z57">
        <f t="shared" si="8"/>
        <v>1010.6</v>
      </c>
    </row>
    <row r="58" spans="1:28">
      <c r="A58" s="1199">
        <v>46218</v>
      </c>
      <c r="B58" s="1175" t="s">
        <v>1377</v>
      </c>
      <c r="C58" s="1147" t="s">
        <v>312</v>
      </c>
      <c r="D58" s="1147" t="s">
        <v>47</v>
      </c>
      <c r="E58" s="1147">
        <v>10</v>
      </c>
      <c r="F58" s="1147">
        <v>15</v>
      </c>
      <c r="G58" s="1147">
        <v>617</v>
      </c>
      <c r="H58" s="1174">
        <f t="shared" si="9"/>
        <v>10.283333333333333</v>
      </c>
      <c r="I58" s="1174"/>
      <c r="J58" s="1174" t="s">
        <v>418</v>
      </c>
      <c r="K58" s="1174" t="s">
        <v>418</v>
      </c>
      <c r="L58" s="1175" t="s">
        <v>59</v>
      </c>
      <c r="M58" s="1175">
        <v>285</v>
      </c>
      <c r="N58" s="1175"/>
      <c r="O58" s="14" t="s">
        <v>621</v>
      </c>
      <c r="P58" s="343">
        <v>70676</v>
      </c>
      <c r="Q58" s="343">
        <v>617.4</v>
      </c>
      <c r="R58" s="343" t="s">
        <v>1556</v>
      </c>
      <c r="S58" s="14"/>
      <c r="T58" s="14"/>
      <c r="U58" s="14">
        <f>IFERROR(VLOOKUP(R58,[3]Grinder!$U:$V,2,FALSE),"0")</f>
        <v>618.1</v>
      </c>
      <c r="V58" t="str">
        <f t="shared" si="5"/>
        <v>41IM0050T</v>
      </c>
      <c r="W58">
        <f t="shared" si="6"/>
        <v>285</v>
      </c>
      <c r="X58">
        <f>IFERROR(VLOOKUP(V58,'[4]CONFIRMED LIST'!$L:$M,2,FALSE),"0")</f>
        <v>285</v>
      </c>
      <c r="Y58" t="b">
        <f t="shared" si="7"/>
        <v>1</v>
      </c>
      <c r="Z58">
        <f t="shared" si="8"/>
        <v>617.4</v>
      </c>
    </row>
    <row r="59" spans="1:28">
      <c r="A59" s="1199">
        <v>46218</v>
      </c>
      <c r="B59" s="1175" t="s">
        <v>1378</v>
      </c>
      <c r="C59" s="1147" t="s">
        <v>303</v>
      </c>
      <c r="D59" s="1147" t="s">
        <v>47</v>
      </c>
      <c r="E59" s="1147">
        <v>30</v>
      </c>
      <c r="F59" s="1147">
        <v>50</v>
      </c>
      <c r="G59" s="1147">
        <v>1851</v>
      </c>
      <c r="H59" s="1174">
        <f t="shared" si="9"/>
        <v>30.85</v>
      </c>
      <c r="I59" s="1174"/>
      <c r="J59" s="1174" t="s">
        <v>418</v>
      </c>
      <c r="K59" s="1174" t="s">
        <v>436</v>
      </c>
      <c r="L59" s="1175" t="s">
        <v>397</v>
      </c>
      <c r="M59" s="1175">
        <v>285</v>
      </c>
      <c r="N59" s="1175"/>
      <c r="O59" s="14" t="s">
        <v>621</v>
      </c>
      <c r="P59" s="343">
        <v>70662</v>
      </c>
      <c r="Q59" s="343">
        <v>1851.2</v>
      </c>
      <c r="R59" s="343" t="s">
        <v>1557</v>
      </c>
      <c r="S59" s="14"/>
      <c r="T59" s="14"/>
      <c r="U59" s="14">
        <f>IFERROR(VLOOKUP(R59,[3]Grinder!$U:$V,2,FALSE),"0")</f>
        <v>1853.1</v>
      </c>
      <c r="V59" t="str">
        <f t="shared" si="5"/>
        <v>41IM0051T</v>
      </c>
      <c r="W59">
        <f t="shared" si="6"/>
        <v>285</v>
      </c>
      <c r="X59">
        <f>IFERROR(VLOOKUP(V59,'[4]CONFIRMED LIST'!$L:$M,2,FALSE),"0")</f>
        <v>285</v>
      </c>
      <c r="Y59" t="b">
        <f t="shared" si="7"/>
        <v>1</v>
      </c>
      <c r="Z59">
        <f t="shared" si="8"/>
        <v>1851.2</v>
      </c>
    </row>
    <row r="60" spans="1:28">
      <c r="A60" s="1199">
        <v>46218</v>
      </c>
      <c r="B60" s="1175" t="s">
        <v>1379</v>
      </c>
      <c r="C60" s="1147" t="s">
        <v>271</v>
      </c>
      <c r="D60" s="1147" t="s">
        <v>47</v>
      </c>
      <c r="E60" s="1147">
        <v>21</v>
      </c>
      <c r="F60" s="1147">
        <v>13</v>
      </c>
      <c r="G60" s="1147">
        <v>1273</v>
      </c>
      <c r="H60" s="1174">
        <f t="shared" si="9"/>
        <v>21.216666666666665</v>
      </c>
      <c r="I60" s="1174"/>
      <c r="J60" s="1174" t="s">
        <v>418</v>
      </c>
      <c r="K60" s="1174" t="s">
        <v>418</v>
      </c>
      <c r="L60" s="1175" t="s">
        <v>59</v>
      </c>
      <c r="M60" s="1175">
        <v>285</v>
      </c>
      <c r="N60" s="1175"/>
      <c r="O60" s="14" t="s">
        <v>621</v>
      </c>
      <c r="P60" s="343">
        <v>70711</v>
      </c>
      <c r="Q60" s="343">
        <v>1273.0999999999999</v>
      </c>
      <c r="R60" s="343" t="s">
        <v>1558</v>
      </c>
      <c r="S60" s="14"/>
      <c r="T60" s="14"/>
      <c r="U60" s="14">
        <f>IFERROR(VLOOKUP(R60,[3]Grinder!$U:$V,2,FALSE),"0")</f>
        <v>1272.2</v>
      </c>
      <c r="V60" t="str">
        <f t="shared" si="5"/>
        <v>41IM0052T</v>
      </c>
      <c r="W60">
        <f t="shared" si="6"/>
        <v>285</v>
      </c>
      <c r="X60">
        <f>IFERROR(VLOOKUP(V60,'[4]CONFIRMED LIST'!$L:$M,2,FALSE),"0")</f>
        <v>285</v>
      </c>
      <c r="Y60" t="b">
        <f t="shared" si="7"/>
        <v>1</v>
      </c>
      <c r="Z60">
        <f t="shared" si="8"/>
        <v>1273.0999999999999</v>
      </c>
    </row>
    <row r="61" spans="1:28">
      <c r="A61" s="1199">
        <v>46218</v>
      </c>
      <c r="B61" s="1175" t="s">
        <v>1380</v>
      </c>
      <c r="C61" s="1147" t="s">
        <v>1049</v>
      </c>
      <c r="D61" s="1147" t="s">
        <v>47</v>
      </c>
      <c r="E61" s="1147">
        <v>26</v>
      </c>
      <c r="F61" s="1147">
        <v>62</v>
      </c>
      <c r="G61" s="1147">
        <v>1628</v>
      </c>
      <c r="H61" s="1174">
        <f t="shared" si="9"/>
        <v>27.133333333333333</v>
      </c>
      <c r="I61" s="1174"/>
      <c r="J61" s="1174" t="s">
        <v>418</v>
      </c>
      <c r="K61" s="1174" t="s">
        <v>418</v>
      </c>
      <c r="L61" s="1175" t="s">
        <v>59</v>
      </c>
      <c r="M61" s="1175">
        <v>285</v>
      </c>
      <c r="N61" s="1175"/>
      <c r="O61" s="14" t="s">
        <v>621</v>
      </c>
      <c r="P61" s="343">
        <v>70707</v>
      </c>
      <c r="Q61" s="343">
        <v>1628.4</v>
      </c>
      <c r="R61" s="343" t="s">
        <v>1559</v>
      </c>
      <c r="S61" s="14"/>
      <c r="T61" s="14"/>
      <c r="U61" s="14">
        <f>IFERROR(VLOOKUP(R61,[3]Grinder!$U:$V,2,FALSE),"0")</f>
        <v>1623.7</v>
      </c>
      <c r="V61" t="str">
        <f t="shared" si="5"/>
        <v>41IM0053T</v>
      </c>
      <c r="W61">
        <f t="shared" si="6"/>
        <v>285</v>
      </c>
      <c r="X61">
        <f>IFERROR(VLOOKUP(V61,'[4]CONFIRMED LIST'!$L:$M,2,FALSE),"0")</f>
        <v>285</v>
      </c>
      <c r="Y61" t="b">
        <f t="shared" si="7"/>
        <v>1</v>
      </c>
      <c r="Z61">
        <f t="shared" si="8"/>
        <v>1628.4</v>
      </c>
    </row>
    <row r="62" spans="1:28">
      <c r="A62" s="1199">
        <v>46218</v>
      </c>
      <c r="B62" s="1175" t="s">
        <v>1381</v>
      </c>
      <c r="C62" s="1147" t="s">
        <v>318</v>
      </c>
      <c r="D62" s="1147" t="s">
        <v>47</v>
      </c>
      <c r="E62" s="1147">
        <v>9</v>
      </c>
      <c r="F62" s="1147">
        <v>35</v>
      </c>
      <c r="G62" s="1147">
        <v>576</v>
      </c>
      <c r="H62" s="1174">
        <f t="shared" si="9"/>
        <v>9.6</v>
      </c>
      <c r="I62" s="1174"/>
      <c r="J62" s="1174" t="s">
        <v>418</v>
      </c>
      <c r="K62" s="1174" t="s">
        <v>436</v>
      </c>
      <c r="L62" s="1175" t="s">
        <v>397</v>
      </c>
      <c r="M62" s="1175">
        <v>285</v>
      </c>
      <c r="N62" s="1175"/>
      <c r="O62" s="14" t="s">
        <v>621</v>
      </c>
      <c r="P62" s="343">
        <v>70668</v>
      </c>
      <c r="Q62" s="343">
        <v>576.9</v>
      </c>
      <c r="R62" s="343" t="s">
        <v>1560</v>
      </c>
      <c r="S62" s="14"/>
      <c r="T62" s="14"/>
      <c r="U62" s="14">
        <f>IFERROR(VLOOKUP(R62,[3]Grinder!$U:$V,2,FALSE),"0")</f>
        <v>578</v>
      </c>
      <c r="V62" t="str">
        <f t="shared" si="5"/>
        <v>41IM0055T</v>
      </c>
      <c r="W62">
        <f t="shared" si="6"/>
        <v>285</v>
      </c>
      <c r="X62">
        <f>IFERROR(VLOOKUP(V62,'[4]CONFIRMED LIST'!$L:$M,2,FALSE),"0")</f>
        <v>285</v>
      </c>
      <c r="Y62" t="b">
        <f t="shared" si="7"/>
        <v>1</v>
      </c>
      <c r="Z62">
        <f t="shared" si="8"/>
        <v>576.9</v>
      </c>
    </row>
    <row r="63" spans="1:28">
      <c r="A63" s="1199">
        <v>46218</v>
      </c>
      <c r="B63" s="1175" t="s">
        <v>1382</v>
      </c>
      <c r="C63" s="1147" t="s">
        <v>318</v>
      </c>
      <c r="D63" s="1147" t="s">
        <v>47</v>
      </c>
      <c r="E63" s="1147">
        <v>13</v>
      </c>
      <c r="F63" s="1147">
        <v>39</v>
      </c>
      <c r="G63" s="1147">
        <v>823</v>
      </c>
      <c r="H63" s="1174">
        <f t="shared" si="9"/>
        <v>13.716666666666667</v>
      </c>
      <c r="I63" s="1174"/>
      <c r="J63" s="1174" t="s">
        <v>418</v>
      </c>
      <c r="K63" s="1174" t="s">
        <v>436</v>
      </c>
      <c r="L63" s="1175" t="s">
        <v>397</v>
      </c>
      <c r="M63" s="1175">
        <v>285</v>
      </c>
      <c r="N63" s="1175"/>
      <c r="O63" s="14" t="s">
        <v>621</v>
      </c>
      <c r="P63" s="343">
        <v>70672</v>
      </c>
      <c r="Q63" s="343">
        <v>823.3</v>
      </c>
      <c r="R63" s="343" t="s">
        <v>1561</v>
      </c>
      <c r="S63" s="14"/>
      <c r="T63" s="14"/>
      <c r="U63" s="14">
        <f>IFERROR(VLOOKUP(R63,[3]Grinder!$U:$V,2,FALSE),"0")</f>
        <v>820.4</v>
      </c>
      <c r="V63" t="str">
        <f t="shared" si="5"/>
        <v>41IM0056T</v>
      </c>
      <c r="W63">
        <f t="shared" si="6"/>
        <v>285</v>
      </c>
      <c r="X63">
        <f>IFERROR(VLOOKUP(V63,'[4]CONFIRMED LIST'!$L:$M,2,FALSE),"0")</f>
        <v>285</v>
      </c>
      <c r="Y63" t="b">
        <f t="shared" si="7"/>
        <v>1</v>
      </c>
      <c r="Z63">
        <f t="shared" si="8"/>
        <v>823.3</v>
      </c>
    </row>
    <row r="64" spans="1:28">
      <c r="A64" s="1199">
        <v>46218</v>
      </c>
      <c r="B64" s="1175" t="s">
        <v>1383</v>
      </c>
      <c r="C64" s="1147" t="s">
        <v>265</v>
      </c>
      <c r="D64" s="1147" t="s">
        <v>47</v>
      </c>
      <c r="E64" s="1147">
        <v>5</v>
      </c>
      <c r="F64" s="1147">
        <v>29</v>
      </c>
      <c r="G64" s="1147">
        <v>330</v>
      </c>
      <c r="H64" s="1174">
        <f t="shared" si="9"/>
        <v>5.5</v>
      </c>
      <c r="I64" s="1174"/>
      <c r="J64" s="1174" t="s">
        <v>418</v>
      </c>
      <c r="K64" s="1174" t="s">
        <v>436</v>
      </c>
      <c r="L64" s="1175" t="s">
        <v>59</v>
      </c>
      <c r="M64" s="1175">
        <v>285</v>
      </c>
      <c r="N64" s="1175"/>
      <c r="O64" s="14" t="s">
        <v>621</v>
      </c>
      <c r="P64" s="343">
        <v>70681</v>
      </c>
      <c r="Q64" s="343">
        <v>330.5</v>
      </c>
      <c r="R64" s="343" t="s">
        <v>1562</v>
      </c>
      <c r="S64" s="14"/>
      <c r="T64" s="14"/>
      <c r="U64" s="14">
        <f>IFERROR(VLOOKUP(R64,[3]Grinder!$U:$V,2,FALSE),"0")</f>
        <v>331.6</v>
      </c>
      <c r="V64" t="str">
        <f t="shared" si="5"/>
        <v>41IM0057T</v>
      </c>
      <c r="W64">
        <f t="shared" si="6"/>
        <v>285</v>
      </c>
      <c r="X64">
        <f>IFERROR(VLOOKUP(V64,'[4]CONFIRMED LIST'!$L:$M,2,FALSE),"0")</f>
        <v>285</v>
      </c>
      <c r="Y64" t="b">
        <f t="shared" si="7"/>
        <v>1</v>
      </c>
      <c r="Z64">
        <f t="shared" si="8"/>
        <v>330.5</v>
      </c>
    </row>
    <row r="65" spans="1:34" s="1182" customFormat="1">
      <c r="A65" s="1199">
        <v>46218</v>
      </c>
      <c r="B65" s="1175" t="s">
        <v>1384</v>
      </c>
      <c r="C65" s="1147" t="s">
        <v>288</v>
      </c>
      <c r="D65" s="1147" t="s">
        <v>47</v>
      </c>
      <c r="E65" s="1147">
        <v>6</v>
      </c>
      <c r="F65" s="1147">
        <v>51</v>
      </c>
      <c r="G65" s="1147">
        <v>412</v>
      </c>
      <c r="H65" s="1174">
        <f t="shared" si="9"/>
        <v>6.8666666666666663</v>
      </c>
      <c r="I65" s="1174"/>
      <c r="J65" s="1174" t="s">
        <v>418</v>
      </c>
      <c r="K65" s="1174" t="s">
        <v>436</v>
      </c>
      <c r="L65" s="1175" t="s">
        <v>397</v>
      </c>
      <c r="M65" s="1175">
        <v>285</v>
      </c>
      <c r="N65" s="1175"/>
      <c r="O65" s="14" t="s">
        <v>621</v>
      </c>
      <c r="P65" s="343">
        <v>70657</v>
      </c>
      <c r="Q65" s="343">
        <v>412.4</v>
      </c>
      <c r="R65" s="343" t="s">
        <v>1563</v>
      </c>
      <c r="S65" s="14"/>
      <c r="T65" s="14"/>
      <c r="U65" s="14">
        <f>IFERROR(VLOOKUP(R65,[3]Grinder!$U:$V,2,FALSE),"0")</f>
        <v>415.7</v>
      </c>
      <c r="V65" t="str">
        <f t="shared" si="5"/>
        <v>41IM0058T</v>
      </c>
      <c r="W65">
        <f t="shared" si="6"/>
        <v>285</v>
      </c>
      <c r="X65">
        <f>IFERROR(VLOOKUP(V65,'[4]CONFIRMED LIST'!$L:$M,2,FALSE),"0")</f>
        <v>285</v>
      </c>
      <c r="Y65" t="b">
        <f t="shared" si="7"/>
        <v>1</v>
      </c>
      <c r="Z65">
        <f t="shared" si="8"/>
        <v>412.4</v>
      </c>
      <c r="AA65"/>
      <c r="AB65"/>
      <c r="AC65"/>
      <c r="AD65"/>
      <c r="AE65"/>
      <c r="AF65"/>
      <c r="AG65"/>
      <c r="AH65"/>
    </row>
    <row r="66" spans="1:34" s="1182" customFormat="1">
      <c r="A66" s="1199">
        <v>46218</v>
      </c>
      <c r="B66" s="1175" t="s">
        <v>1385</v>
      </c>
      <c r="C66" s="1147" t="s">
        <v>262</v>
      </c>
      <c r="D66" s="1147" t="s">
        <v>47</v>
      </c>
      <c r="E66" s="1147">
        <v>18</v>
      </c>
      <c r="F66" s="1147">
        <v>24</v>
      </c>
      <c r="G66" s="1147">
        <v>1106</v>
      </c>
      <c r="H66" s="1174">
        <f t="shared" si="9"/>
        <v>18.433333333333334</v>
      </c>
      <c r="I66" s="1174"/>
      <c r="J66" s="1174" t="s">
        <v>418</v>
      </c>
      <c r="K66" s="1174" t="s">
        <v>436</v>
      </c>
      <c r="L66" s="1175" t="s">
        <v>397</v>
      </c>
      <c r="M66" s="1175">
        <v>285</v>
      </c>
      <c r="N66" s="1175"/>
      <c r="O66" s="14" t="s">
        <v>621</v>
      </c>
      <c r="P66" s="343">
        <v>70690</v>
      </c>
      <c r="Q66" s="343">
        <v>1106.4000000000001</v>
      </c>
      <c r="R66" s="343" t="s">
        <v>1564</v>
      </c>
      <c r="S66" s="14"/>
      <c r="T66" s="14"/>
      <c r="U66" s="14">
        <f>IFERROR(VLOOKUP(R66,[3]Grinder!$U:$V,2,FALSE),"0")</f>
        <v>1104.9000000000001</v>
      </c>
      <c r="V66" t="str">
        <f t="shared" si="5"/>
        <v>41IM0066T</v>
      </c>
      <c r="W66">
        <f t="shared" si="6"/>
        <v>285</v>
      </c>
      <c r="X66">
        <f>IFERROR(VLOOKUP(V66,'[4]CONFIRMED LIST'!$L:$M,2,FALSE),"0")</f>
        <v>285</v>
      </c>
      <c r="Y66" t="b">
        <f t="shared" si="7"/>
        <v>1</v>
      </c>
      <c r="Z66">
        <f t="shared" si="8"/>
        <v>1106.4000000000001</v>
      </c>
      <c r="AA66"/>
      <c r="AB66"/>
      <c r="AC66"/>
      <c r="AD66"/>
      <c r="AE66"/>
      <c r="AF66"/>
      <c r="AG66"/>
      <c r="AH66"/>
    </row>
    <row r="67" spans="1:34" s="1182" customFormat="1" ht="16">
      <c r="A67" s="1199">
        <v>46218</v>
      </c>
      <c r="B67" s="1104" t="s">
        <v>1387</v>
      </c>
      <c r="C67" s="1104" t="s">
        <v>319</v>
      </c>
      <c r="D67" s="1104" t="s">
        <v>47</v>
      </c>
      <c r="E67" s="1104">
        <v>27</v>
      </c>
      <c r="F67" s="1104">
        <v>16</v>
      </c>
      <c r="G67" s="1104">
        <v>1636</v>
      </c>
      <c r="H67" s="1174">
        <f t="shared" si="9"/>
        <v>27.266666666666666</v>
      </c>
      <c r="I67" s="1174"/>
      <c r="J67" s="1174" t="s">
        <v>418</v>
      </c>
      <c r="K67" s="1174" t="s">
        <v>436</v>
      </c>
      <c r="L67" s="1104" t="s">
        <v>397</v>
      </c>
      <c r="M67" s="1104">
        <v>285</v>
      </c>
      <c r="N67" s="1104"/>
      <c r="O67" s="914" t="s">
        <v>621</v>
      </c>
      <c r="P67" s="343">
        <v>70695</v>
      </c>
      <c r="Q67" s="343">
        <v>1647.7</v>
      </c>
      <c r="R67" s="343" t="s">
        <v>1565</v>
      </c>
      <c r="S67" s="14"/>
      <c r="T67" s="14"/>
      <c r="U67" s="14">
        <f>IFERROR(VLOOKUP(R67,[3]Grinder!$U:$V,2,FALSE),"0")</f>
        <v>1645.8</v>
      </c>
      <c r="V67" t="str">
        <f t="shared" si="5"/>
        <v>41IM0049T</v>
      </c>
      <c r="W67">
        <f t="shared" si="6"/>
        <v>285</v>
      </c>
      <c r="X67">
        <f>IFERROR(VLOOKUP(V67,'[4]CONFIRMED LIST'!$L:$M,2,FALSE),"0")</f>
        <v>285</v>
      </c>
      <c r="Y67" t="b">
        <f t="shared" si="7"/>
        <v>1</v>
      </c>
      <c r="Z67">
        <f t="shared" si="8"/>
        <v>1647.7</v>
      </c>
      <c r="AA67"/>
      <c r="AB67"/>
      <c r="AC67"/>
      <c r="AD67"/>
      <c r="AE67"/>
      <c r="AF67"/>
      <c r="AG67"/>
      <c r="AH67"/>
    </row>
    <row r="68" spans="1:34" s="1182" customFormat="1" ht="16">
      <c r="A68" s="1199">
        <v>46218</v>
      </c>
      <c r="B68" s="1104" t="s">
        <v>1388</v>
      </c>
      <c r="C68" s="1104" t="s">
        <v>273</v>
      </c>
      <c r="D68" s="1104" t="s">
        <v>47</v>
      </c>
      <c r="E68" s="1104">
        <v>8</v>
      </c>
      <c r="F68" s="1104">
        <v>48</v>
      </c>
      <c r="G68" s="1104">
        <v>528</v>
      </c>
      <c r="H68" s="1174">
        <f t="shared" si="9"/>
        <v>8.8000000000000007</v>
      </c>
      <c r="I68" s="1174"/>
      <c r="J68" s="1174" t="s">
        <v>418</v>
      </c>
      <c r="K68" s="1174" t="s">
        <v>436</v>
      </c>
      <c r="L68" s="1104" t="s">
        <v>397</v>
      </c>
      <c r="M68" s="1104">
        <v>285</v>
      </c>
      <c r="N68" s="1104"/>
      <c r="O68" s="914" t="s">
        <v>621</v>
      </c>
      <c r="P68" s="343">
        <v>70700</v>
      </c>
      <c r="Q68" s="343">
        <v>528</v>
      </c>
      <c r="R68" s="343" t="s">
        <v>1566</v>
      </c>
      <c r="S68" s="14"/>
      <c r="T68" s="14"/>
      <c r="U68" s="14">
        <f>IFERROR(VLOOKUP(R68,[3]Grinder!$U:$V,2,FALSE),"0")</f>
        <v>527.9</v>
      </c>
      <c r="V68" t="str">
        <f t="shared" si="5"/>
        <v>41IM0063T</v>
      </c>
      <c r="W68">
        <f t="shared" si="6"/>
        <v>285</v>
      </c>
      <c r="X68">
        <f>IFERROR(VLOOKUP(V68,'[4]CONFIRMED LIST'!$L:$M,2,FALSE),"0")</f>
        <v>285</v>
      </c>
      <c r="Y68" t="b">
        <f t="shared" si="7"/>
        <v>1</v>
      </c>
      <c r="Z68">
        <f t="shared" si="8"/>
        <v>528</v>
      </c>
      <c r="AA68"/>
      <c r="AB68"/>
      <c r="AC68"/>
      <c r="AD68"/>
      <c r="AE68"/>
      <c r="AF68"/>
      <c r="AG68"/>
      <c r="AH68"/>
    </row>
    <row r="69" spans="1:34" s="1182" customFormat="1" ht="15.5">
      <c r="A69" s="1329" t="s">
        <v>1395</v>
      </c>
      <c r="B69" s="1185" t="s">
        <v>1386</v>
      </c>
      <c r="C69" s="1186" t="s">
        <v>279</v>
      </c>
      <c r="D69" s="1186" t="s">
        <v>47</v>
      </c>
      <c r="E69" s="1186">
        <v>15</v>
      </c>
      <c r="F69" s="1186">
        <v>13</v>
      </c>
      <c r="G69" s="1192">
        <f>E69*60+F69</f>
        <v>913</v>
      </c>
      <c r="H69" s="1193"/>
      <c r="I69" s="32"/>
      <c r="J69" s="1174" t="s">
        <v>418</v>
      </c>
      <c r="K69" s="1174" t="s">
        <v>436</v>
      </c>
      <c r="L69" s="1192" t="s">
        <v>397</v>
      </c>
      <c r="M69" s="325">
        <v>285</v>
      </c>
      <c r="N69" s="32"/>
      <c r="O69" s="1214" t="s">
        <v>621</v>
      </c>
      <c r="P69" s="343">
        <v>70715</v>
      </c>
      <c r="Q69" s="343">
        <v>914.3</v>
      </c>
      <c r="R69" s="343" t="s">
        <v>1567</v>
      </c>
      <c r="S69" s="32"/>
      <c r="T69" s="32"/>
      <c r="U69" s="14">
        <f>IFERROR(VLOOKUP(R69,[3]Grinder!$U:$V,2,FALSE),"0")</f>
        <v>910.6</v>
      </c>
      <c r="V69" t="str">
        <f t="shared" si="5"/>
        <v>41IM0054T</v>
      </c>
      <c r="W69">
        <f t="shared" si="6"/>
        <v>285</v>
      </c>
      <c r="X69">
        <f>IFERROR(VLOOKUP(V69,'[4]CONFIRMED LIST'!$L:$M,2,FALSE),"0")</f>
        <v>285</v>
      </c>
      <c r="Y69" t="b">
        <f t="shared" ref="Y69:Y73" si="10">X69=M69</f>
        <v>1</v>
      </c>
      <c r="Z69">
        <f t="shared" si="8"/>
        <v>914.3</v>
      </c>
      <c r="AA69"/>
      <c r="AB69"/>
      <c r="AC69"/>
      <c r="AD69"/>
      <c r="AE69"/>
      <c r="AF69"/>
      <c r="AG69"/>
      <c r="AH69"/>
    </row>
    <row r="70" spans="1:34" s="1182" customFormat="1" ht="15.5">
      <c r="A70" s="1329" t="s">
        <v>1395</v>
      </c>
      <c r="B70" s="1185" t="s">
        <v>1389</v>
      </c>
      <c r="C70" s="1186" t="s">
        <v>281</v>
      </c>
      <c r="D70" s="1186" t="s">
        <v>47</v>
      </c>
      <c r="E70" s="1186">
        <v>2</v>
      </c>
      <c r="F70" s="1186">
        <v>35</v>
      </c>
      <c r="G70" s="1192">
        <f>E70*60+F70</f>
        <v>155</v>
      </c>
      <c r="H70" s="1193"/>
      <c r="I70" s="32"/>
      <c r="J70" s="1174" t="s">
        <v>418</v>
      </c>
      <c r="K70" s="1174" t="s">
        <v>418</v>
      </c>
      <c r="L70" s="1192" t="s">
        <v>59</v>
      </c>
      <c r="M70" s="325">
        <v>285</v>
      </c>
      <c r="N70" s="32"/>
      <c r="O70" s="1214" t="s">
        <v>621</v>
      </c>
      <c r="P70" s="343">
        <v>70716</v>
      </c>
      <c r="Q70" s="343">
        <v>154</v>
      </c>
      <c r="R70" s="343" t="s">
        <v>1568</v>
      </c>
      <c r="S70" s="32"/>
      <c r="T70" s="32"/>
      <c r="U70" s="14">
        <f>IFERROR(VLOOKUP(R70,[3]Grinder!$U:$V,2,FALSE),"0")</f>
        <v>154.30000000000001</v>
      </c>
      <c r="V70" t="str">
        <f t="shared" si="5"/>
        <v>41IM0065T</v>
      </c>
      <c r="W70">
        <f t="shared" si="6"/>
        <v>285</v>
      </c>
      <c r="X70">
        <f>IFERROR(VLOOKUP(V70,'[4]CONFIRMED LIST'!$L:$M,2,FALSE),"0")</f>
        <v>285</v>
      </c>
      <c r="Y70" t="b">
        <f t="shared" si="10"/>
        <v>1</v>
      </c>
      <c r="Z70">
        <f t="shared" si="8"/>
        <v>154</v>
      </c>
      <c r="AA70"/>
      <c r="AB70"/>
      <c r="AC70"/>
      <c r="AD70"/>
      <c r="AE70"/>
      <c r="AF70"/>
      <c r="AG70"/>
      <c r="AH70"/>
    </row>
    <row r="71" spans="1:34" s="1182" customFormat="1" ht="16" thickBot="1">
      <c r="A71" s="1364" t="s">
        <v>1395</v>
      </c>
      <c r="B71" s="1330" t="s">
        <v>1400</v>
      </c>
      <c r="C71" s="1331" t="s">
        <v>1397</v>
      </c>
      <c r="D71" s="1331" t="s">
        <v>48</v>
      </c>
      <c r="E71" s="1331">
        <v>2</v>
      </c>
      <c r="F71" s="1331">
        <v>63</v>
      </c>
      <c r="G71" s="1326">
        <f>E71*60+F71</f>
        <v>183</v>
      </c>
      <c r="H71" s="1325"/>
      <c r="I71" s="38"/>
      <c r="J71" s="1191" t="s">
        <v>418</v>
      </c>
      <c r="K71" s="1191" t="s">
        <v>418</v>
      </c>
      <c r="L71" s="1326" t="s">
        <v>60</v>
      </c>
      <c r="M71" s="1327">
        <v>285</v>
      </c>
      <c r="N71" s="38"/>
      <c r="O71" s="1328" t="s">
        <v>621</v>
      </c>
      <c r="P71" s="1357">
        <v>70720</v>
      </c>
      <c r="Q71" s="1357">
        <v>183.2</v>
      </c>
      <c r="R71" s="1357" t="s">
        <v>1569</v>
      </c>
      <c r="S71" s="38"/>
      <c r="T71" s="38"/>
      <c r="U71" s="14">
        <f>IFERROR(VLOOKUP(R71,[3]Grinder!$U:$V,2,FALSE),"0")</f>
        <v>184.3</v>
      </c>
      <c r="V71" t="str">
        <f t="shared" si="5"/>
        <v>42IM2014HE</v>
      </c>
      <c r="W71">
        <f t="shared" si="6"/>
        <v>285</v>
      </c>
      <c r="X71">
        <f>IFERROR(VLOOKUP(V71,'[4]CONFIRMED LIST'!$L:$M,2,FALSE),"0")</f>
        <v>0</v>
      </c>
      <c r="Y71" t="b">
        <f t="shared" si="10"/>
        <v>0</v>
      </c>
      <c r="Z71">
        <f t="shared" si="8"/>
        <v>183.2</v>
      </c>
      <c r="AA71"/>
      <c r="AB71"/>
      <c r="AC71"/>
      <c r="AD71"/>
      <c r="AE71"/>
      <c r="AF71"/>
      <c r="AG71"/>
      <c r="AH71"/>
    </row>
    <row r="72" spans="1:34" ht="16" thickBot="1">
      <c r="A72" s="1365"/>
      <c r="B72" s="1366"/>
      <c r="C72" s="1300"/>
      <c r="D72" s="1300"/>
      <c r="E72" s="1300"/>
      <c r="F72" s="1300"/>
      <c r="G72" s="1368">
        <f>SUM(G4:G71)</f>
        <v>102058</v>
      </c>
      <c r="H72" s="1300"/>
      <c r="I72" s="1300"/>
      <c r="J72" s="1300"/>
      <c r="K72" s="1300"/>
      <c r="L72" s="1300"/>
      <c r="M72" s="1300"/>
      <c r="N72" s="1300"/>
      <c r="O72" s="1369"/>
      <c r="P72" s="1300"/>
      <c r="Q72" s="1300">
        <f>SUM(Q4:Q71)</f>
        <v>102203.59999999999</v>
      </c>
      <c r="R72" s="1360"/>
      <c r="S72" s="1300"/>
      <c r="T72" s="1300">
        <f>U72/60</f>
        <v>231.36166666666662</v>
      </c>
      <c r="U72" s="258">
        <f>SUM(U56:U71)</f>
        <v>13881.699999999997</v>
      </c>
      <c r="V72" t="str">
        <f t="shared" si="5"/>
        <v/>
      </c>
      <c r="X72" t="str">
        <f>IFERROR(VLOOKUP(V72,'[4]CONFIRMED LIST'!$L:$M,2,FALSE),"0")</f>
        <v>0</v>
      </c>
      <c r="Y72" t="b">
        <f t="shared" si="10"/>
        <v>0</v>
      </c>
      <c r="AA72" s="1321" t="s">
        <v>29</v>
      </c>
      <c r="AB72" s="1322">
        <f>SUMPRODUCT(U56:U71,M56:M71)/U72</f>
        <v>285.00000000000006</v>
      </c>
    </row>
    <row r="73" spans="1:34" ht="15" thickBot="1">
      <c r="A73" s="1306"/>
      <c r="B73" s="1367"/>
      <c r="C73" s="1307"/>
      <c r="D73" s="1307"/>
      <c r="E73" s="1307"/>
      <c r="F73" s="1307"/>
      <c r="G73" s="1307"/>
      <c r="H73" s="1307"/>
      <c r="I73" s="1307"/>
      <c r="J73" s="1307"/>
      <c r="K73" s="1307"/>
      <c r="L73" s="1307"/>
      <c r="M73" s="1307"/>
      <c r="N73" s="1307"/>
      <c r="O73" s="1370"/>
      <c r="P73" s="1307"/>
      <c r="Q73" s="1318">
        <f>Q72/60</f>
        <v>1703.3933333333332</v>
      </c>
      <c r="R73" s="1362"/>
      <c r="S73" s="1307"/>
      <c r="T73" s="1307"/>
      <c r="U73" s="14"/>
      <c r="V73" t="str">
        <f t="shared" si="5"/>
        <v/>
      </c>
      <c r="X73" t="str">
        <f>IFERROR(VLOOKUP(V73,'[4]CONFIRMED LIST'!$L:$M,2,FALSE),"0")</f>
        <v>0</v>
      </c>
      <c r="Y73" t="b">
        <f t="shared" si="10"/>
        <v>0</v>
      </c>
    </row>
  </sheetData>
  <sortState xmlns:xlrd2="http://schemas.microsoft.com/office/spreadsheetml/2017/richdata2" ref="A2:Z73">
    <sortCondition ref="J3:J73"/>
  </sortState>
  <mergeCells count="1">
    <mergeCell ref="S1:U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CCC6-02DD-4571-9C0C-D030969C31C7}">
  <dimension ref="A1:P4"/>
  <sheetViews>
    <sheetView topLeftCell="B1" workbookViewId="0">
      <selection activeCell="B3" sqref="B3"/>
    </sheetView>
  </sheetViews>
  <sheetFormatPr defaultRowHeight="14.5"/>
  <cols>
    <col min="1" max="1" width="12.1796875" customWidth="1"/>
    <col min="2" max="2" width="13.1796875" customWidth="1"/>
    <col min="3" max="3" width="15.08984375" customWidth="1"/>
    <col min="8" max="8" width="11.54296875" customWidth="1"/>
    <col min="9" max="9" width="15.81640625" customWidth="1"/>
    <col min="10" max="10" width="15.453125" customWidth="1"/>
    <col min="11" max="11" width="15.81640625" customWidth="1"/>
  </cols>
  <sheetData>
    <row r="1" spans="1:16">
      <c r="N1" s="1747" t="s">
        <v>1426</v>
      </c>
      <c r="O1" s="1747"/>
      <c r="P1" s="1747"/>
    </row>
    <row r="2" spans="1:16" ht="16">
      <c r="A2" s="1134" t="s">
        <v>20</v>
      </c>
      <c r="B2" s="1135" t="s">
        <v>22</v>
      </c>
      <c r="C2" s="1136" t="s">
        <v>344</v>
      </c>
      <c r="D2" s="1137" t="s">
        <v>23</v>
      </c>
      <c r="E2" s="1138" t="s">
        <v>24</v>
      </c>
      <c r="F2" s="1139" t="s">
        <v>111</v>
      </c>
      <c r="G2" s="1168" t="s">
        <v>345</v>
      </c>
      <c r="H2" s="1173" t="s">
        <v>346</v>
      </c>
      <c r="I2" s="1173" t="s">
        <v>1212</v>
      </c>
      <c r="J2" s="1173" t="s">
        <v>1390</v>
      </c>
      <c r="K2" s="1173" t="s">
        <v>679</v>
      </c>
      <c r="L2" s="1173" t="s">
        <v>142</v>
      </c>
      <c r="M2" s="1172"/>
      <c r="N2" s="14" t="s">
        <v>24</v>
      </c>
      <c r="O2" s="14" t="s">
        <v>161</v>
      </c>
      <c r="P2" s="14" t="s">
        <v>1153</v>
      </c>
    </row>
    <row r="3" spans="1:16">
      <c r="A3" s="14" t="s">
        <v>1425</v>
      </c>
      <c r="B3" s="14" t="s">
        <v>1423</v>
      </c>
      <c r="C3" s="14" t="s">
        <v>1393</v>
      </c>
      <c r="D3" s="14" t="s">
        <v>123</v>
      </c>
      <c r="E3" s="14">
        <v>102</v>
      </c>
      <c r="F3" s="14">
        <v>0</v>
      </c>
      <c r="G3" s="14">
        <f>E3*60</f>
        <v>6120</v>
      </c>
      <c r="H3" s="14"/>
      <c r="I3" s="20">
        <v>90563</v>
      </c>
      <c r="J3" s="14" t="s">
        <v>351</v>
      </c>
      <c r="K3" s="14" t="s">
        <v>1060</v>
      </c>
      <c r="L3" s="14">
        <v>410</v>
      </c>
      <c r="M3" s="14"/>
      <c r="N3" s="14"/>
      <c r="O3" s="14"/>
      <c r="P3" s="14"/>
    </row>
    <row r="4" spans="1:16">
      <c r="A4" s="14" t="s">
        <v>1425</v>
      </c>
      <c r="B4" s="14" t="s">
        <v>1424</v>
      </c>
      <c r="C4" s="14" t="s">
        <v>1393</v>
      </c>
      <c r="D4" s="14" t="s">
        <v>123</v>
      </c>
      <c r="E4" s="14">
        <v>50</v>
      </c>
      <c r="F4" s="14">
        <v>0</v>
      </c>
      <c r="G4" s="14">
        <f>E4*60</f>
        <v>3000</v>
      </c>
      <c r="H4" s="14"/>
      <c r="I4" s="20">
        <v>90563</v>
      </c>
      <c r="J4" s="14" t="s">
        <v>351</v>
      </c>
      <c r="K4" s="14" t="s">
        <v>1060</v>
      </c>
      <c r="L4" s="14">
        <v>410</v>
      </c>
      <c r="M4" s="14"/>
      <c r="N4" s="14"/>
      <c r="O4" s="14"/>
      <c r="P4" s="14"/>
    </row>
  </sheetData>
  <mergeCells count="1">
    <mergeCell ref="N1:P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7056-CE79-4751-84D0-C4B8B40598E9}">
  <dimension ref="A2:T49"/>
  <sheetViews>
    <sheetView workbookViewId="0">
      <selection activeCell="B14" sqref="B14"/>
    </sheetView>
  </sheetViews>
  <sheetFormatPr defaultRowHeight="14.5"/>
  <cols>
    <col min="2" max="2" width="16.1796875" bestFit="1" customWidth="1"/>
    <col min="3" max="3" width="15.36328125" style="928" customWidth="1"/>
    <col min="4" max="4" width="31.81640625" bestFit="1" customWidth="1"/>
    <col min="6" max="6" width="16.453125" bestFit="1" customWidth="1"/>
    <col min="7" max="7" width="19.453125" bestFit="1" customWidth="1"/>
    <col min="8" max="8" width="14.36328125" bestFit="1" customWidth="1"/>
    <col min="9" max="9" width="14.54296875" bestFit="1" customWidth="1"/>
    <col min="10" max="10" width="13.36328125" customWidth="1"/>
    <col min="11" max="11" width="16.453125" bestFit="1" customWidth="1"/>
    <col min="12" max="12" width="17.1796875" bestFit="1" customWidth="1"/>
    <col min="13" max="13" width="16.36328125" bestFit="1" customWidth="1"/>
  </cols>
  <sheetData>
    <row r="2" spans="1:19">
      <c r="A2" t="s">
        <v>811</v>
      </c>
      <c r="B2" t="s">
        <v>23</v>
      </c>
      <c r="C2" s="928" t="s">
        <v>24</v>
      </c>
      <c r="D2" t="s">
        <v>1304</v>
      </c>
      <c r="E2" t="s">
        <v>1305</v>
      </c>
    </row>
    <row r="3" spans="1:19">
      <c r="A3" t="s">
        <v>1301</v>
      </c>
      <c r="B3" t="s">
        <v>42</v>
      </c>
      <c r="C3" s="928">
        <v>46</v>
      </c>
      <c r="D3">
        <v>1</v>
      </c>
      <c r="E3">
        <f>D3-C3</f>
        <v>-45</v>
      </c>
    </row>
    <row r="4" spans="1:19">
      <c r="B4" t="s">
        <v>43</v>
      </c>
      <c r="C4" s="928">
        <v>342</v>
      </c>
      <c r="D4" s="167">
        <f>E10+E14</f>
        <v>39</v>
      </c>
      <c r="E4">
        <f>D4-C4</f>
        <v>-303</v>
      </c>
    </row>
    <row r="5" spans="1:19">
      <c r="B5" t="s">
        <v>44</v>
      </c>
      <c r="C5" s="928">
        <v>38</v>
      </c>
      <c r="D5">
        <v>2</v>
      </c>
      <c r="E5">
        <f t="shared" ref="E5:E6" si="0">D5-C5</f>
        <v>-36</v>
      </c>
      <c r="S5">
        <f>SUM(S1:S4)</f>
        <v>0</v>
      </c>
    </row>
    <row r="6" spans="1:19">
      <c r="B6" t="s">
        <v>45</v>
      </c>
      <c r="C6" s="928">
        <v>281</v>
      </c>
      <c r="D6">
        <v>69</v>
      </c>
      <c r="E6">
        <f t="shared" si="0"/>
        <v>-212</v>
      </c>
    </row>
    <row r="7" spans="1:19">
      <c r="A7" t="s">
        <v>13</v>
      </c>
      <c r="C7" s="928">
        <f>SUM(C3:C6)</f>
        <v>707</v>
      </c>
      <c r="D7">
        <f>SUM(D3:D6)</f>
        <v>111</v>
      </c>
    </row>
    <row r="8" spans="1:19">
      <c r="S8">
        <f>SUM(S6:S7)</f>
        <v>0</v>
      </c>
    </row>
    <row r="9" spans="1:19">
      <c r="A9" s="1179" t="s">
        <v>1306</v>
      </c>
      <c r="B9" s="1015" t="s">
        <v>80</v>
      </c>
      <c r="C9" s="1583" t="s">
        <v>1307</v>
      </c>
      <c r="D9" s="1015" t="s">
        <v>81</v>
      </c>
      <c r="E9" s="1194" t="s">
        <v>33</v>
      </c>
      <c r="F9" s="1194"/>
      <c r="G9" s="1194" t="s">
        <v>82</v>
      </c>
      <c r="H9" s="1194" t="s">
        <v>35</v>
      </c>
      <c r="I9" s="1195" t="s">
        <v>4</v>
      </c>
      <c r="J9" s="1196" t="s">
        <v>902</v>
      </c>
      <c r="K9" s="1197" t="s">
        <v>679</v>
      </c>
      <c r="L9" s="1194" t="s">
        <v>1296</v>
      </c>
      <c r="M9" s="1194" t="s">
        <v>1295</v>
      </c>
    </row>
    <row r="10" spans="1:19" s="1030" customFormat="1" ht="10.5">
      <c r="A10" s="1568">
        <v>46209</v>
      </c>
      <c r="B10" s="1569" t="s">
        <v>1316</v>
      </c>
      <c r="C10" s="1584" t="s">
        <v>1317</v>
      </c>
      <c r="D10" s="1569" t="s">
        <v>43</v>
      </c>
      <c r="E10" s="1591">
        <v>27</v>
      </c>
      <c r="F10" s="1591"/>
      <c r="G10" s="1570">
        <v>35</v>
      </c>
      <c r="H10" s="1570">
        <v>1654</v>
      </c>
      <c r="I10" s="1571" t="s">
        <v>54</v>
      </c>
      <c r="J10" s="1571" t="s">
        <v>354</v>
      </c>
      <c r="K10" s="1571" t="s">
        <v>697</v>
      </c>
      <c r="L10" s="1571">
        <v>70635</v>
      </c>
      <c r="M10" s="1571">
        <v>1654.9</v>
      </c>
      <c r="N10" s="1030" t="str">
        <f>CONCATENATE(B10,D10)</f>
        <v>38KF0001AB</v>
      </c>
      <c r="O10" s="1030">
        <f>M10</f>
        <v>1654.9</v>
      </c>
    </row>
    <row r="11" spans="1:19" s="1030" customFormat="1" ht="10.5">
      <c r="A11" s="1568">
        <v>46209</v>
      </c>
      <c r="B11" s="1569" t="s">
        <v>1316</v>
      </c>
      <c r="C11" s="1584" t="s">
        <v>1317</v>
      </c>
      <c r="D11" s="1569" t="s">
        <v>45</v>
      </c>
      <c r="E11" s="1591">
        <v>69</v>
      </c>
      <c r="F11" s="1591"/>
      <c r="G11" s="1570"/>
      <c r="H11" s="1570">
        <v>4188</v>
      </c>
      <c r="I11" s="1571" t="s">
        <v>54</v>
      </c>
      <c r="J11" s="1571" t="s">
        <v>354</v>
      </c>
      <c r="K11" s="1571" t="s">
        <v>435</v>
      </c>
      <c r="L11" s="1571">
        <v>70636</v>
      </c>
      <c r="M11" s="1571">
        <v>4188.7</v>
      </c>
      <c r="N11" s="1030" t="str">
        <f t="shared" ref="N11:N13" si="1">CONCATENATE(B11,D11)</f>
        <v>38KF0001C</v>
      </c>
      <c r="O11" s="1030">
        <f t="shared" ref="O11:O13" si="2">M11</f>
        <v>4188.7</v>
      </c>
    </row>
    <row r="12" spans="1:19">
      <c r="A12" s="1572">
        <v>46216</v>
      </c>
      <c r="B12" s="1573" t="s">
        <v>1316</v>
      </c>
      <c r="C12" s="1585" t="s">
        <v>1317</v>
      </c>
      <c r="D12" s="1573" t="s">
        <v>42</v>
      </c>
      <c r="E12" s="1573">
        <v>1</v>
      </c>
      <c r="F12" s="1573">
        <v>59</v>
      </c>
      <c r="G12" s="1574">
        <v>119</v>
      </c>
      <c r="H12" s="1574"/>
      <c r="I12" s="1573" t="s">
        <v>54</v>
      </c>
      <c r="J12" s="1571" t="s">
        <v>354</v>
      </c>
      <c r="K12" s="1571" t="s">
        <v>434</v>
      </c>
      <c r="L12" s="1575">
        <v>70637</v>
      </c>
      <c r="M12" s="1575">
        <v>119.1</v>
      </c>
      <c r="N12" s="1030" t="str">
        <f t="shared" si="1"/>
        <v>38KF0001AA</v>
      </c>
      <c r="O12" s="1030">
        <f t="shared" si="2"/>
        <v>119.1</v>
      </c>
    </row>
    <row r="13" spans="1:19">
      <c r="A13" s="1572">
        <v>46216</v>
      </c>
      <c r="B13" s="1573" t="s">
        <v>1316</v>
      </c>
      <c r="C13" s="1585" t="s">
        <v>1317</v>
      </c>
      <c r="D13" s="1573" t="s">
        <v>44</v>
      </c>
      <c r="E13" s="1573">
        <v>2</v>
      </c>
      <c r="F13" s="1573">
        <v>24</v>
      </c>
      <c r="G13" s="1574">
        <v>144</v>
      </c>
      <c r="H13" s="1574"/>
      <c r="I13" s="1573" t="s">
        <v>54</v>
      </c>
      <c r="J13" s="1571" t="s">
        <v>354</v>
      </c>
      <c r="K13" s="1571" t="s">
        <v>697</v>
      </c>
      <c r="L13" s="1575">
        <v>70638</v>
      </c>
      <c r="M13" s="1575">
        <v>144.6</v>
      </c>
      <c r="N13" s="1030" t="str">
        <f t="shared" si="1"/>
        <v>38KF0001PB</v>
      </c>
      <c r="O13" s="1030">
        <f t="shared" si="2"/>
        <v>144.6</v>
      </c>
    </row>
    <row r="14" spans="1:19" s="1580" customFormat="1" ht="10.5">
      <c r="A14" s="1576"/>
      <c r="B14" s="1577" t="s">
        <v>1933</v>
      </c>
      <c r="C14" s="1579" t="s">
        <v>1317</v>
      </c>
      <c r="D14" s="1590" t="s">
        <v>43</v>
      </c>
      <c r="E14" s="1592">
        <v>12</v>
      </c>
      <c r="F14" s="1590">
        <v>12</v>
      </c>
      <c r="G14" s="1578"/>
      <c r="H14" s="1580">
        <v>733</v>
      </c>
      <c r="I14" s="1589" t="s">
        <v>356</v>
      </c>
      <c r="J14" s="1581" t="s">
        <v>354</v>
      </c>
      <c r="K14" s="1582" t="s">
        <v>749</v>
      </c>
      <c r="L14" s="1582">
        <v>70792</v>
      </c>
      <c r="M14" s="1582">
        <v>733.6</v>
      </c>
    </row>
    <row r="15" spans="1:19">
      <c r="E15" s="167">
        <f>SUM(E10:E14)</f>
        <v>111</v>
      </c>
      <c r="M15">
        <f>SUM(M10:M13)</f>
        <v>6107.3000000000011</v>
      </c>
    </row>
    <row r="16" spans="1:19">
      <c r="M16">
        <f>M15/60</f>
        <v>101.78833333333336</v>
      </c>
    </row>
    <row r="18" spans="1:12" ht="15" thickBot="1"/>
    <row r="19" spans="1:12">
      <c r="A19" s="1311" t="s">
        <v>840</v>
      </c>
      <c r="B19" s="1312" t="s">
        <v>32</v>
      </c>
      <c r="C19" s="1586" t="s">
        <v>1450</v>
      </c>
      <c r="D19" s="1312" t="s">
        <v>839</v>
      </c>
      <c r="E19" s="1312" t="s">
        <v>1451</v>
      </c>
      <c r="F19" s="1312" t="s">
        <v>1452</v>
      </c>
      <c r="G19" s="1312" t="s">
        <v>1453</v>
      </c>
      <c r="H19" s="1312" t="s">
        <v>1454</v>
      </c>
      <c r="I19" s="1312" t="s">
        <v>1455</v>
      </c>
      <c r="J19" s="1300"/>
      <c r="K19" s="1314" t="s">
        <v>1502</v>
      </c>
      <c r="L19" s="1301"/>
    </row>
    <row r="20" spans="1:12">
      <c r="A20" s="1315" t="s">
        <v>42</v>
      </c>
      <c r="B20" s="339" t="s">
        <v>1456</v>
      </c>
      <c r="C20" s="1587">
        <v>46226</v>
      </c>
      <c r="D20" s="339" t="s">
        <v>1457</v>
      </c>
      <c r="E20" s="339" t="s">
        <v>1316</v>
      </c>
      <c r="F20" s="339" t="s">
        <v>1458</v>
      </c>
      <c r="G20" s="338">
        <v>2</v>
      </c>
      <c r="H20" s="337">
        <v>116.2</v>
      </c>
      <c r="I20" s="337">
        <v>-2.9</v>
      </c>
      <c r="J20" t="str">
        <f>CONCATENATE(E20,A20)</f>
        <v>38KF0001AA</v>
      </c>
      <c r="K20">
        <f>IFERROR(VLOOKUP(J20,N:O,2,FALSE),"0")</f>
        <v>119.1</v>
      </c>
      <c r="L20" s="1303"/>
    </row>
    <row r="21" spans="1:12">
      <c r="A21" s="1315" t="s">
        <v>43</v>
      </c>
      <c r="B21" s="339" t="s">
        <v>1459</v>
      </c>
      <c r="C21" s="1587">
        <v>46220</v>
      </c>
      <c r="D21" s="339" t="s">
        <v>1461</v>
      </c>
      <c r="E21" s="339" t="s">
        <v>1316</v>
      </c>
      <c r="F21" s="339" t="s">
        <v>1462</v>
      </c>
      <c r="G21" s="338">
        <v>28</v>
      </c>
      <c r="H21" s="337">
        <v>1659.8</v>
      </c>
      <c r="I21" s="337">
        <v>4.9000000000000004</v>
      </c>
      <c r="J21" t="str">
        <f t="shared" ref="J21:J23" si="3">CONCATENATE(E21,A21)</f>
        <v>38KF0001AB</v>
      </c>
      <c r="K21">
        <f>IFERROR(VLOOKUP(J21,N:O,2,FALSE),"0")</f>
        <v>1654.9</v>
      </c>
      <c r="L21" s="1303"/>
    </row>
    <row r="22" spans="1:12">
      <c r="A22" s="1315" t="s">
        <v>45</v>
      </c>
      <c r="B22" s="339" t="s">
        <v>1463</v>
      </c>
      <c r="C22" s="1587">
        <v>46220</v>
      </c>
      <c r="D22" s="339" t="s">
        <v>1464</v>
      </c>
      <c r="E22" s="339" t="s">
        <v>1316</v>
      </c>
      <c r="F22" s="339" t="s">
        <v>1462</v>
      </c>
      <c r="G22" s="338">
        <v>70</v>
      </c>
      <c r="H22" s="337">
        <v>4203</v>
      </c>
      <c r="I22" s="337">
        <v>14.3</v>
      </c>
      <c r="J22" t="str">
        <f t="shared" si="3"/>
        <v>38KF0001C</v>
      </c>
      <c r="K22">
        <f>IFERROR(VLOOKUP(J22,N:O,2,FALSE),"0")</f>
        <v>4188.7</v>
      </c>
      <c r="L22" s="1303"/>
    </row>
    <row r="23" spans="1:12">
      <c r="A23" s="1315" t="s">
        <v>44</v>
      </c>
      <c r="B23" s="339" t="s">
        <v>1459</v>
      </c>
      <c r="C23" s="1587">
        <v>46226</v>
      </c>
      <c r="D23" s="339" t="s">
        <v>1460</v>
      </c>
      <c r="E23" s="339" t="s">
        <v>1316</v>
      </c>
      <c r="F23" s="339" t="s">
        <v>1458</v>
      </c>
      <c r="G23" s="338">
        <v>3</v>
      </c>
      <c r="H23" s="337">
        <v>145.30000000000001</v>
      </c>
      <c r="I23" s="337">
        <v>0.7</v>
      </c>
      <c r="J23" t="str">
        <f t="shared" si="3"/>
        <v>38KF0001PB</v>
      </c>
      <c r="K23">
        <f>IFERROR(VLOOKUP(J23,N:O,2,FALSE),"0")</f>
        <v>144.6</v>
      </c>
      <c r="L23" s="1303"/>
    </row>
    <row r="24" spans="1:12">
      <c r="A24" s="1304"/>
      <c r="H24" s="1316">
        <f>SUM(H20:H23)</f>
        <v>6124.3</v>
      </c>
      <c r="I24" s="17" t="s">
        <v>413</v>
      </c>
      <c r="J24" s="17"/>
      <c r="K24" s="17">
        <f>SUM(K20:K23)</f>
        <v>6107.3</v>
      </c>
      <c r="L24" s="1319" t="s">
        <v>413</v>
      </c>
    </row>
    <row r="25" spans="1:12" ht="15" thickBot="1">
      <c r="A25" s="1306"/>
      <c r="B25" s="1307"/>
      <c r="C25" s="1588"/>
      <c r="D25" s="1307"/>
      <c r="E25" s="1307"/>
      <c r="F25" s="1307"/>
      <c r="G25" s="1307"/>
      <c r="H25" s="1317">
        <f>H24/60</f>
        <v>102.07166666666667</v>
      </c>
      <c r="I25" s="1318" t="s">
        <v>33</v>
      </c>
      <c r="J25" s="1318"/>
      <c r="K25" s="1318">
        <f>K24/60</f>
        <v>101.78833333333334</v>
      </c>
      <c r="L25" s="1320" t="s">
        <v>33</v>
      </c>
    </row>
    <row r="38" spans="5:20">
      <c r="G38" s="17">
        <f>SUM(G28:G37)</f>
        <v>0</v>
      </c>
      <c r="T38">
        <f>SUM(T28:T37)</f>
        <v>0</v>
      </c>
    </row>
    <row r="39" spans="5:20">
      <c r="G39" s="17">
        <f>G38/60</f>
        <v>0</v>
      </c>
    </row>
    <row r="42" spans="5:20">
      <c r="G42" s="17">
        <f>SUM(G40:G41)</f>
        <v>0</v>
      </c>
      <c r="T42">
        <f>SUM(T40:T41)</f>
        <v>0</v>
      </c>
    </row>
    <row r="43" spans="5:20">
      <c r="G43" s="111">
        <f>G42/60</f>
        <v>0</v>
      </c>
    </row>
    <row r="47" spans="5:20">
      <c r="E47" s="8"/>
      <c r="F47" s="8"/>
      <c r="G47" s="8" t="s">
        <v>1372</v>
      </c>
      <c r="H47" s="8" t="s">
        <v>1373</v>
      </c>
      <c r="I47" s="8" t="s">
        <v>1374</v>
      </c>
    </row>
    <row r="48" spans="5:20">
      <c r="E48" s="8" t="s">
        <v>354</v>
      </c>
      <c r="F48" s="8"/>
      <c r="G48" s="8">
        <v>30087</v>
      </c>
      <c r="H48" s="8">
        <v>30223.7</v>
      </c>
      <c r="I48" s="8">
        <v>30163</v>
      </c>
    </row>
    <row r="49" spans="5:9">
      <c r="E49" s="8" t="s">
        <v>856</v>
      </c>
      <c r="F49" s="8"/>
      <c r="G49" s="8">
        <v>88</v>
      </c>
      <c r="H49" s="8">
        <v>88</v>
      </c>
      <c r="I49" s="8">
        <v>89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440E-5BDF-4EA6-97E4-3883044A941F}">
  <dimension ref="A1:W120"/>
  <sheetViews>
    <sheetView workbookViewId="0">
      <selection activeCell="N29" sqref="N29"/>
    </sheetView>
  </sheetViews>
  <sheetFormatPr defaultRowHeight="14.5"/>
  <cols>
    <col min="1" max="1" width="16.453125" style="16" bestFit="1" customWidth="1"/>
    <col min="2" max="2" width="11.1796875" style="16" bestFit="1" customWidth="1"/>
    <col min="3" max="3" width="11" style="16" bestFit="1" customWidth="1"/>
    <col min="4" max="4" width="25.6328125" style="16" customWidth="1"/>
    <col min="5" max="9" width="8.90625" style="16"/>
    <col min="10" max="10" width="13.54296875" style="16" customWidth="1"/>
    <col min="11" max="13" width="8.90625" style="16"/>
    <col min="14" max="14" width="16.81640625" style="16" customWidth="1"/>
    <col min="15" max="15" width="18.54296875" style="16" customWidth="1"/>
    <col min="16" max="16" width="13.36328125" customWidth="1"/>
    <col min="17" max="17" width="14.6328125" customWidth="1"/>
    <col min="18" max="18" width="11.08984375" bestFit="1" customWidth="1"/>
    <col min="19" max="19" width="17.08984375" style="773" bestFit="1" customWidth="1"/>
  </cols>
  <sheetData>
    <row r="1" spans="1:21">
      <c r="A1" s="1748" t="s">
        <v>1429</v>
      </c>
      <c r="B1" s="1748"/>
      <c r="C1" s="1748"/>
      <c r="P1" s="1747" t="s">
        <v>1572</v>
      </c>
      <c r="Q1" s="1747"/>
    </row>
    <row r="2" spans="1:21" ht="16">
      <c r="A2" s="1284" t="s">
        <v>20</v>
      </c>
      <c r="B2" s="1284"/>
      <c r="C2" s="1173" t="s">
        <v>22</v>
      </c>
      <c r="D2" s="1200" t="s">
        <v>344</v>
      </c>
      <c r="E2" s="1137" t="s">
        <v>23</v>
      </c>
      <c r="F2" s="1138" t="s">
        <v>24</v>
      </c>
      <c r="G2" s="1139" t="s">
        <v>111</v>
      </c>
      <c r="H2" s="1138" t="s">
        <v>345</v>
      </c>
      <c r="I2" s="1138" t="s">
        <v>346</v>
      </c>
      <c r="J2" s="1138" t="s">
        <v>26</v>
      </c>
      <c r="K2" s="1138" t="s">
        <v>1404</v>
      </c>
      <c r="L2" s="1138" t="s">
        <v>142</v>
      </c>
      <c r="M2" s="1138" t="s">
        <v>1405</v>
      </c>
      <c r="N2" s="3" t="s">
        <v>1371</v>
      </c>
      <c r="O2" s="3" t="s">
        <v>406</v>
      </c>
      <c r="P2" s="3" t="s">
        <v>24</v>
      </c>
      <c r="Q2" s="3" t="s">
        <v>161</v>
      </c>
      <c r="R2" s="3" t="s">
        <v>1732</v>
      </c>
      <c r="S2" s="1413" t="s">
        <v>1733</v>
      </c>
      <c r="T2" s="3" t="s">
        <v>349</v>
      </c>
      <c r="U2" s="14">
        <v>90569</v>
      </c>
    </row>
    <row r="3" spans="1:21" ht="16">
      <c r="A3" s="1285">
        <v>46224</v>
      </c>
      <c r="B3" s="16" t="str">
        <f t="shared" ref="B3:B42" si="0">CONCATENATE(C3,E3)</f>
        <v>42IM0048AA</v>
      </c>
      <c r="C3" s="1175" t="s">
        <v>1406</v>
      </c>
      <c r="D3" s="1147" t="s">
        <v>319</v>
      </c>
      <c r="E3" s="1147" t="s">
        <v>42</v>
      </c>
      <c r="F3" s="1147">
        <v>9</v>
      </c>
      <c r="G3" s="1147">
        <v>39</v>
      </c>
      <c r="H3" s="1147">
        <v>579</v>
      </c>
      <c r="I3" s="1201">
        <f t="shared" ref="I3:I42" si="1">+H3/60</f>
        <v>9.65</v>
      </c>
      <c r="J3" s="1202" t="s">
        <v>45</v>
      </c>
      <c r="K3" s="1203" t="s">
        <v>354</v>
      </c>
      <c r="L3" s="1203">
        <v>430</v>
      </c>
      <c r="M3" s="1204"/>
      <c r="N3" s="8">
        <v>70725</v>
      </c>
      <c r="O3" s="8">
        <v>580.70000000000005</v>
      </c>
      <c r="P3" s="14">
        <v>9</v>
      </c>
      <c r="Q3" s="14">
        <v>39</v>
      </c>
      <c r="R3" s="14" t="str">
        <f>CONCATENATE(C3,E3)</f>
        <v>42IM0048AA</v>
      </c>
      <c r="S3" s="258">
        <f>IFERROR(VLOOKUP(R3,'[5]10203'!$M:$AB,16,FALSE),"0")</f>
        <v>581</v>
      </c>
      <c r="T3" s="14">
        <f>S3-H3</f>
        <v>2</v>
      </c>
      <c r="U3" s="14"/>
    </row>
    <row r="4" spans="1:21" ht="16">
      <c r="A4" s="1285">
        <v>46224</v>
      </c>
      <c r="B4" s="16" t="str">
        <f t="shared" si="0"/>
        <v>42IM0048AB</v>
      </c>
      <c r="C4" s="1175" t="s">
        <v>1406</v>
      </c>
      <c r="D4" s="1147" t="s">
        <v>319</v>
      </c>
      <c r="E4" s="1147" t="s">
        <v>43</v>
      </c>
      <c r="F4" s="1147">
        <v>101</v>
      </c>
      <c r="G4" s="1147">
        <v>48</v>
      </c>
      <c r="H4" s="1147">
        <v>6107</v>
      </c>
      <c r="I4" s="1201">
        <f t="shared" si="1"/>
        <v>101.78333333333333</v>
      </c>
      <c r="J4" s="1202" t="s">
        <v>45</v>
      </c>
      <c r="K4" s="1203" t="s">
        <v>354</v>
      </c>
      <c r="L4" s="1203">
        <v>417</v>
      </c>
      <c r="M4" s="1204"/>
      <c r="N4" s="8">
        <v>70726</v>
      </c>
      <c r="O4" s="8">
        <v>6107.5</v>
      </c>
      <c r="P4" s="14">
        <v>101</v>
      </c>
      <c r="Q4" s="14">
        <v>48</v>
      </c>
      <c r="R4" s="14" t="str">
        <f t="shared" ref="R4:R56" si="2">CONCATENATE(C4,E4)</f>
        <v>42IM0048AB</v>
      </c>
      <c r="S4" s="258">
        <f>IFERROR(VLOOKUP(R4,'[5]10203'!$M:$AB,16,FALSE),"0")</f>
        <v>6113.2</v>
      </c>
      <c r="T4" s="14">
        <f t="shared" ref="T4:T56" si="3">S4-H4</f>
        <v>6.1999999999998181</v>
      </c>
      <c r="U4" s="14"/>
    </row>
    <row r="5" spans="1:21" ht="16">
      <c r="A5" s="1285">
        <v>46224</v>
      </c>
      <c r="B5" s="16" t="str">
        <f t="shared" si="0"/>
        <v>42IM0048C</v>
      </c>
      <c r="C5" s="1175" t="s">
        <v>1406</v>
      </c>
      <c r="D5" s="1147" t="s">
        <v>319</v>
      </c>
      <c r="E5" s="1147" t="s">
        <v>45</v>
      </c>
      <c r="F5" s="1147">
        <v>123</v>
      </c>
      <c r="G5" s="1147">
        <v>29</v>
      </c>
      <c r="H5" s="1147">
        <v>7413</v>
      </c>
      <c r="I5" s="1201">
        <f t="shared" si="1"/>
        <v>123.55</v>
      </c>
      <c r="J5" s="1202" t="s">
        <v>54</v>
      </c>
      <c r="K5" s="1203" t="s">
        <v>354</v>
      </c>
      <c r="L5" s="1203">
        <v>378</v>
      </c>
      <c r="M5" s="1204"/>
      <c r="N5" s="8">
        <v>70727</v>
      </c>
      <c r="O5" s="8">
        <v>7414.1</v>
      </c>
      <c r="P5" s="14">
        <v>123</v>
      </c>
      <c r="Q5" s="14">
        <v>29</v>
      </c>
      <c r="R5" s="14" t="str">
        <f t="shared" si="2"/>
        <v>42IM0048C</v>
      </c>
      <c r="S5" s="258">
        <f>IFERROR(VLOOKUP(R5,'[5]10203'!$M:$AB,16,FALSE),"0")</f>
        <v>7421.4</v>
      </c>
      <c r="T5" s="14">
        <f t="shared" si="3"/>
        <v>8.3999999999996362</v>
      </c>
      <c r="U5" s="14"/>
    </row>
    <row r="6" spans="1:21" ht="16">
      <c r="A6" s="1285">
        <v>46224</v>
      </c>
      <c r="B6" s="16" t="str">
        <f t="shared" si="0"/>
        <v>42IM0048PB</v>
      </c>
      <c r="C6" s="1175" t="s">
        <v>1406</v>
      </c>
      <c r="D6" s="1147" t="s">
        <v>319</v>
      </c>
      <c r="E6" s="1147" t="s">
        <v>44</v>
      </c>
      <c r="F6" s="1147">
        <v>12</v>
      </c>
      <c r="G6" s="1147">
        <v>63</v>
      </c>
      <c r="H6" s="1147">
        <v>783</v>
      </c>
      <c r="I6" s="1201">
        <f t="shared" si="1"/>
        <v>13.05</v>
      </c>
      <c r="J6" s="1202" t="s">
        <v>45</v>
      </c>
      <c r="K6" s="1203" t="s">
        <v>354</v>
      </c>
      <c r="L6" s="1203">
        <v>400</v>
      </c>
      <c r="M6" s="1204"/>
      <c r="N6" s="8">
        <v>70729</v>
      </c>
      <c r="O6" s="8">
        <v>785</v>
      </c>
      <c r="P6" s="14">
        <v>12</v>
      </c>
      <c r="Q6" s="14">
        <v>63</v>
      </c>
      <c r="R6" s="14" t="str">
        <f t="shared" si="2"/>
        <v>42IM0048PB</v>
      </c>
      <c r="S6" s="258">
        <f>IFERROR(VLOOKUP(R6,'[5]10203'!$M:$AB,16,FALSE),"0")</f>
        <v>784.3</v>
      </c>
      <c r="T6" s="14">
        <f t="shared" si="3"/>
        <v>1.2999999999999545</v>
      </c>
      <c r="U6" s="14"/>
    </row>
    <row r="7" spans="1:21" ht="16">
      <c r="A7" s="1285">
        <v>46224</v>
      </c>
      <c r="B7" s="16" t="str">
        <f t="shared" si="0"/>
        <v>42IM0049AA</v>
      </c>
      <c r="C7" s="1175" t="s">
        <v>1408</v>
      </c>
      <c r="D7" s="1147" t="s">
        <v>303</v>
      </c>
      <c r="E7" s="1147" t="s">
        <v>42</v>
      </c>
      <c r="F7" s="1147">
        <v>5</v>
      </c>
      <c r="G7" s="1147">
        <v>31</v>
      </c>
      <c r="H7" s="1147">
        <v>330</v>
      </c>
      <c r="I7" s="1201">
        <f t="shared" si="1"/>
        <v>5.5</v>
      </c>
      <c r="J7" s="1202" t="s">
        <v>45</v>
      </c>
      <c r="K7" s="1203" t="s">
        <v>354</v>
      </c>
      <c r="L7" s="1203">
        <v>430</v>
      </c>
      <c r="M7" s="1204"/>
      <c r="N7" s="8">
        <v>70730</v>
      </c>
      <c r="O7" s="8">
        <v>330.5</v>
      </c>
      <c r="P7" s="14">
        <v>5</v>
      </c>
      <c r="Q7" s="14">
        <v>31</v>
      </c>
      <c r="R7" s="14" t="str">
        <f t="shared" si="2"/>
        <v>42IM0049AA</v>
      </c>
      <c r="S7" s="258">
        <f>IFERROR(VLOOKUP(R7,'[5]10203'!$M:$AB,16,FALSE),"0")</f>
        <v>331.6</v>
      </c>
      <c r="T7" s="14">
        <f t="shared" si="3"/>
        <v>1.6000000000000227</v>
      </c>
      <c r="U7" s="14"/>
    </row>
    <row r="8" spans="1:21" ht="16">
      <c r="A8" s="1285">
        <v>46224</v>
      </c>
      <c r="B8" s="16" t="str">
        <f t="shared" si="0"/>
        <v>42IM0049AB</v>
      </c>
      <c r="C8" s="1175" t="s">
        <v>1408</v>
      </c>
      <c r="D8" s="1147" t="s">
        <v>303</v>
      </c>
      <c r="E8" s="1147" t="s">
        <v>43</v>
      </c>
      <c r="F8" s="1147">
        <v>37</v>
      </c>
      <c r="G8" s="1147">
        <v>36</v>
      </c>
      <c r="H8" s="1147">
        <v>2257</v>
      </c>
      <c r="I8" s="1201">
        <f t="shared" si="1"/>
        <v>37.616666666666667</v>
      </c>
      <c r="J8" s="1202" t="s">
        <v>45</v>
      </c>
      <c r="K8" s="1203" t="s">
        <v>354</v>
      </c>
      <c r="L8" s="1203">
        <v>417</v>
      </c>
      <c r="M8" s="1204"/>
      <c r="N8" s="8">
        <v>70731</v>
      </c>
      <c r="O8" s="8">
        <v>2257.3000000000002</v>
      </c>
      <c r="P8" s="14">
        <v>37</v>
      </c>
      <c r="Q8" s="14">
        <v>36</v>
      </c>
      <c r="R8" s="14" t="str">
        <f t="shared" si="2"/>
        <v>42IM0049AB</v>
      </c>
      <c r="S8" s="258">
        <f>IFERROR(VLOOKUP(R8,'[5]10203'!$M:$AB,16,FALSE),"0")</f>
        <v>2257.8000000000002</v>
      </c>
      <c r="T8" s="14">
        <f t="shared" si="3"/>
        <v>0.8000000000001819</v>
      </c>
      <c r="U8" s="14"/>
    </row>
    <row r="9" spans="1:21" ht="16">
      <c r="A9" s="1285">
        <v>46224</v>
      </c>
      <c r="B9" s="16" t="str">
        <f t="shared" si="0"/>
        <v>42IM0049C</v>
      </c>
      <c r="C9" s="1175" t="s">
        <v>1408</v>
      </c>
      <c r="D9" s="1147" t="s">
        <v>303</v>
      </c>
      <c r="E9" s="1147" t="s">
        <v>45</v>
      </c>
      <c r="F9" s="1147">
        <v>48</v>
      </c>
      <c r="G9" s="1147">
        <v>11</v>
      </c>
      <c r="H9" s="1147">
        <v>2892</v>
      </c>
      <c r="I9" s="1201">
        <f t="shared" si="1"/>
        <v>48.2</v>
      </c>
      <c r="J9" s="1202" t="s">
        <v>54</v>
      </c>
      <c r="K9" s="1203" t="s">
        <v>354</v>
      </c>
      <c r="L9" s="1203">
        <v>378</v>
      </c>
      <c r="M9" s="1204"/>
      <c r="N9" s="8">
        <v>70732</v>
      </c>
      <c r="O9" s="8">
        <v>2892.2</v>
      </c>
      <c r="P9" s="14">
        <v>48</v>
      </c>
      <c r="Q9" s="14">
        <v>11</v>
      </c>
      <c r="R9" s="14" t="str">
        <f t="shared" si="2"/>
        <v>42IM0049C</v>
      </c>
      <c r="S9" s="258">
        <f>IFERROR(VLOOKUP(R9,'[5]10203'!$M:$AB,16,FALSE),"0")</f>
        <v>2895.9</v>
      </c>
      <c r="T9" s="14">
        <f t="shared" si="3"/>
        <v>3.9000000000000909</v>
      </c>
      <c r="U9" s="14"/>
    </row>
    <row r="10" spans="1:21" ht="16">
      <c r="A10" s="1285">
        <v>46224</v>
      </c>
      <c r="B10" s="16" t="str">
        <f t="shared" si="0"/>
        <v>42IM0049PB</v>
      </c>
      <c r="C10" s="1175" t="s">
        <v>1408</v>
      </c>
      <c r="D10" s="1147" t="s">
        <v>303</v>
      </c>
      <c r="E10" s="1147" t="s">
        <v>44</v>
      </c>
      <c r="F10" s="1147">
        <v>5</v>
      </c>
      <c r="G10" s="1147">
        <v>25</v>
      </c>
      <c r="H10" s="1147">
        <v>325</v>
      </c>
      <c r="I10" s="1201">
        <f t="shared" si="1"/>
        <v>5.416666666666667</v>
      </c>
      <c r="J10" s="1202" t="s">
        <v>45</v>
      </c>
      <c r="K10" s="1203" t="s">
        <v>354</v>
      </c>
      <c r="L10" s="1203">
        <v>400</v>
      </c>
      <c r="M10" s="1204"/>
      <c r="N10" s="8">
        <v>70734</v>
      </c>
      <c r="O10" s="8">
        <v>325.3</v>
      </c>
      <c r="P10" s="14">
        <v>5</v>
      </c>
      <c r="Q10" s="14">
        <v>25</v>
      </c>
      <c r="R10" s="14" t="str">
        <f t="shared" si="2"/>
        <v>42IM0049PB</v>
      </c>
      <c r="S10" s="258">
        <f>IFERROR(VLOOKUP(R10,'[5]10203'!$M:$AB,16,FALSE),"0")</f>
        <v>325.60000000000002</v>
      </c>
      <c r="T10" s="14">
        <f t="shared" si="3"/>
        <v>0.60000000000002274</v>
      </c>
      <c r="U10" s="14"/>
    </row>
    <row r="11" spans="1:21" ht="16">
      <c r="A11" s="1285">
        <v>46224</v>
      </c>
      <c r="B11" s="16" t="str">
        <f t="shared" si="0"/>
        <v>42IM0050AA</v>
      </c>
      <c r="C11" s="1175" t="s">
        <v>1409</v>
      </c>
      <c r="D11" s="1147" t="s">
        <v>1049</v>
      </c>
      <c r="E11" s="1147" t="s">
        <v>42</v>
      </c>
      <c r="F11" s="1147">
        <v>5</v>
      </c>
      <c r="G11" s="1147">
        <v>65</v>
      </c>
      <c r="H11" s="1147">
        <v>367</v>
      </c>
      <c r="I11" s="1201">
        <f t="shared" si="1"/>
        <v>6.1166666666666663</v>
      </c>
      <c r="J11" s="1202" t="s">
        <v>54</v>
      </c>
      <c r="K11" s="1203" t="s">
        <v>354</v>
      </c>
      <c r="L11" s="1203">
        <v>430</v>
      </c>
      <c r="M11" s="1204"/>
      <c r="N11" s="8">
        <v>70735</v>
      </c>
      <c r="O11" s="8">
        <v>367.1</v>
      </c>
      <c r="P11" s="14">
        <v>5</v>
      </c>
      <c r="Q11" s="14">
        <v>66</v>
      </c>
      <c r="R11" s="14" t="str">
        <f t="shared" si="2"/>
        <v>42IM0050AA</v>
      </c>
      <c r="S11" s="258">
        <f>IFERROR(VLOOKUP(R11,'[5]10203'!$M:$AB,16,FALSE),"0")</f>
        <v>365.6</v>
      </c>
      <c r="T11" s="14">
        <f t="shared" si="3"/>
        <v>-1.3999999999999773</v>
      </c>
      <c r="U11" s="14"/>
    </row>
    <row r="12" spans="1:21" ht="16">
      <c r="A12" s="1285">
        <v>46224</v>
      </c>
      <c r="B12" s="16" t="str">
        <f t="shared" si="0"/>
        <v>42IM0050AB</v>
      </c>
      <c r="C12" s="1175" t="s">
        <v>1409</v>
      </c>
      <c r="D12" s="1147" t="s">
        <v>1049</v>
      </c>
      <c r="E12" s="1147" t="s">
        <v>43</v>
      </c>
      <c r="F12" s="1147">
        <v>48</v>
      </c>
      <c r="G12" s="1147">
        <v>49</v>
      </c>
      <c r="H12" s="1147">
        <v>2931</v>
      </c>
      <c r="I12" s="1201">
        <f t="shared" si="1"/>
        <v>48.85</v>
      </c>
      <c r="J12" s="1202" t="s">
        <v>54</v>
      </c>
      <c r="K12" s="1203" t="s">
        <v>354</v>
      </c>
      <c r="L12" s="1203">
        <v>417</v>
      </c>
      <c r="M12" s="1204"/>
      <c r="N12" s="8">
        <v>70736</v>
      </c>
      <c r="O12" s="8">
        <v>2931.6</v>
      </c>
      <c r="P12" s="14">
        <v>48</v>
      </c>
      <c r="Q12" s="14">
        <v>49</v>
      </c>
      <c r="R12" s="14" t="str">
        <f t="shared" si="2"/>
        <v>42IM0050AB</v>
      </c>
      <c r="S12" s="258">
        <f>IFERROR(VLOOKUP(R12,'[5]10203'!$M:$AB,16,FALSE),"0")</f>
        <v>2925.9</v>
      </c>
      <c r="T12" s="14">
        <f t="shared" si="3"/>
        <v>-5.0999999999999091</v>
      </c>
      <c r="U12" s="14"/>
    </row>
    <row r="13" spans="1:21" ht="16">
      <c r="A13" s="1285">
        <v>46224</v>
      </c>
      <c r="B13" s="16" t="str">
        <f t="shared" si="0"/>
        <v>42IM0050C</v>
      </c>
      <c r="C13" s="1175" t="s">
        <v>1409</v>
      </c>
      <c r="D13" s="1147" t="s">
        <v>1049</v>
      </c>
      <c r="E13" s="1147" t="s">
        <v>45</v>
      </c>
      <c r="F13" s="1147">
        <v>58</v>
      </c>
      <c r="G13" s="1147">
        <v>45</v>
      </c>
      <c r="H13" s="1147">
        <v>3537</v>
      </c>
      <c r="I13" s="1201">
        <f t="shared" si="1"/>
        <v>58.95</v>
      </c>
      <c r="J13" s="1202" t="s">
        <v>54</v>
      </c>
      <c r="K13" s="1203" t="s">
        <v>354</v>
      </c>
      <c r="L13" s="1203">
        <v>378</v>
      </c>
      <c r="M13" s="1204"/>
      <c r="N13" s="8">
        <v>70737</v>
      </c>
      <c r="O13" s="8">
        <v>3537</v>
      </c>
      <c r="P13" s="14">
        <v>58</v>
      </c>
      <c r="Q13" s="14">
        <v>46</v>
      </c>
      <c r="R13" s="14" t="str">
        <f t="shared" si="2"/>
        <v>42IM0050C</v>
      </c>
      <c r="S13" s="258">
        <f>IFERROR(VLOOKUP(R13,'[5]10203'!$M:$AB,16,FALSE),"0")</f>
        <v>3533.9</v>
      </c>
      <c r="T13" s="14">
        <f t="shared" si="3"/>
        <v>-3.0999999999999091</v>
      </c>
      <c r="U13" s="14"/>
    </row>
    <row r="14" spans="1:21" ht="16">
      <c r="A14" s="1285">
        <v>46224</v>
      </c>
      <c r="B14" s="16" t="str">
        <f t="shared" si="0"/>
        <v>42IM0050PB</v>
      </c>
      <c r="C14" s="1175" t="s">
        <v>1409</v>
      </c>
      <c r="D14" s="1147" t="s">
        <v>1049</v>
      </c>
      <c r="E14" s="1147" t="s">
        <v>44</v>
      </c>
      <c r="F14" s="1147">
        <v>5</v>
      </c>
      <c r="G14" s="1147">
        <v>54</v>
      </c>
      <c r="H14" s="1147">
        <v>355</v>
      </c>
      <c r="I14" s="1201">
        <f t="shared" si="1"/>
        <v>5.916666666666667</v>
      </c>
      <c r="J14" s="1202" t="s">
        <v>54</v>
      </c>
      <c r="K14" s="1203" t="s">
        <v>354</v>
      </c>
      <c r="L14" s="1203">
        <v>400</v>
      </c>
      <c r="M14" s="1204"/>
      <c r="N14" s="8">
        <v>70739</v>
      </c>
      <c r="O14" s="8">
        <v>355.9</v>
      </c>
      <c r="P14" s="14">
        <v>5</v>
      </c>
      <c r="Q14" s="14">
        <v>55</v>
      </c>
      <c r="R14" s="14" t="str">
        <f t="shared" si="2"/>
        <v>42IM0050PB</v>
      </c>
      <c r="S14" s="258">
        <f>IFERROR(VLOOKUP(R14,'[5]10203'!$M:$AB,16,FALSE),"0")</f>
        <v>355.6</v>
      </c>
      <c r="T14" s="14">
        <f t="shared" si="3"/>
        <v>0.60000000000002274</v>
      </c>
      <c r="U14" s="14"/>
    </row>
    <row r="15" spans="1:21" ht="16">
      <c r="A15" s="1285">
        <v>46224</v>
      </c>
      <c r="B15" s="16" t="str">
        <f t="shared" si="0"/>
        <v>42IM0051AA</v>
      </c>
      <c r="C15" s="1175" t="s">
        <v>1410</v>
      </c>
      <c r="D15" s="1147" t="s">
        <v>1411</v>
      </c>
      <c r="E15" s="1147" t="s">
        <v>42</v>
      </c>
      <c r="F15" s="1147">
        <v>4</v>
      </c>
      <c r="G15" s="1147">
        <v>45</v>
      </c>
      <c r="H15" s="1147">
        <v>286</v>
      </c>
      <c r="I15" s="1201">
        <f t="shared" si="1"/>
        <v>4.7666666666666666</v>
      </c>
      <c r="J15" s="1202" t="s">
        <v>45</v>
      </c>
      <c r="K15" s="1203" t="s">
        <v>354</v>
      </c>
      <c r="L15" s="1203">
        <v>430</v>
      </c>
      <c r="M15" s="1204"/>
      <c r="N15" s="8">
        <v>70740</v>
      </c>
      <c r="O15" s="8">
        <v>286.8</v>
      </c>
      <c r="P15" s="14">
        <v>4</v>
      </c>
      <c r="Q15" s="14">
        <v>46</v>
      </c>
      <c r="R15" s="14" t="str">
        <f t="shared" si="2"/>
        <v>42IM0051AA</v>
      </c>
      <c r="S15" s="258">
        <f>IFERROR(VLOOKUP(R15,'[5]10203'!$M:$AB,16,FALSE),"0")</f>
        <v>286.5</v>
      </c>
      <c r="T15" s="14">
        <f t="shared" si="3"/>
        <v>0.5</v>
      </c>
      <c r="U15" s="14"/>
    </row>
    <row r="16" spans="1:21" ht="16">
      <c r="A16" s="1285">
        <v>46224</v>
      </c>
      <c r="B16" s="16" t="str">
        <f t="shared" si="0"/>
        <v>42IM0051AB</v>
      </c>
      <c r="C16" s="1175" t="s">
        <v>1410</v>
      </c>
      <c r="D16" s="1147" t="s">
        <v>1411</v>
      </c>
      <c r="E16" s="1147" t="s">
        <v>43</v>
      </c>
      <c r="F16" s="1147">
        <v>52</v>
      </c>
      <c r="G16" s="1147">
        <v>16</v>
      </c>
      <c r="H16" s="1147">
        <v>3140</v>
      </c>
      <c r="I16" s="1201">
        <f t="shared" si="1"/>
        <v>52.333333333333336</v>
      </c>
      <c r="J16" s="1202" t="s">
        <v>45</v>
      </c>
      <c r="K16" s="1203" t="s">
        <v>354</v>
      </c>
      <c r="L16" s="1203">
        <v>417</v>
      </c>
      <c r="M16" s="1204"/>
      <c r="N16" s="8">
        <v>70741</v>
      </c>
      <c r="O16" s="8">
        <v>3140.2</v>
      </c>
      <c r="P16" s="14">
        <v>52</v>
      </c>
      <c r="Q16" s="14">
        <v>16</v>
      </c>
      <c r="R16" s="14" t="str">
        <f t="shared" si="2"/>
        <v>42IM0051AB</v>
      </c>
      <c r="S16" s="258">
        <f>IFERROR(VLOOKUP(R16,'[5]10203'!$M:$AB,16,FALSE),"0")</f>
        <v>3131.3</v>
      </c>
      <c r="T16" s="14">
        <f t="shared" si="3"/>
        <v>-8.6999999999998181</v>
      </c>
      <c r="U16" s="14"/>
    </row>
    <row r="17" spans="1:21" ht="16">
      <c r="A17" s="1285">
        <v>46224</v>
      </c>
      <c r="B17" s="16" t="str">
        <f t="shared" si="0"/>
        <v>42IM0051C</v>
      </c>
      <c r="C17" s="1175" t="s">
        <v>1410</v>
      </c>
      <c r="D17" s="1147" t="s">
        <v>1411</v>
      </c>
      <c r="E17" s="1147" t="s">
        <v>45</v>
      </c>
      <c r="F17" s="1147">
        <v>70</v>
      </c>
      <c r="G17" s="1147">
        <v>48</v>
      </c>
      <c r="H17" s="1147">
        <v>4263</v>
      </c>
      <c r="I17" s="1201">
        <f t="shared" si="1"/>
        <v>71.05</v>
      </c>
      <c r="J17" s="1202" t="s">
        <v>54</v>
      </c>
      <c r="K17" s="1203" t="s">
        <v>354</v>
      </c>
      <c r="L17" s="1203">
        <v>378</v>
      </c>
      <c r="M17" s="1204"/>
      <c r="N17" s="8">
        <v>70742</v>
      </c>
      <c r="O17" s="8">
        <v>4263</v>
      </c>
      <c r="P17" s="14">
        <v>70</v>
      </c>
      <c r="Q17" s="14">
        <v>48</v>
      </c>
      <c r="R17" s="14" t="str">
        <f t="shared" si="2"/>
        <v>42IM0051C</v>
      </c>
      <c r="S17" s="258">
        <f>IFERROR(VLOOKUP(R17,'[5]10203'!$M:$AB,16,FALSE),"0")</f>
        <v>4258.1000000000004</v>
      </c>
      <c r="T17" s="14">
        <f t="shared" si="3"/>
        <v>-4.8999999999996362</v>
      </c>
      <c r="U17" s="14"/>
    </row>
    <row r="18" spans="1:21" ht="16">
      <c r="A18" s="1285">
        <v>46224</v>
      </c>
      <c r="B18" s="16" t="str">
        <f t="shared" si="0"/>
        <v>42IM0051PB</v>
      </c>
      <c r="C18" s="1175" t="s">
        <v>1410</v>
      </c>
      <c r="D18" s="1147" t="s">
        <v>1411</v>
      </c>
      <c r="E18" s="1147" t="s">
        <v>44</v>
      </c>
      <c r="F18" s="1147">
        <v>6</v>
      </c>
      <c r="G18" s="1147">
        <v>64</v>
      </c>
      <c r="H18" s="1147">
        <v>426</v>
      </c>
      <c r="I18" s="1201">
        <f t="shared" si="1"/>
        <v>7.1</v>
      </c>
      <c r="J18" s="1202" t="s">
        <v>45</v>
      </c>
      <c r="K18" s="1203" t="s">
        <v>354</v>
      </c>
      <c r="L18" s="1203">
        <v>400</v>
      </c>
      <c r="M18" s="1204"/>
      <c r="N18" s="8">
        <v>70744</v>
      </c>
      <c r="O18" s="8">
        <v>426.4</v>
      </c>
      <c r="P18" s="14">
        <v>6</v>
      </c>
      <c r="Q18" s="14">
        <v>65</v>
      </c>
      <c r="R18" s="14" t="str">
        <f t="shared" si="2"/>
        <v>42IM0051PB</v>
      </c>
      <c r="S18" s="258">
        <f>IFERROR(VLOOKUP(R18,'[5]10203'!$M:$AB,16,FALSE),"0")</f>
        <v>424.7</v>
      </c>
      <c r="T18" s="14">
        <f t="shared" si="3"/>
        <v>-1.3000000000000114</v>
      </c>
      <c r="U18" s="14"/>
    </row>
    <row r="19" spans="1:21" ht="16">
      <c r="A19" s="1285">
        <v>46224</v>
      </c>
      <c r="B19" s="16" t="str">
        <f t="shared" si="0"/>
        <v>42IM0052AA</v>
      </c>
      <c r="C19" s="1175" t="s">
        <v>1412</v>
      </c>
      <c r="D19" s="1147" t="s">
        <v>262</v>
      </c>
      <c r="E19" s="1147" t="s">
        <v>42</v>
      </c>
      <c r="F19" s="1147">
        <v>5</v>
      </c>
      <c r="G19" s="1147">
        <v>40</v>
      </c>
      <c r="H19" s="1147">
        <v>340</v>
      </c>
      <c r="I19" s="1201">
        <f t="shared" si="1"/>
        <v>5.666666666666667</v>
      </c>
      <c r="J19" s="1202" t="s">
        <v>54</v>
      </c>
      <c r="K19" s="1203" t="s">
        <v>354</v>
      </c>
      <c r="L19" s="1203">
        <v>430</v>
      </c>
      <c r="M19" s="1204"/>
      <c r="N19" s="8">
        <v>70745</v>
      </c>
      <c r="O19" s="8">
        <v>340.9</v>
      </c>
      <c r="P19" s="14">
        <v>5</v>
      </c>
      <c r="Q19" s="14">
        <v>40</v>
      </c>
      <c r="R19" s="14" t="str">
        <f t="shared" si="2"/>
        <v>42IM0052AA</v>
      </c>
      <c r="S19" s="258">
        <f>IFERROR(VLOOKUP(R19,'[5]10203'!$M:$AB,16,FALSE),"0")</f>
        <v>339.6</v>
      </c>
      <c r="T19" s="14">
        <f t="shared" si="3"/>
        <v>-0.39999999999997726</v>
      </c>
      <c r="U19" s="14"/>
    </row>
    <row r="20" spans="1:21" ht="16">
      <c r="A20" s="1285">
        <v>46224</v>
      </c>
      <c r="B20" s="16" t="str">
        <f t="shared" si="0"/>
        <v>42IM0052AB</v>
      </c>
      <c r="C20" s="1175" t="s">
        <v>1412</v>
      </c>
      <c r="D20" s="1147" t="s">
        <v>262</v>
      </c>
      <c r="E20" s="1147" t="s">
        <v>43</v>
      </c>
      <c r="F20" s="1147">
        <v>45</v>
      </c>
      <c r="G20" s="1147">
        <v>50</v>
      </c>
      <c r="H20" s="1147">
        <v>2750</v>
      </c>
      <c r="I20" s="1201">
        <f t="shared" si="1"/>
        <v>45.833333333333336</v>
      </c>
      <c r="J20" s="1202" t="s">
        <v>54</v>
      </c>
      <c r="K20" s="1203" t="s">
        <v>354</v>
      </c>
      <c r="L20" s="1203">
        <v>417</v>
      </c>
      <c r="M20" s="1204"/>
      <c r="N20" s="8">
        <v>70746</v>
      </c>
      <c r="O20" s="8">
        <v>2750.9</v>
      </c>
      <c r="P20" s="14">
        <v>45</v>
      </c>
      <c r="Q20" s="14">
        <v>50</v>
      </c>
      <c r="R20" s="14" t="str">
        <f t="shared" si="2"/>
        <v>42IM0052AB</v>
      </c>
      <c r="S20" s="258">
        <f>IFERROR(VLOOKUP(R20,'[5]10203'!$M:$AB,16,FALSE),"0")</f>
        <v>2758.6</v>
      </c>
      <c r="T20" s="14">
        <f t="shared" si="3"/>
        <v>8.5999999999999091</v>
      </c>
      <c r="U20" s="14"/>
    </row>
    <row r="21" spans="1:21" ht="16">
      <c r="A21" s="1285">
        <v>46224</v>
      </c>
      <c r="B21" s="16" t="str">
        <f t="shared" si="0"/>
        <v>42IM0052C</v>
      </c>
      <c r="C21" s="1175" t="s">
        <v>1412</v>
      </c>
      <c r="D21" s="1147" t="s">
        <v>262</v>
      </c>
      <c r="E21" s="1147" t="s">
        <v>45</v>
      </c>
      <c r="F21" s="1147">
        <v>56</v>
      </c>
      <c r="G21" s="1147">
        <v>69</v>
      </c>
      <c r="H21" s="1147">
        <v>3438</v>
      </c>
      <c r="I21" s="1201">
        <f t="shared" si="1"/>
        <v>57.3</v>
      </c>
      <c r="J21" s="1205" t="s">
        <v>54</v>
      </c>
      <c r="K21" s="1206" t="s">
        <v>354</v>
      </c>
      <c r="L21" s="1206">
        <v>378</v>
      </c>
      <c r="M21" s="1204"/>
      <c r="N21" s="8">
        <v>70747</v>
      </c>
      <c r="O21" s="8">
        <v>3438.8</v>
      </c>
      <c r="P21" s="14">
        <v>56</v>
      </c>
      <c r="Q21" s="14">
        <v>69</v>
      </c>
      <c r="R21" s="14" t="str">
        <f t="shared" si="2"/>
        <v>42IM0052C</v>
      </c>
      <c r="S21" s="258">
        <f>IFERROR(VLOOKUP(R21,'[5]10203'!$M:$AB,16,FALSE),"0")</f>
        <v>3425.7</v>
      </c>
      <c r="T21" s="14">
        <f t="shared" si="3"/>
        <v>-12.300000000000182</v>
      </c>
      <c r="U21" s="14"/>
    </row>
    <row r="22" spans="1:21" ht="16">
      <c r="A22" s="1285">
        <v>46224</v>
      </c>
      <c r="B22" s="16" t="str">
        <f t="shared" si="0"/>
        <v>42IM0052PB</v>
      </c>
      <c r="C22" s="1175" t="s">
        <v>1412</v>
      </c>
      <c r="D22" s="1147" t="s">
        <v>262</v>
      </c>
      <c r="E22" s="1147" t="s">
        <v>44</v>
      </c>
      <c r="F22" s="1147">
        <v>5</v>
      </c>
      <c r="G22" s="1147">
        <v>16</v>
      </c>
      <c r="H22" s="1147">
        <v>315</v>
      </c>
      <c r="I22" s="1201">
        <f t="shared" si="1"/>
        <v>5.25</v>
      </c>
      <c r="J22" s="1202" t="s">
        <v>54</v>
      </c>
      <c r="K22" s="1203" t="s">
        <v>354</v>
      </c>
      <c r="L22" s="1203">
        <v>400</v>
      </c>
      <c r="M22" s="1204"/>
      <c r="N22" s="8">
        <v>70749</v>
      </c>
      <c r="O22" s="8">
        <v>315.5</v>
      </c>
      <c r="P22" s="14">
        <v>5</v>
      </c>
      <c r="Q22" s="14">
        <v>16</v>
      </c>
      <c r="R22" s="14" t="str">
        <f t="shared" si="2"/>
        <v>42IM0052PB</v>
      </c>
      <c r="S22" s="258">
        <f>IFERROR(VLOOKUP(R22,'[5]10203'!$M:$AB,16,FALSE),"0")</f>
        <v>317.5</v>
      </c>
      <c r="T22" s="14">
        <f t="shared" si="3"/>
        <v>2.5</v>
      </c>
      <c r="U22" s="14"/>
    </row>
    <row r="23" spans="1:21" ht="16">
      <c r="A23" s="1285">
        <v>46224</v>
      </c>
      <c r="B23" s="16" t="str">
        <f t="shared" si="0"/>
        <v>42IM0055AA</v>
      </c>
      <c r="C23" s="1104" t="s">
        <v>1413</v>
      </c>
      <c r="D23" s="1104" t="s">
        <v>318</v>
      </c>
      <c r="E23" s="1104" t="s">
        <v>42</v>
      </c>
      <c r="F23" s="1104">
        <v>2</v>
      </c>
      <c r="G23" s="1104">
        <v>20</v>
      </c>
      <c r="H23" s="1104">
        <v>140</v>
      </c>
      <c r="I23" s="1201">
        <f t="shared" si="1"/>
        <v>2.3333333333333335</v>
      </c>
      <c r="J23" s="1207" t="s">
        <v>45</v>
      </c>
      <c r="K23" s="1207" t="s">
        <v>354</v>
      </c>
      <c r="L23" s="1207">
        <v>430</v>
      </c>
      <c r="M23" s="1204"/>
      <c r="N23" s="8">
        <v>70750</v>
      </c>
      <c r="O23" s="8">
        <v>140.19999999999999</v>
      </c>
      <c r="P23" s="14">
        <v>2</v>
      </c>
      <c r="Q23" s="14">
        <v>20</v>
      </c>
      <c r="R23" s="14" t="str">
        <f t="shared" si="2"/>
        <v>42IM0055AA</v>
      </c>
      <c r="S23" s="258">
        <f>IFERROR(VLOOKUP(R23,'[5]10203'!$M:$AB,16,FALSE),"0")</f>
        <v>140.30000000000001</v>
      </c>
      <c r="T23" s="14">
        <f t="shared" si="3"/>
        <v>0.30000000000001137</v>
      </c>
      <c r="U23" s="14"/>
    </row>
    <row r="24" spans="1:21" ht="16">
      <c r="A24" s="1285">
        <v>46224</v>
      </c>
      <c r="B24" s="16" t="str">
        <f t="shared" si="0"/>
        <v>42IM0055AB</v>
      </c>
      <c r="C24" s="1175" t="s">
        <v>1413</v>
      </c>
      <c r="D24" s="1147" t="s">
        <v>318</v>
      </c>
      <c r="E24" s="1147" t="s">
        <v>43</v>
      </c>
      <c r="F24" s="1147">
        <v>29</v>
      </c>
      <c r="G24" s="1147">
        <v>57</v>
      </c>
      <c r="H24" s="1147">
        <v>1801</v>
      </c>
      <c r="I24" s="1201">
        <f t="shared" si="1"/>
        <v>30.016666666666666</v>
      </c>
      <c r="J24" s="1202" t="s">
        <v>45</v>
      </c>
      <c r="K24" s="1203" t="s">
        <v>354</v>
      </c>
      <c r="L24" s="1203">
        <v>417</v>
      </c>
      <c r="M24" s="1204"/>
      <c r="N24" s="8">
        <v>70751</v>
      </c>
      <c r="O24" s="8">
        <v>1801.3</v>
      </c>
      <c r="P24" s="14">
        <v>29</v>
      </c>
      <c r="Q24" s="14">
        <v>57</v>
      </c>
      <c r="R24" s="14" t="str">
        <f t="shared" si="2"/>
        <v>42IM0055AB</v>
      </c>
      <c r="S24" s="258">
        <f>IFERROR(VLOOKUP(R24,'[5]10203'!$M:$AB,16,FALSE),"0")</f>
        <v>1794</v>
      </c>
      <c r="T24" s="14">
        <f t="shared" si="3"/>
        <v>-7</v>
      </c>
      <c r="U24" s="14"/>
    </row>
    <row r="25" spans="1:21" ht="16">
      <c r="A25" s="1285">
        <v>46224</v>
      </c>
      <c r="B25" s="16" t="str">
        <f t="shared" si="0"/>
        <v>42IM0055C</v>
      </c>
      <c r="C25" s="1175" t="s">
        <v>1413</v>
      </c>
      <c r="D25" s="1147" t="s">
        <v>318</v>
      </c>
      <c r="E25" s="1147" t="s">
        <v>45</v>
      </c>
      <c r="F25" s="1147">
        <v>47</v>
      </c>
      <c r="G25" s="1147">
        <v>12</v>
      </c>
      <c r="H25" s="1147">
        <v>2837</v>
      </c>
      <c r="I25" s="1201">
        <f t="shared" si="1"/>
        <v>47.283333333333331</v>
      </c>
      <c r="J25" s="1202" t="s">
        <v>54</v>
      </c>
      <c r="K25" s="1203" t="s">
        <v>354</v>
      </c>
      <c r="L25" s="1203">
        <v>378</v>
      </c>
      <c r="M25" s="1204"/>
      <c r="N25" s="8">
        <v>70752</v>
      </c>
      <c r="O25" s="8">
        <v>2837.9</v>
      </c>
      <c r="P25" s="14">
        <v>47</v>
      </c>
      <c r="Q25" s="14">
        <v>12</v>
      </c>
      <c r="R25" s="14" t="str">
        <f t="shared" si="2"/>
        <v>42IM0055C</v>
      </c>
      <c r="S25" s="258">
        <f>IFERROR(VLOOKUP(R25,'[5]10203'!$M:$AB,16,FALSE),"0")</f>
        <v>2838.8</v>
      </c>
      <c r="T25" s="14">
        <f t="shared" si="3"/>
        <v>1.8000000000001819</v>
      </c>
      <c r="U25" s="14"/>
    </row>
    <row r="26" spans="1:21" ht="16">
      <c r="A26" s="1285">
        <v>46224</v>
      </c>
      <c r="B26" s="16" t="str">
        <f t="shared" si="0"/>
        <v>42IM0055PB</v>
      </c>
      <c r="C26" s="1175" t="s">
        <v>1413</v>
      </c>
      <c r="D26" s="1147" t="s">
        <v>318</v>
      </c>
      <c r="E26" s="1147" t="s">
        <v>44</v>
      </c>
      <c r="F26" s="1147">
        <v>3</v>
      </c>
      <c r="G26" s="1147">
        <v>61</v>
      </c>
      <c r="H26" s="1147">
        <v>241</v>
      </c>
      <c r="I26" s="1201">
        <f t="shared" si="1"/>
        <v>4.0166666666666666</v>
      </c>
      <c r="J26" s="1202" t="s">
        <v>45</v>
      </c>
      <c r="K26" s="1203" t="s">
        <v>354</v>
      </c>
      <c r="L26" s="1203">
        <v>400</v>
      </c>
      <c r="M26" s="1204"/>
      <c r="N26" s="8">
        <v>70754</v>
      </c>
      <c r="O26" s="8">
        <v>241.7</v>
      </c>
      <c r="P26" s="14">
        <v>3</v>
      </c>
      <c r="Q26" s="14">
        <v>61</v>
      </c>
      <c r="R26" s="14" t="str">
        <f t="shared" si="2"/>
        <v>42IM0055PB</v>
      </c>
      <c r="S26" s="258">
        <f>IFERROR(VLOOKUP(R26,'[5]10203'!$M:$AB,16,FALSE),"0")</f>
        <v>237.4</v>
      </c>
      <c r="T26" s="14">
        <f t="shared" si="3"/>
        <v>-3.5999999999999943</v>
      </c>
      <c r="U26" s="14"/>
    </row>
    <row r="27" spans="1:21" ht="16">
      <c r="A27" s="1285">
        <v>46224</v>
      </c>
      <c r="B27" s="16" t="str">
        <f t="shared" si="0"/>
        <v>42IM0056AA</v>
      </c>
      <c r="C27" s="1175" t="s">
        <v>1414</v>
      </c>
      <c r="D27" s="1147" t="s">
        <v>318</v>
      </c>
      <c r="E27" s="1147" t="s">
        <v>42</v>
      </c>
      <c r="F27" s="1147">
        <v>3</v>
      </c>
      <c r="G27" s="1147">
        <v>60</v>
      </c>
      <c r="H27" s="1147">
        <v>239</v>
      </c>
      <c r="I27" s="1201">
        <f t="shared" si="1"/>
        <v>3.9833333333333334</v>
      </c>
      <c r="J27" s="1202" t="s">
        <v>45</v>
      </c>
      <c r="K27" s="1203" t="s">
        <v>354</v>
      </c>
      <c r="L27" s="1203">
        <v>430</v>
      </c>
      <c r="M27" s="1204"/>
      <c r="N27" s="8">
        <v>70755</v>
      </c>
      <c r="O27" s="8">
        <v>239.7</v>
      </c>
      <c r="P27" s="14">
        <v>3</v>
      </c>
      <c r="Q27" s="14">
        <v>60</v>
      </c>
      <c r="R27" s="14" t="str">
        <f t="shared" si="2"/>
        <v>42IM0056AA</v>
      </c>
      <c r="S27" s="258">
        <f>IFERROR(VLOOKUP(R27,'[5]10203'!$M:$AB,16,FALSE),"0")</f>
        <v>238.4</v>
      </c>
      <c r="T27" s="14">
        <f t="shared" si="3"/>
        <v>-0.59999999999999432</v>
      </c>
      <c r="U27" s="14"/>
    </row>
    <row r="28" spans="1:21" ht="16">
      <c r="A28" s="1285">
        <v>46224</v>
      </c>
      <c r="B28" s="16" t="str">
        <f t="shared" si="0"/>
        <v>42IM0056AB</v>
      </c>
      <c r="C28" s="1175" t="s">
        <v>1414</v>
      </c>
      <c r="D28" s="1147" t="s">
        <v>318</v>
      </c>
      <c r="E28" s="1147" t="s">
        <v>43</v>
      </c>
      <c r="F28" s="1147">
        <v>24</v>
      </c>
      <c r="G28" s="1147">
        <v>37</v>
      </c>
      <c r="H28" s="1147">
        <v>1477</v>
      </c>
      <c r="I28" s="1201">
        <f t="shared" si="1"/>
        <v>24.616666666666667</v>
      </c>
      <c r="J28" s="1202" t="s">
        <v>45</v>
      </c>
      <c r="K28" s="1203" t="s">
        <v>354</v>
      </c>
      <c r="L28" s="1203">
        <v>417</v>
      </c>
      <c r="M28" s="1204"/>
      <c r="N28" s="8">
        <v>70756</v>
      </c>
      <c r="O28" s="8">
        <v>1477.6</v>
      </c>
      <c r="P28" s="14">
        <v>24</v>
      </c>
      <c r="Q28" s="14">
        <v>37</v>
      </c>
      <c r="R28" s="14" t="str">
        <f t="shared" si="2"/>
        <v>42IM0056AB</v>
      </c>
      <c r="S28" s="258">
        <f>IFERROR(VLOOKUP(R28,'[5]10203'!$M:$AB,16,FALSE),"0")</f>
        <v>1477.5</v>
      </c>
      <c r="T28" s="14">
        <f t="shared" si="3"/>
        <v>0.5</v>
      </c>
      <c r="U28" s="14"/>
    </row>
    <row r="29" spans="1:21" ht="16">
      <c r="A29" s="1285">
        <v>46224</v>
      </c>
      <c r="B29" s="16" t="str">
        <f t="shared" si="0"/>
        <v>42IM0056C</v>
      </c>
      <c r="C29" s="1175" t="s">
        <v>1414</v>
      </c>
      <c r="D29" s="1147" t="s">
        <v>318</v>
      </c>
      <c r="E29" s="1147" t="s">
        <v>45</v>
      </c>
      <c r="F29" s="1147">
        <v>24</v>
      </c>
      <c r="G29" s="1147">
        <v>56</v>
      </c>
      <c r="H29" s="1147">
        <v>1496</v>
      </c>
      <c r="I29" s="1201">
        <f t="shared" si="1"/>
        <v>24.933333333333334</v>
      </c>
      <c r="J29" s="1202" t="s">
        <v>54</v>
      </c>
      <c r="K29" s="1203" t="s">
        <v>354</v>
      </c>
      <c r="L29" s="1203">
        <v>378</v>
      </c>
      <c r="M29" s="1204"/>
      <c r="N29" s="8">
        <v>70757</v>
      </c>
      <c r="O29" s="8">
        <v>1496</v>
      </c>
      <c r="P29" s="14">
        <v>24</v>
      </c>
      <c r="Q29" s="14">
        <v>56</v>
      </c>
      <c r="R29" s="14" t="str">
        <f t="shared" si="2"/>
        <v>42IM0056C</v>
      </c>
      <c r="S29" s="258">
        <f>IFERROR(VLOOKUP(R29,'[5]10203'!$M:$AB,16,FALSE),"0")</f>
        <v>1495.5</v>
      </c>
      <c r="T29" s="14">
        <f t="shared" si="3"/>
        <v>-0.5</v>
      </c>
      <c r="U29" s="14"/>
    </row>
    <row r="30" spans="1:21" ht="16">
      <c r="A30" s="1285">
        <v>46224</v>
      </c>
      <c r="B30" s="16" t="str">
        <f t="shared" si="0"/>
        <v>42IM0056PB</v>
      </c>
      <c r="C30" s="1104" t="s">
        <v>1414</v>
      </c>
      <c r="D30" s="1104" t="s">
        <v>318</v>
      </c>
      <c r="E30" s="1104" t="s">
        <v>44</v>
      </c>
      <c r="F30" s="1104">
        <v>2</v>
      </c>
      <c r="G30" s="1104">
        <v>46</v>
      </c>
      <c r="H30" s="1104">
        <v>166</v>
      </c>
      <c r="I30" s="1201">
        <f t="shared" si="1"/>
        <v>2.7666666666666666</v>
      </c>
      <c r="J30" s="1207" t="s">
        <v>45</v>
      </c>
      <c r="K30" s="1207" t="s">
        <v>354</v>
      </c>
      <c r="L30" s="1203">
        <v>400</v>
      </c>
      <c r="M30" s="1204"/>
      <c r="N30" s="16">
        <v>70759</v>
      </c>
      <c r="O30" s="8">
        <v>166.2</v>
      </c>
      <c r="P30" s="14">
        <v>2</v>
      </c>
      <c r="Q30" s="14">
        <v>46</v>
      </c>
      <c r="R30" s="14" t="str">
        <f t="shared" si="2"/>
        <v>42IM0056PB</v>
      </c>
      <c r="S30" s="258">
        <f>IFERROR(VLOOKUP(R30,'[5]10203'!$M:$AB,16,FALSE),"0")</f>
        <v>166.3</v>
      </c>
      <c r="T30" s="14">
        <f t="shared" si="3"/>
        <v>0.30000000000001137</v>
      </c>
      <c r="U30" s="14"/>
    </row>
    <row r="31" spans="1:21" ht="16">
      <c r="A31" s="1285">
        <v>46224</v>
      </c>
      <c r="B31" s="16" t="str">
        <f t="shared" si="0"/>
        <v>42IM0057AA</v>
      </c>
      <c r="C31" s="1175" t="s">
        <v>1415</v>
      </c>
      <c r="D31" s="1147" t="s">
        <v>312</v>
      </c>
      <c r="E31" s="1147" t="s">
        <v>42</v>
      </c>
      <c r="F31" s="1147">
        <v>5</v>
      </c>
      <c r="G31" s="1147">
        <v>58</v>
      </c>
      <c r="H31" s="1147">
        <v>358</v>
      </c>
      <c r="I31" s="1201">
        <f t="shared" si="1"/>
        <v>5.9666666666666668</v>
      </c>
      <c r="J31" s="1202" t="s">
        <v>45</v>
      </c>
      <c r="K31" s="1203" t="s">
        <v>354</v>
      </c>
      <c r="L31" s="1203">
        <v>430</v>
      </c>
      <c r="M31" s="1204"/>
      <c r="N31" s="8">
        <v>70760</v>
      </c>
      <c r="O31" s="8">
        <v>358.5</v>
      </c>
      <c r="P31" s="14">
        <v>5</v>
      </c>
      <c r="Q31" s="14">
        <v>58</v>
      </c>
      <c r="R31" s="14" t="str">
        <f t="shared" si="2"/>
        <v>42IM0057AA</v>
      </c>
      <c r="S31" s="258">
        <f>IFERROR(VLOOKUP(R31,'[5]10203'!$M:$AB,16,FALSE),"0")</f>
        <v>358.6</v>
      </c>
      <c r="T31" s="14">
        <f t="shared" si="3"/>
        <v>0.60000000000002274</v>
      </c>
      <c r="U31" s="14"/>
    </row>
    <row r="32" spans="1:21" ht="16">
      <c r="A32" s="1285">
        <v>46224</v>
      </c>
      <c r="B32" s="16" t="str">
        <f t="shared" si="0"/>
        <v>42IM0057AB</v>
      </c>
      <c r="C32" s="1175" t="s">
        <v>1415</v>
      </c>
      <c r="D32" s="1147" t="s">
        <v>312</v>
      </c>
      <c r="E32" s="1147" t="s">
        <v>43</v>
      </c>
      <c r="F32" s="1147">
        <v>54</v>
      </c>
      <c r="G32" s="1147">
        <v>48</v>
      </c>
      <c r="H32" s="1147">
        <v>3292</v>
      </c>
      <c r="I32" s="1201">
        <f t="shared" si="1"/>
        <v>54.866666666666667</v>
      </c>
      <c r="J32" s="1202" t="s">
        <v>45</v>
      </c>
      <c r="K32" s="1203" t="s">
        <v>354</v>
      </c>
      <c r="L32" s="1203">
        <v>417</v>
      </c>
      <c r="M32" s="1204"/>
      <c r="N32" s="8">
        <v>70761</v>
      </c>
      <c r="O32" s="8">
        <v>3292.2</v>
      </c>
      <c r="P32" s="14">
        <v>54</v>
      </c>
      <c r="Q32" s="14">
        <v>48</v>
      </c>
      <c r="R32" s="14" t="str">
        <f t="shared" si="2"/>
        <v>42IM0057AB</v>
      </c>
      <c r="S32" s="258">
        <f>IFERROR(VLOOKUP(R32,'[5]10203'!$M:$AB,16,FALSE),"0")</f>
        <v>3301.5</v>
      </c>
      <c r="T32" s="14">
        <f t="shared" si="3"/>
        <v>9.5</v>
      </c>
      <c r="U32" s="14"/>
    </row>
    <row r="33" spans="1:23" ht="16">
      <c r="A33" s="1285">
        <v>46224</v>
      </c>
      <c r="B33" s="16" t="str">
        <f t="shared" si="0"/>
        <v>42IM0057C</v>
      </c>
      <c r="C33" s="1175" t="s">
        <v>1415</v>
      </c>
      <c r="D33" s="1147" t="s">
        <v>312</v>
      </c>
      <c r="E33" s="1147" t="s">
        <v>45</v>
      </c>
      <c r="F33" s="1147">
        <v>54</v>
      </c>
      <c r="G33" s="1147">
        <v>28</v>
      </c>
      <c r="H33" s="1147">
        <v>3275</v>
      </c>
      <c r="I33" s="1201">
        <f t="shared" si="1"/>
        <v>54.583333333333336</v>
      </c>
      <c r="J33" s="1202" t="s">
        <v>54</v>
      </c>
      <c r="K33" s="1203" t="s">
        <v>354</v>
      </c>
      <c r="L33" s="1203">
        <v>378</v>
      </c>
      <c r="M33" s="1204"/>
      <c r="N33" s="8">
        <v>70762</v>
      </c>
      <c r="O33" s="8">
        <v>3275</v>
      </c>
      <c r="P33" s="14">
        <v>54</v>
      </c>
      <c r="Q33" s="14">
        <v>28</v>
      </c>
      <c r="R33" s="14" t="str">
        <f t="shared" si="2"/>
        <v>42IM0057C</v>
      </c>
      <c r="S33" s="258">
        <f>IFERROR(VLOOKUP(R33,'[5]10203'!$M:$AB,16,FALSE),"0")</f>
        <v>3280.5</v>
      </c>
      <c r="T33" s="14">
        <f t="shared" si="3"/>
        <v>5.5</v>
      </c>
      <c r="U33" s="14"/>
    </row>
    <row r="34" spans="1:23" ht="16">
      <c r="A34" s="1285">
        <v>46224</v>
      </c>
      <c r="B34" s="16" t="str">
        <f t="shared" si="0"/>
        <v>42IM0057PB</v>
      </c>
      <c r="C34" s="1175" t="s">
        <v>1415</v>
      </c>
      <c r="D34" s="1147" t="s">
        <v>312</v>
      </c>
      <c r="E34" s="1147" t="s">
        <v>44</v>
      </c>
      <c r="F34" s="1147">
        <v>5</v>
      </c>
      <c r="G34" s="1147">
        <v>30</v>
      </c>
      <c r="H34" s="1147">
        <v>330</v>
      </c>
      <c r="I34" s="1201">
        <f t="shared" si="1"/>
        <v>5.5</v>
      </c>
      <c r="J34" s="1202" t="s">
        <v>45</v>
      </c>
      <c r="K34" s="1203" t="s">
        <v>354</v>
      </c>
      <c r="L34" s="1203">
        <v>400</v>
      </c>
      <c r="M34" s="1204"/>
      <c r="N34" s="8">
        <v>70764</v>
      </c>
      <c r="O34" s="8">
        <v>330.5</v>
      </c>
      <c r="P34" s="14">
        <v>5</v>
      </c>
      <c r="Q34" s="14">
        <v>30</v>
      </c>
      <c r="R34" s="14" t="str">
        <f t="shared" si="2"/>
        <v>42IM0057PB</v>
      </c>
      <c r="S34" s="258">
        <f>IFERROR(VLOOKUP(R34,'[5]10203'!$M:$AB,16,FALSE),"0")</f>
        <v>330.6</v>
      </c>
      <c r="T34" s="14">
        <f t="shared" si="3"/>
        <v>0.60000000000002274</v>
      </c>
      <c r="U34" s="14"/>
    </row>
    <row r="35" spans="1:23" ht="16">
      <c r="A35" s="1285">
        <v>46224</v>
      </c>
      <c r="B35" s="16" t="str">
        <f t="shared" si="0"/>
        <v>42IM0058AA</v>
      </c>
      <c r="C35" s="1175" t="s">
        <v>1416</v>
      </c>
      <c r="D35" s="1147" t="s">
        <v>279</v>
      </c>
      <c r="E35" s="1147" t="s">
        <v>42</v>
      </c>
      <c r="F35" s="1147">
        <v>4</v>
      </c>
      <c r="G35" s="1147">
        <v>44</v>
      </c>
      <c r="H35" s="1147">
        <v>284</v>
      </c>
      <c r="I35" s="1201">
        <f t="shared" si="1"/>
        <v>4.7333333333333334</v>
      </c>
      <c r="J35" s="1202" t="s">
        <v>45</v>
      </c>
      <c r="K35" s="1203" t="s">
        <v>354</v>
      </c>
      <c r="L35" s="1203">
        <v>430</v>
      </c>
      <c r="M35" s="1204"/>
      <c r="N35" s="8">
        <v>70765</v>
      </c>
      <c r="O35" s="8">
        <v>284.8</v>
      </c>
      <c r="P35" s="14">
        <v>4</v>
      </c>
      <c r="Q35" s="14">
        <v>44</v>
      </c>
      <c r="R35" s="14" t="str">
        <f t="shared" si="2"/>
        <v>42IM0058AA</v>
      </c>
      <c r="S35" s="258">
        <f>IFERROR(VLOOKUP(R35,'[5]10203'!$M:$AB,16,FALSE),"0")</f>
        <v>285.5</v>
      </c>
      <c r="T35" s="14">
        <f t="shared" si="3"/>
        <v>1.5</v>
      </c>
      <c r="U35" s="14"/>
    </row>
    <row r="36" spans="1:23" ht="16">
      <c r="A36" s="1285">
        <v>46224</v>
      </c>
      <c r="B36" s="16" t="str">
        <f t="shared" si="0"/>
        <v>42IM0058AB</v>
      </c>
      <c r="C36" s="1175" t="s">
        <v>1416</v>
      </c>
      <c r="D36" s="1147" t="s">
        <v>279</v>
      </c>
      <c r="E36" s="1147" t="s">
        <v>43</v>
      </c>
      <c r="F36" s="1147">
        <v>39</v>
      </c>
      <c r="G36" s="1147">
        <v>32</v>
      </c>
      <c r="H36" s="1147">
        <v>2375</v>
      </c>
      <c r="I36" s="1201">
        <f t="shared" si="1"/>
        <v>39.583333333333336</v>
      </c>
      <c r="J36" s="1202" t="s">
        <v>45</v>
      </c>
      <c r="K36" s="1203" t="s">
        <v>354</v>
      </c>
      <c r="L36" s="1203">
        <v>417</v>
      </c>
      <c r="M36" s="1204"/>
      <c r="N36" s="8">
        <v>70766</v>
      </c>
      <c r="O36" s="8">
        <v>2375.1</v>
      </c>
      <c r="P36" s="14">
        <v>39</v>
      </c>
      <c r="Q36" s="14">
        <v>32</v>
      </c>
      <c r="R36" s="14" t="str">
        <f t="shared" si="2"/>
        <v>42IM0058AB</v>
      </c>
      <c r="S36" s="258">
        <f>IFERROR(VLOOKUP(R36,'[5]10203'!$M:$AB,16,FALSE),"0")</f>
        <v>2381</v>
      </c>
      <c r="T36" s="14">
        <f t="shared" si="3"/>
        <v>6</v>
      </c>
      <c r="U36" s="14"/>
    </row>
    <row r="37" spans="1:23" ht="16">
      <c r="A37" s="1285">
        <v>46224</v>
      </c>
      <c r="B37" s="16" t="str">
        <f t="shared" si="0"/>
        <v>42IM0058C</v>
      </c>
      <c r="C37" s="1175" t="s">
        <v>1416</v>
      </c>
      <c r="D37" s="1147" t="s">
        <v>279</v>
      </c>
      <c r="E37" s="1147" t="s">
        <v>45</v>
      </c>
      <c r="F37" s="1147">
        <v>36</v>
      </c>
      <c r="G37" s="1147">
        <v>47</v>
      </c>
      <c r="H37" s="1147">
        <v>2209</v>
      </c>
      <c r="I37" s="1201">
        <f t="shared" si="1"/>
        <v>36.81666666666667</v>
      </c>
      <c r="J37" s="1202" t="s">
        <v>54</v>
      </c>
      <c r="K37" s="1203" t="s">
        <v>354</v>
      </c>
      <c r="L37" s="1203">
        <v>378</v>
      </c>
      <c r="M37" s="1204"/>
      <c r="N37" s="8">
        <v>70767</v>
      </c>
      <c r="O37" s="8">
        <v>2209.6</v>
      </c>
      <c r="P37" s="14">
        <v>36</v>
      </c>
      <c r="Q37" s="14">
        <v>47</v>
      </c>
      <c r="R37" s="14" t="str">
        <f t="shared" si="2"/>
        <v>42IM0058C</v>
      </c>
      <c r="S37" s="258">
        <f>IFERROR(VLOOKUP(R37,'[5]10203'!$M:$AB,16,FALSE),"0")</f>
        <v>2215.6999999999998</v>
      </c>
      <c r="T37" s="14">
        <f t="shared" si="3"/>
        <v>6.6999999999998181</v>
      </c>
      <c r="U37" s="14"/>
    </row>
    <row r="38" spans="1:23" ht="16">
      <c r="A38" s="1285">
        <v>46224</v>
      </c>
      <c r="B38" s="16" t="str">
        <f t="shared" si="0"/>
        <v>42IM0058PB</v>
      </c>
      <c r="C38" s="1175" t="s">
        <v>1416</v>
      </c>
      <c r="D38" s="1147" t="s">
        <v>279</v>
      </c>
      <c r="E38" s="1147" t="s">
        <v>44</v>
      </c>
      <c r="F38" s="1147">
        <v>3</v>
      </c>
      <c r="G38" s="1147">
        <v>62</v>
      </c>
      <c r="H38" s="1147">
        <v>242</v>
      </c>
      <c r="I38" s="1201">
        <f t="shared" si="1"/>
        <v>4.0333333333333332</v>
      </c>
      <c r="J38" s="1202" t="s">
        <v>45</v>
      </c>
      <c r="K38" s="1203" t="s">
        <v>354</v>
      </c>
      <c r="L38" s="1203">
        <v>400</v>
      </c>
      <c r="M38" s="1204"/>
      <c r="N38" s="8">
        <v>70769</v>
      </c>
      <c r="O38" s="8">
        <v>242.7</v>
      </c>
      <c r="P38" s="14">
        <v>3</v>
      </c>
      <c r="Q38" s="14">
        <v>62</v>
      </c>
      <c r="R38" s="14" t="str">
        <f t="shared" si="2"/>
        <v>42IM0058PB</v>
      </c>
      <c r="S38" s="258">
        <f>IFERROR(VLOOKUP(R38,'[5]10203'!$M:$AB,16,FALSE),"0")</f>
        <v>242.4</v>
      </c>
      <c r="T38" s="14">
        <f t="shared" si="3"/>
        <v>0.40000000000000568</v>
      </c>
      <c r="U38" s="14"/>
    </row>
    <row r="39" spans="1:23" ht="16">
      <c r="A39" s="1285">
        <v>46224</v>
      </c>
      <c r="B39" s="16" t="str">
        <f t="shared" si="0"/>
        <v>42IM0059AA</v>
      </c>
      <c r="C39" s="1104" t="s">
        <v>1417</v>
      </c>
      <c r="D39" s="1104" t="s">
        <v>273</v>
      </c>
      <c r="E39" s="1104" t="s">
        <v>42</v>
      </c>
      <c r="F39" s="1104">
        <v>3</v>
      </c>
      <c r="G39" s="1104">
        <v>54</v>
      </c>
      <c r="H39" s="1104">
        <v>234</v>
      </c>
      <c r="I39" s="1201">
        <f t="shared" si="1"/>
        <v>3.9</v>
      </c>
      <c r="J39" s="1207" t="s">
        <v>45</v>
      </c>
      <c r="K39" s="1207" t="s">
        <v>354</v>
      </c>
      <c r="L39" s="1207">
        <v>430</v>
      </c>
      <c r="M39" s="1204"/>
      <c r="N39" s="8">
        <v>70770</v>
      </c>
      <c r="O39" s="8">
        <v>234.7</v>
      </c>
      <c r="P39" s="14">
        <v>3</v>
      </c>
      <c r="Q39" s="14">
        <v>54</v>
      </c>
      <c r="R39" s="14" t="str">
        <f t="shared" si="2"/>
        <v>42IM0059AA</v>
      </c>
      <c r="S39" s="258">
        <f>IFERROR(VLOOKUP(R39,'[5]10203'!$M:$AB,16,FALSE),"0")</f>
        <v>235.4</v>
      </c>
      <c r="T39" s="14">
        <f t="shared" si="3"/>
        <v>1.4000000000000057</v>
      </c>
      <c r="U39" s="14"/>
    </row>
    <row r="40" spans="1:23" ht="16">
      <c r="A40" s="1285">
        <v>46224</v>
      </c>
      <c r="B40" s="16" t="str">
        <f t="shared" si="0"/>
        <v>42IM0059AB</v>
      </c>
      <c r="C40" s="1104" t="s">
        <v>1417</v>
      </c>
      <c r="D40" s="1104" t="s">
        <v>273</v>
      </c>
      <c r="E40" s="1104" t="s">
        <v>43</v>
      </c>
      <c r="F40" s="1104">
        <v>33</v>
      </c>
      <c r="G40" s="1104">
        <v>12</v>
      </c>
      <c r="H40" s="1104">
        <v>1994</v>
      </c>
      <c r="I40" s="1201">
        <f t="shared" si="1"/>
        <v>33.233333333333334</v>
      </c>
      <c r="J40" s="1207" t="s">
        <v>45</v>
      </c>
      <c r="K40" s="1207" t="s">
        <v>354</v>
      </c>
      <c r="L40" s="1207">
        <v>417</v>
      </c>
      <c r="M40" s="1204"/>
      <c r="N40" s="8">
        <v>70771</v>
      </c>
      <c r="O40" s="8">
        <v>1995.3</v>
      </c>
      <c r="P40" s="14">
        <v>33</v>
      </c>
      <c r="Q40" s="14">
        <v>12</v>
      </c>
      <c r="R40" s="14" t="str">
        <f t="shared" si="2"/>
        <v>42IM0059AB</v>
      </c>
      <c r="S40" s="258">
        <f>IFERROR(VLOOKUP(R40,'[5]10203'!$M:$AB,16,FALSE),"0")</f>
        <v>2003.4</v>
      </c>
      <c r="T40" s="14">
        <f t="shared" si="3"/>
        <v>9.4000000000000909</v>
      </c>
      <c r="U40" s="14"/>
    </row>
    <row r="41" spans="1:23" ht="16">
      <c r="A41" s="1285">
        <v>46224</v>
      </c>
      <c r="B41" s="16" t="str">
        <f t="shared" si="0"/>
        <v>42IM0059C</v>
      </c>
      <c r="C41" s="1104" t="s">
        <v>1417</v>
      </c>
      <c r="D41" s="1104" t="s">
        <v>273</v>
      </c>
      <c r="E41" s="1104" t="s">
        <v>45</v>
      </c>
      <c r="F41" s="1104">
        <v>31</v>
      </c>
      <c r="G41" s="1104">
        <v>20</v>
      </c>
      <c r="H41" s="1104">
        <v>1886</v>
      </c>
      <c r="I41" s="1201">
        <f t="shared" si="1"/>
        <v>31.433333333333334</v>
      </c>
      <c r="J41" s="1207" t="s">
        <v>54</v>
      </c>
      <c r="K41" s="1207" t="s">
        <v>354</v>
      </c>
      <c r="L41" s="1207">
        <v>378</v>
      </c>
      <c r="M41" s="1204"/>
      <c r="N41" s="8">
        <v>70772</v>
      </c>
      <c r="O41" s="8">
        <v>1886.9</v>
      </c>
      <c r="P41" s="14">
        <v>31</v>
      </c>
      <c r="Q41" s="14">
        <v>20</v>
      </c>
      <c r="R41" s="14" t="str">
        <f t="shared" si="2"/>
        <v>42IM0059C</v>
      </c>
      <c r="S41" s="258">
        <f>IFERROR(VLOOKUP(R41,'[5]10203'!$M:$AB,16,FALSE),"0")</f>
        <v>1890.2</v>
      </c>
      <c r="T41" s="14">
        <f t="shared" si="3"/>
        <v>4.2000000000000455</v>
      </c>
      <c r="U41" s="14"/>
    </row>
    <row r="42" spans="1:23" ht="16">
      <c r="A42" s="1285">
        <v>46224</v>
      </c>
      <c r="B42" s="16" t="str">
        <f t="shared" si="0"/>
        <v>42IM0059PB</v>
      </c>
      <c r="C42" s="1104" t="s">
        <v>1417</v>
      </c>
      <c r="D42" s="1104" t="s">
        <v>273</v>
      </c>
      <c r="E42" s="1104" t="s">
        <v>44</v>
      </c>
      <c r="F42" s="1104">
        <v>3</v>
      </c>
      <c r="G42" s="1104">
        <v>10</v>
      </c>
      <c r="H42" s="1104">
        <v>190</v>
      </c>
      <c r="I42" s="1201">
        <f t="shared" si="1"/>
        <v>3.1666666666666665</v>
      </c>
      <c r="J42" s="1207" t="s">
        <v>45</v>
      </c>
      <c r="K42" s="1207" t="s">
        <v>354</v>
      </c>
      <c r="L42" s="1203">
        <v>400</v>
      </c>
      <c r="M42" s="1204"/>
      <c r="N42" s="8">
        <v>70774</v>
      </c>
      <c r="O42" s="8">
        <v>190.9</v>
      </c>
      <c r="P42" s="14">
        <v>3</v>
      </c>
      <c r="Q42" s="14">
        <v>10</v>
      </c>
      <c r="R42" s="14" t="str">
        <f t="shared" si="2"/>
        <v>42IM0059PB</v>
      </c>
      <c r="S42" s="258">
        <f>IFERROR(VLOOKUP(R42,'[5]10203'!$M:$AB,16,FALSE),"0")</f>
        <v>191.3</v>
      </c>
      <c r="T42" s="14">
        <f t="shared" si="3"/>
        <v>1.3000000000000114</v>
      </c>
      <c r="U42" s="14"/>
      <c r="V42" s="17"/>
    </row>
    <row r="43" spans="1:23" ht="16">
      <c r="A43" s="1285"/>
      <c r="C43" s="1104"/>
      <c r="D43" s="1104"/>
      <c r="E43" s="1104"/>
      <c r="F43" s="1104"/>
      <c r="G43" s="1104"/>
      <c r="H43" s="1104"/>
      <c r="I43" s="1201"/>
      <c r="J43" s="1207"/>
      <c r="K43" s="1207"/>
      <c r="L43" s="1207"/>
      <c r="M43" s="1204"/>
      <c r="N43" s="3" t="s">
        <v>486</v>
      </c>
      <c r="O43" s="3">
        <f>SUM(O3:O42)</f>
        <v>67923.499999999971</v>
      </c>
      <c r="P43" s="14"/>
      <c r="Q43" s="14"/>
      <c r="R43" s="14" t="str">
        <f t="shared" si="2"/>
        <v/>
      </c>
      <c r="S43" s="1518">
        <f>SUM(S3:S42)</f>
        <v>67938.099999999991</v>
      </c>
      <c r="T43" s="3" t="s">
        <v>1734</v>
      </c>
      <c r="U43" s="14"/>
      <c r="V43" s="1486">
        <f>SUMPRODUCT(S3:S42,L3:L42)/S43</f>
        <v>397.6699525008795</v>
      </c>
      <c r="W43" s="17" t="s">
        <v>29</v>
      </c>
    </row>
    <row r="44" spans="1:23" ht="16">
      <c r="A44" s="1285"/>
      <c r="C44" s="1104"/>
      <c r="D44" s="1104"/>
      <c r="E44" s="1104"/>
      <c r="F44" s="1104"/>
      <c r="G44" s="1104"/>
      <c r="H44" s="1104"/>
      <c r="I44" s="1201"/>
      <c r="J44" s="1207"/>
      <c r="K44" s="1207"/>
      <c r="L44" s="1207"/>
      <c r="M44" s="1204"/>
      <c r="N44" s="3"/>
      <c r="O44" s="3"/>
      <c r="P44" s="14"/>
      <c r="Q44" s="14"/>
      <c r="R44" s="14"/>
      <c r="S44" s="1518">
        <f>S43/60</f>
        <v>1132.3016666666665</v>
      </c>
      <c r="T44" s="3" t="s">
        <v>1735</v>
      </c>
      <c r="U44" s="14"/>
    </row>
    <row r="45" spans="1:23" ht="16">
      <c r="A45" s="1285">
        <v>46224</v>
      </c>
      <c r="B45" s="16" t="str">
        <f t="shared" ref="B45:B56" si="4">CONCATENATE(C45,E45)</f>
        <v>42IM0048T</v>
      </c>
      <c r="C45" s="1175" t="s">
        <v>1406</v>
      </c>
      <c r="D45" s="1175" t="s">
        <v>319</v>
      </c>
      <c r="E45" s="1175" t="s">
        <v>47</v>
      </c>
      <c r="F45" s="1175">
        <v>35</v>
      </c>
      <c r="G45" s="1175">
        <v>67</v>
      </c>
      <c r="H45" s="1175">
        <v>2171</v>
      </c>
      <c r="I45" s="1174">
        <f t="shared" ref="I45:I56" si="5">+H45/60</f>
        <v>36.18333333333333</v>
      </c>
      <c r="J45" s="1175" t="s">
        <v>397</v>
      </c>
      <c r="K45" s="1175" t="s">
        <v>1407</v>
      </c>
      <c r="L45" s="1175">
        <v>285</v>
      </c>
      <c r="M45" s="1252"/>
      <c r="N45" s="8">
        <v>70728</v>
      </c>
      <c r="O45" s="8">
        <v>2172.6999999999998</v>
      </c>
      <c r="P45" s="14">
        <v>35</v>
      </c>
      <c r="Q45" s="14">
        <v>67</v>
      </c>
      <c r="R45" s="14" t="str">
        <f t="shared" si="2"/>
        <v>42IM0048T</v>
      </c>
      <c r="S45" s="258">
        <f>IFERROR(VLOOKUP(R45,'[5]10204'!$M:$AB,16,FALSE),"0")</f>
        <v>2173.6</v>
      </c>
      <c r="T45" s="14">
        <f t="shared" si="3"/>
        <v>2.5999999999999091</v>
      </c>
      <c r="U45" s="14">
        <v>90570</v>
      </c>
    </row>
    <row r="46" spans="1:23" ht="16">
      <c r="A46" s="1285">
        <v>46224</v>
      </c>
      <c r="B46" s="16" t="str">
        <f t="shared" si="4"/>
        <v>42IM0049T</v>
      </c>
      <c r="C46" s="1175" t="s">
        <v>1408</v>
      </c>
      <c r="D46" s="1175" t="s">
        <v>303</v>
      </c>
      <c r="E46" s="1175" t="s">
        <v>47</v>
      </c>
      <c r="F46" s="1175">
        <v>19</v>
      </c>
      <c r="G46" s="1175">
        <v>25</v>
      </c>
      <c r="H46" s="1175">
        <v>1165</v>
      </c>
      <c r="I46" s="1174">
        <f t="shared" si="5"/>
        <v>19.416666666666668</v>
      </c>
      <c r="J46" s="1175" t="s">
        <v>397</v>
      </c>
      <c r="K46" s="1175" t="s">
        <v>1407</v>
      </c>
      <c r="L46" s="1175">
        <v>285</v>
      </c>
      <c r="M46" s="1252"/>
      <c r="N46" s="8">
        <v>70733</v>
      </c>
      <c r="O46" s="8">
        <v>1165.0999999999999</v>
      </c>
      <c r="P46" s="14">
        <v>19</v>
      </c>
      <c r="Q46" s="14">
        <v>25</v>
      </c>
      <c r="R46" s="14" t="str">
        <f t="shared" si="2"/>
        <v>42IM0049T</v>
      </c>
      <c r="S46" s="258">
        <f>IFERROR(VLOOKUP(R46,'[5]10204'!$M:$AB,16,FALSE),"0")</f>
        <v>1167</v>
      </c>
      <c r="T46" s="14">
        <f t="shared" si="3"/>
        <v>2</v>
      </c>
      <c r="U46" s="14"/>
    </row>
    <row r="47" spans="1:23" ht="16">
      <c r="A47" s="1285">
        <v>46224</v>
      </c>
      <c r="B47" s="16" t="str">
        <f t="shared" si="4"/>
        <v>42IM0050T</v>
      </c>
      <c r="C47" s="1175" t="s">
        <v>1409</v>
      </c>
      <c r="D47" s="1175" t="s">
        <v>1049</v>
      </c>
      <c r="E47" s="1175" t="s">
        <v>47</v>
      </c>
      <c r="F47" s="1175">
        <v>15</v>
      </c>
      <c r="G47" s="1175">
        <v>19</v>
      </c>
      <c r="H47" s="1175">
        <v>919</v>
      </c>
      <c r="I47" s="1174">
        <f t="shared" si="5"/>
        <v>15.316666666666666</v>
      </c>
      <c r="J47" s="1175" t="s">
        <v>59</v>
      </c>
      <c r="K47" s="1175" t="s">
        <v>1407</v>
      </c>
      <c r="L47" s="1175">
        <v>285</v>
      </c>
      <c r="M47" s="1252"/>
      <c r="N47" s="8">
        <v>70738</v>
      </c>
      <c r="O47" s="8">
        <v>919.7</v>
      </c>
      <c r="P47" s="14">
        <v>15</v>
      </c>
      <c r="Q47" s="14">
        <v>19</v>
      </c>
      <c r="R47" s="14" t="str">
        <f t="shared" si="2"/>
        <v>42IM0050T</v>
      </c>
      <c r="S47" s="258">
        <f>IFERROR(VLOOKUP(R47,'[5]10204'!$M:$AB,16,FALSE),"0")</f>
        <v>922.6</v>
      </c>
      <c r="T47" s="14">
        <f t="shared" si="3"/>
        <v>3.6000000000000227</v>
      </c>
      <c r="U47" s="14"/>
    </row>
    <row r="48" spans="1:23" ht="16">
      <c r="A48" s="1285">
        <v>46224</v>
      </c>
      <c r="B48" s="16" t="str">
        <f t="shared" si="4"/>
        <v>42IM0051T</v>
      </c>
      <c r="C48" s="1175" t="s">
        <v>1410</v>
      </c>
      <c r="D48" s="1175" t="s">
        <v>1411</v>
      </c>
      <c r="E48" s="1175" t="s">
        <v>47</v>
      </c>
      <c r="F48" s="1175">
        <v>25</v>
      </c>
      <c r="G48" s="1175">
        <v>28</v>
      </c>
      <c r="H48" s="1175">
        <v>1529</v>
      </c>
      <c r="I48" s="1174">
        <f t="shared" si="5"/>
        <v>25.483333333333334</v>
      </c>
      <c r="J48" s="1175" t="s">
        <v>59</v>
      </c>
      <c r="K48" s="1175" t="s">
        <v>1407</v>
      </c>
      <c r="L48" s="1175">
        <v>285</v>
      </c>
      <c r="M48" s="1252"/>
      <c r="N48" s="8">
        <v>70743</v>
      </c>
      <c r="O48" s="8">
        <v>1529.5</v>
      </c>
      <c r="P48" s="14">
        <v>25</v>
      </c>
      <c r="Q48" s="14">
        <v>28</v>
      </c>
      <c r="R48" s="14" t="str">
        <f t="shared" si="2"/>
        <v>42IM0051T</v>
      </c>
      <c r="S48" s="258">
        <f>IFERROR(VLOOKUP(R48,'[5]10204'!$M:$AB,16,FALSE),"0")</f>
        <v>1532.6</v>
      </c>
      <c r="T48" s="14">
        <f t="shared" si="3"/>
        <v>3.5999999999999091</v>
      </c>
      <c r="U48" s="14"/>
    </row>
    <row r="49" spans="1:23" ht="16">
      <c r="A49" s="1285">
        <v>46224</v>
      </c>
      <c r="B49" s="16" t="str">
        <f t="shared" si="4"/>
        <v>42IM0052T</v>
      </c>
      <c r="C49" s="1175" t="s">
        <v>1412</v>
      </c>
      <c r="D49" s="1175" t="s">
        <v>262</v>
      </c>
      <c r="E49" s="1175" t="s">
        <v>47</v>
      </c>
      <c r="F49" s="1175">
        <v>16</v>
      </c>
      <c r="G49" s="1175">
        <v>47</v>
      </c>
      <c r="H49" s="1175">
        <v>1008</v>
      </c>
      <c r="I49" s="1174">
        <f t="shared" si="5"/>
        <v>16.8</v>
      </c>
      <c r="J49" s="1175" t="s">
        <v>59</v>
      </c>
      <c r="K49" s="1175" t="s">
        <v>1407</v>
      </c>
      <c r="L49" s="1175">
        <v>285</v>
      </c>
      <c r="M49" s="1252"/>
      <c r="N49" s="8">
        <v>70748</v>
      </c>
      <c r="O49" s="8">
        <v>1008.6</v>
      </c>
      <c r="P49" s="14">
        <v>16</v>
      </c>
      <c r="Q49" s="14">
        <v>47</v>
      </c>
      <c r="R49" s="14" t="str">
        <f t="shared" si="2"/>
        <v>42IM0052T</v>
      </c>
      <c r="S49" s="258">
        <f>IFERROR(VLOOKUP(R49,'[5]10204'!$M:$AB,16,FALSE),"0")</f>
        <v>1009.7</v>
      </c>
      <c r="T49" s="14">
        <f t="shared" si="3"/>
        <v>1.7000000000000455</v>
      </c>
      <c r="U49" s="14"/>
    </row>
    <row r="50" spans="1:23" ht="16">
      <c r="A50" s="1285">
        <v>46224</v>
      </c>
      <c r="B50" s="16" t="str">
        <f t="shared" si="4"/>
        <v>42IM0055T</v>
      </c>
      <c r="C50" s="1175" t="s">
        <v>1413</v>
      </c>
      <c r="D50" s="1175" t="s">
        <v>318</v>
      </c>
      <c r="E50" s="1175" t="s">
        <v>47</v>
      </c>
      <c r="F50" s="1175">
        <v>15</v>
      </c>
      <c r="G50" s="1175">
        <v>65</v>
      </c>
      <c r="H50" s="1175">
        <v>966</v>
      </c>
      <c r="I50" s="1174">
        <f t="shared" si="5"/>
        <v>16.100000000000001</v>
      </c>
      <c r="J50" s="1175" t="s">
        <v>397</v>
      </c>
      <c r="K50" s="1175" t="s">
        <v>1407</v>
      </c>
      <c r="L50" s="1175">
        <v>285</v>
      </c>
      <c r="M50" s="1252"/>
      <c r="N50" s="8">
        <v>70753</v>
      </c>
      <c r="O50" s="8">
        <v>966.5</v>
      </c>
      <c r="P50" s="14">
        <v>15</v>
      </c>
      <c r="Q50" s="14">
        <v>65</v>
      </c>
      <c r="R50" s="14" t="str">
        <f t="shared" si="2"/>
        <v>42IM0055T</v>
      </c>
      <c r="S50" s="258">
        <f>IFERROR(VLOOKUP(R50,'[5]10204'!$M:$AB,16,FALSE),"0")</f>
        <v>967.6</v>
      </c>
      <c r="T50" s="14">
        <f t="shared" si="3"/>
        <v>1.6000000000000227</v>
      </c>
      <c r="U50" s="14"/>
    </row>
    <row r="51" spans="1:23" ht="16">
      <c r="A51" s="1285">
        <v>46224</v>
      </c>
      <c r="B51" s="16" t="str">
        <f t="shared" si="4"/>
        <v>42IM0056T</v>
      </c>
      <c r="C51" s="1175" t="s">
        <v>1414</v>
      </c>
      <c r="D51" s="1175" t="s">
        <v>318</v>
      </c>
      <c r="E51" s="1175" t="s">
        <v>47</v>
      </c>
      <c r="F51" s="1175">
        <v>6</v>
      </c>
      <c r="G51" s="1175">
        <v>39</v>
      </c>
      <c r="H51" s="1175">
        <v>398</v>
      </c>
      <c r="I51" s="1174">
        <f t="shared" si="5"/>
        <v>6.6333333333333337</v>
      </c>
      <c r="J51" s="1175" t="s">
        <v>59</v>
      </c>
      <c r="K51" s="1175" t="s">
        <v>1407</v>
      </c>
      <c r="L51" s="1175">
        <v>285</v>
      </c>
      <c r="M51" s="1252"/>
      <c r="N51" s="8">
        <v>70758</v>
      </c>
      <c r="O51" s="8">
        <v>398.2</v>
      </c>
      <c r="P51" s="14">
        <v>6</v>
      </c>
      <c r="Q51" s="14">
        <v>39</v>
      </c>
      <c r="R51" s="14" t="str">
        <f t="shared" si="2"/>
        <v>42IM0056T</v>
      </c>
      <c r="S51" s="258">
        <f>IFERROR(VLOOKUP(R51,'[5]10204'!$M:$AB,16,FALSE),"0")</f>
        <v>397.7</v>
      </c>
      <c r="T51" s="14">
        <f t="shared" si="3"/>
        <v>-0.30000000000001137</v>
      </c>
      <c r="U51" s="14"/>
    </row>
    <row r="52" spans="1:23" ht="16">
      <c r="A52" s="1285">
        <v>46224</v>
      </c>
      <c r="B52" s="16" t="str">
        <f t="shared" si="4"/>
        <v>42IM0057T</v>
      </c>
      <c r="C52" s="1175" t="s">
        <v>1415</v>
      </c>
      <c r="D52" s="1175" t="s">
        <v>312</v>
      </c>
      <c r="E52" s="1175" t="s">
        <v>47</v>
      </c>
      <c r="F52" s="1175">
        <v>16</v>
      </c>
      <c r="G52" s="1175">
        <v>17</v>
      </c>
      <c r="H52" s="1175">
        <v>988</v>
      </c>
      <c r="I52" s="1174">
        <f t="shared" si="5"/>
        <v>16.466666666666665</v>
      </c>
      <c r="J52" s="1175" t="s">
        <v>59</v>
      </c>
      <c r="K52" s="1175" t="s">
        <v>1407</v>
      </c>
      <c r="L52" s="1175">
        <v>285</v>
      </c>
      <c r="M52" s="1252"/>
      <c r="N52" s="8">
        <v>70763</v>
      </c>
      <c r="O52" s="8">
        <v>988.2</v>
      </c>
      <c r="P52" s="14">
        <v>16</v>
      </c>
      <c r="Q52" s="14">
        <v>17</v>
      </c>
      <c r="R52" s="14" t="str">
        <f t="shared" si="2"/>
        <v>42IM0057T</v>
      </c>
      <c r="S52" s="258">
        <f>IFERROR(VLOOKUP(R52,'[5]10204'!$M:$AB,16,FALSE),"0")</f>
        <v>983.7</v>
      </c>
      <c r="T52" s="14">
        <f t="shared" si="3"/>
        <v>-4.2999999999999545</v>
      </c>
      <c r="U52" s="14"/>
    </row>
    <row r="53" spans="1:23" ht="16">
      <c r="A53" s="1285">
        <v>46224</v>
      </c>
      <c r="B53" s="16" t="str">
        <f t="shared" si="4"/>
        <v>42IM0058T</v>
      </c>
      <c r="C53" s="1175" t="s">
        <v>1416</v>
      </c>
      <c r="D53" s="1175" t="s">
        <v>279</v>
      </c>
      <c r="E53" s="1175" t="s">
        <v>47</v>
      </c>
      <c r="F53" s="1175">
        <v>10</v>
      </c>
      <c r="G53" s="1175">
        <v>63</v>
      </c>
      <c r="H53" s="1175">
        <v>664</v>
      </c>
      <c r="I53" s="1174">
        <f t="shared" si="5"/>
        <v>11.066666666666666</v>
      </c>
      <c r="J53" s="1175" t="s">
        <v>397</v>
      </c>
      <c r="K53" s="1175" t="s">
        <v>1407</v>
      </c>
      <c r="L53" s="1175">
        <v>285</v>
      </c>
      <c r="M53" s="1252"/>
      <c r="N53" s="8">
        <v>70768</v>
      </c>
      <c r="O53" s="8">
        <v>664.6</v>
      </c>
      <c r="P53" s="14">
        <v>10</v>
      </c>
      <c r="Q53" s="14">
        <v>63</v>
      </c>
      <c r="R53" s="14" t="str">
        <f t="shared" si="2"/>
        <v>42IM0058T</v>
      </c>
      <c r="S53" s="258">
        <f>IFERROR(VLOOKUP(R53,'[5]10204'!$M:$AB,16,FALSE),"0")</f>
        <v>665.1</v>
      </c>
      <c r="T53" s="14">
        <f t="shared" si="3"/>
        <v>1.1000000000000227</v>
      </c>
      <c r="U53" s="14"/>
    </row>
    <row r="54" spans="1:23" ht="16">
      <c r="A54" s="1285">
        <v>46224</v>
      </c>
      <c r="B54" s="16" t="str">
        <f t="shared" si="4"/>
        <v>42IM0059T</v>
      </c>
      <c r="C54" s="1104" t="s">
        <v>1417</v>
      </c>
      <c r="D54" s="1104" t="s">
        <v>273</v>
      </c>
      <c r="E54" s="1175" t="s">
        <v>47</v>
      </c>
      <c r="F54" s="1104">
        <v>9</v>
      </c>
      <c r="G54" s="1104">
        <v>20</v>
      </c>
      <c r="H54" s="1104">
        <v>561</v>
      </c>
      <c r="I54" s="1174">
        <f t="shared" si="5"/>
        <v>9.35</v>
      </c>
      <c r="J54" s="1163" t="s">
        <v>59</v>
      </c>
      <c r="K54" s="1253" t="s">
        <v>1407</v>
      </c>
      <c r="L54" s="1175">
        <v>285</v>
      </c>
      <c r="M54" s="1252"/>
      <c r="N54" s="8">
        <v>70773</v>
      </c>
      <c r="O54" s="8">
        <v>561.5</v>
      </c>
      <c r="P54" s="14">
        <v>9</v>
      </c>
      <c r="Q54" s="14">
        <v>20</v>
      </c>
      <c r="R54" s="14" t="str">
        <f t="shared" si="2"/>
        <v>42IM0059T</v>
      </c>
      <c r="S54" s="258">
        <f>IFERROR(VLOOKUP(R54,'[5]10204'!$M:$AB,16,FALSE),"0")</f>
        <v>564</v>
      </c>
      <c r="T54" s="14">
        <f t="shared" si="3"/>
        <v>3</v>
      </c>
      <c r="U54" s="14"/>
    </row>
    <row r="55" spans="1:23" ht="16">
      <c r="A55" s="1285">
        <v>46224</v>
      </c>
      <c r="B55" s="16" t="str">
        <f t="shared" si="4"/>
        <v>43IM2001TT</v>
      </c>
      <c r="C55" s="1104" t="s">
        <v>1418</v>
      </c>
      <c r="D55" s="1104" t="s">
        <v>1419</v>
      </c>
      <c r="E55" s="1283" t="s">
        <v>46</v>
      </c>
      <c r="F55" s="1104">
        <v>9</v>
      </c>
      <c r="G55" s="1104">
        <v>62</v>
      </c>
      <c r="H55" s="1104">
        <v>602</v>
      </c>
      <c r="I55" s="1174">
        <f t="shared" si="5"/>
        <v>10.033333333333333</v>
      </c>
      <c r="J55" s="1104" t="s">
        <v>60</v>
      </c>
      <c r="K55" s="1254" t="s">
        <v>1407</v>
      </c>
      <c r="L55" s="1175">
        <v>285</v>
      </c>
      <c r="M55" s="1252"/>
      <c r="N55" s="8">
        <v>70775</v>
      </c>
      <c r="O55" s="8">
        <v>605.9</v>
      </c>
      <c r="P55" s="14">
        <v>9</v>
      </c>
      <c r="Q55" s="14">
        <v>62</v>
      </c>
      <c r="R55" s="14" t="str">
        <f t="shared" si="2"/>
        <v>43IM2001TT</v>
      </c>
      <c r="S55" s="258">
        <f>IFERROR(VLOOKUP(R55,'[5]10204'!$M:$AB,16,FALSE),"0")</f>
        <v>605</v>
      </c>
      <c r="T55" s="14">
        <f t="shared" si="3"/>
        <v>3</v>
      </c>
      <c r="U55" s="14"/>
    </row>
    <row r="56" spans="1:23" ht="16.5" thickBot="1">
      <c r="A56" s="1285">
        <v>46224</v>
      </c>
      <c r="B56" s="16" t="str">
        <f t="shared" si="4"/>
        <v>43IM2002HE</v>
      </c>
      <c r="C56" s="1104" t="s">
        <v>1420</v>
      </c>
      <c r="D56" s="1104" t="s">
        <v>1419</v>
      </c>
      <c r="E56" s="1283" t="s">
        <v>48</v>
      </c>
      <c r="F56" s="1104">
        <v>1</v>
      </c>
      <c r="G56" s="1104">
        <v>35</v>
      </c>
      <c r="H56" s="1104">
        <v>95</v>
      </c>
      <c r="I56" s="1174">
        <f t="shared" si="5"/>
        <v>1.5833333333333333</v>
      </c>
      <c r="J56" s="1104" t="s">
        <v>63</v>
      </c>
      <c r="K56" s="1254" t="s">
        <v>1407</v>
      </c>
      <c r="L56" s="1175">
        <v>285</v>
      </c>
      <c r="M56" s="1252"/>
      <c r="N56" s="8">
        <v>70776</v>
      </c>
      <c r="O56" s="8">
        <v>95.3</v>
      </c>
      <c r="P56" s="14">
        <v>1</v>
      </c>
      <c r="Q56" s="14">
        <v>35</v>
      </c>
      <c r="R56" s="14" t="str">
        <f t="shared" si="2"/>
        <v>43IM2002HE</v>
      </c>
      <c r="S56" s="258">
        <f>IFERROR(VLOOKUP(R56,'[5]10204'!$M:$AB,16,FALSE),"0")</f>
        <v>97.2</v>
      </c>
      <c r="T56" s="14">
        <f t="shared" si="3"/>
        <v>2.2000000000000028</v>
      </c>
      <c r="U56" s="14"/>
    </row>
    <row r="57" spans="1:23" ht="15.5" thickTop="1" thickBot="1">
      <c r="A57" s="1286"/>
      <c r="B57" s="1289"/>
      <c r="C57" s="36"/>
      <c r="D57" s="1287"/>
      <c r="E57" s="36"/>
      <c r="F57" s="36">
        <f>H57/60</f>
        <v>1316.1</v>
      </c>
      <c r="G57" s="36"/>
      <c r="H57" s="1288">
        <f>SUM(H3:H56)</f>
        <v>78966</v>
      </c>
      <c r="I57" s="52"/>
      <c r="J57" s="36"/>
      <c r="K57" s="1289"/>
      <c r="L57" s="1289"/>
      <c r="M57" s="1290"/>
      <c r="N57" s="3" t="s">
        <v>486</v>
      </c>
      <c r="O57" s="3">
        <f>SUM(O45:O56)</f>
        <v>11075.8</v>
      </c>
      <c r="S57" s="1485">
        <f>SUM(S45:S56)</f>
        <v>11085.800000000001</v>
      </c>
      <c r="T57" s="52" t="s">
        <v>1734</v>
      </c>
      <c r="V57" s="1486">
        <f>SUMPRODUCT(S45:S56,L45:L56)/S57</f>
        <v>285</v>
      </c>
      <c r="W57" s="17" t="s">
        <v>29</v>
      </c>
    </row>
    <row r="58" spans="1:23" ht="15" thickTop="1">
      <c r="S58" s="1485">
        <f>S57/60</f>
        <v>184.76333333333335</v>
      </c>
      <c r="T58" s="52" t="s">
        <v>1735</v>
      </c>
    </row>
    <row r="62" spans="1:23">
      <c r="A62" s="1492" t="s">
        <v>1815</v>
      </c>
    </row>
    <row r="63" spans="1:23">
      <c r="A63" s="1489" t="s">
        <v>1318</v>
      </c>
      <c r="B63" s="1489" t="s">
        <v>838</v>
      </c>
      <c r="C63" s="1489" t="s">
        <v>839</v>
      </c>
      <c r="D63" s="1489" t="s">
        <v>840</v>
      </c>
      <c r="E63" s="1489" t="s">
        <v>824</v>
      </c>
      <c r="F63" s="1489" t="s">
        <v>33</v>
      </c>
      <c r="G63" s="1489" t="s">
        <v>82</v>
      </c>
      <c r="H63" s="1489" t="s">
        <v>825</v>
      </c>
      <c r="I63" s="1489" t="s">
        <v>1321</v>
      </c>
      <c r="J63" s="1490" t="s">
        <v>1322</v>
      </c>
      <c r="K63" s="1489" t="s">
        <v>824</v>
      </c>
      <c r="L63" s="1489" t="s">
        <v>33</v>
      </c>
      <c r="M63" s="1489" t="s">
        <v>82</v>
      </c>
      <c r="N63" s="1489" t="s">
        <v>825</v>
      </c>
      <c r="O63" s="1489" t="s">
        <v>1323</v>
      </c>
      <c r="P63" s="1489" t="s">
        <v>824</v>
      </c>
      <c r="Q63" s="1489" t="s">
        <v>825</v>
      </c>
    </row>
    <row r="64" spans="1:23">
      <c r="A64" s="339" t="s">
        <v>1746</v>
      </c>
      <c r="B64" s="339" t="s">
        <v>1408</v>
      </c>
      <c r="C64" s="339" t="s">
        <v>1747</v>
      </c>
      <c r="D64" s="339" t="s">
        <v>43</v>
      </c>
      <c r="E64" s="338">
        <v>38</v>
      </c>
      <c r="F64" s="338">
        <v>37</v>
      </c>
      <c r="G64" s="337">
        <v>37.299999999999997</v>
      </c>
      <c r="H64" s="338">
        <v>2257.3000000000002</v>
      </c>
      <c r="I64" s="339" t="s">
        <v>1748</v>
      </c>
      <c r="J64" s="909">
        <v>46244</v>
      </c>
      <c r="K64" s="337">
        <v>38</v>
      </c>
      <c r="L64" s="338">
        <v>37</v>
      </c>
      <c r="M64" s="337">
        <v>37.799999999999997</v>
      </c>
      <c r="N64" s="338">
        <v>2257.8000000000002</v>
      </c>
      <c r="O64" s="339" t="s">
        <v>1749</v>
      </c>
      <c r="P64" s="337">
        <v>0</v>
      </c>
      <c r="Q64" s="337">
        <v>0.5</v>
      </c>
    </row>
    <row r="65" spans="1:17">
      <c r="A65" s="339" t="s">
        <v>1746</v>
      </c>
      <c r="B65" s="339" t="s">
        <v>1415</v>
      </c>
      <c r="C65" s="339" t="s">
        <v>1750</v>
      </c>
      <c r="D65" s="339" t="s">
        <v>44</v>
      </c>
      <c r="E65" s="338">
        <v>6</v>
      </c>
      <c r="F65" s="338">
        <v>5</v>
      </c>
      <c r="G65" s="337">
        <v>30.5</v>
      </c>
      <c r="H65" s="338">
        <v>330.5</v>
      </c>
      <c r="I65" s="339" t="s">
        <v>1751</v>
      </c>
      <c r="J65" s="909">
        <v>46245</v>
      </c>
      <c r="K65" s="337">
        <v>6</v>
      </c>
      <c r="L65" s="338">
        <v>5</v>
      </c>
      <c r="M65" s="337">
        <v>30.6</v>
      </c>
      <c r="N65" s="338">
        <v>330.6</v>
      </c>
      <c r="O65" s="339" t="s">
        <v>1752</v>
      </c>
      <c r="P65" s="337">
        <v>0</v>
      </c>
      <c r="Q65" s="337">
        <v>0.1</v>
      </c>
    </row>
    <row r="66" spans="1:17">
      <c r="A66" s="339" t="s">
        <v>1746</v>
      </c>
      <c r="B66" s="339" t="s">
        <v>1416</v>
      </c>
      <c r="C66" s="339" t="s">
        <v>1753</v>
      </c>
      <c r="D66" s="339" t="s">
        <v>44</v>
      </c>
      <c r="E66" s="338">
        <v>4</v>
      </c>
      <c r="F66" s="338">
        <v>4</v>
      </c>
      <c r="G66" s="337">
        <v>2.7</v>
      </c>
      <c r="H66" s="338">
        <v>242.7</v>
      </c>
      <c r="I66" s="339" t="s">
        <v>1751</v>
      </c>
      <c r="J66" s="909">
        <v>46245</v>
      </c>
      <c r="K66" s="337">
        <v>4</v>
      </c>
      <c r="L66" s="338">
        <v>4</v>
      </c>
      <c r="M66" s="337">
        <v>2.4</v>
      </c>
      <c r="N66" s="338">
        <v>242.4</v>
      </c>
      <c r="O66" s="339" t="s">
        <v>1752</v>
      </c>
      <c r="P66" s="337">
        <v>0</v>
      </c>
      <c r="Q66" s="337">
        <v>-0.3</v>
      </c>
    </row>
    <row r="67" spans="1:17">
      <c r="A67" s="339" t="s">
        <v>1746</v>
      </c>
      <c r="B67" s="339" t="s">
        <v>1408</v>
      </c>
      <c r="C67" s="339" t="s">
        <v>1754</v>
      </c>
      <c r="D67" s="339" t="s">
        <v>44</v>
      </c>
      <c r="E67" s="338">
        <v>6</v>
      </c>
      <c r="F67" s="338">
        <v>5</v>
      </c>
      <c r="G67" s="337">
        <v>25.3</v>
      </c>
      <c r="H67" s="338">
        <v>325.3</v>
      </c>
      <c r="I67" s="339" t="s">
        <v>1751</v>
      </c>
      <c r="J67" s="909">
        <v>46245</v>
      </c>
      <c r="K67" s="337">
        <v>6</v>
      </c>
      <c r="L67" s="338">
        <v>5</v>
      </c>
      <c r="M67" s="337">
        <v>25.6</v>
      </c>
      <c r="N67" s="338">
        <v>325.60000000000002</v>
      </c>
      <c r="O67" s="339" t="s">
        <v>1752</v>
      </c>
      <c r="P67" s="337">
        <v>0</v>
      </c>
      <c r="Q67" s="337">
        <v>0.3</v>
      </c>
    </row>
    <row r="68" spans="1:17">
      <c r="A68" s="339" t="s">
        <v>1746</v>
      </c>
      <c r="B68" s="339" t="s">
        <v>1415</v>
      </c>
      <c r="C68" s="339" t="s">
        <v>1755</v>
      </c>
      <c r="D68" s="339" t="s">
        <v>42</v>
      </c>
      <c r="E68" s="338">
        <v>6</v>
      </c>
      <c r="F68" s="338">
        <v>5</v>
      </c>
      <c r="G68" s="337">
        <v>58.5</v>
      </c>
      <c r="H68" s="338">
        <v>358.5</v>
      </c>
      <c r="I68" s="339" t="s">
        <v>1751</v>
      </c>
      <c r="J68" s="909">
        <v>46245</v>
      </c>
      <c r="K68" s="337">
        <v>6</v>
      </c>
      <c r="L68" s="338">
        <v>5</v>
      </c>
      <c r="M68" s="337">
        <v>58.6</v>
      </c>
      <c r="N68" s="338">
        <v>358.6</v>
      </c>
      <c r="O68" s="339" t="s">
        <v>1752</v>
      </c>
      <c r="P68" s="337">
        <v>0</v>
      </c>
      <c r="Q68" s="337">
        <v>0.1</v>
      </c>
    </row>
    <row r="69" spans="1:17">
      <c r="A69" s="339" t="s">
        <v>1746</v>
      </c>
      <c r="B69" s="339" t="s">
        <v>1416</v>
      </c>
      <c r="C69" s="339" t="s">
        <v>1756</v>
      </c>
      <c r="D69" s="339" t="s">
        <v>42</v>
      </c>
      <c r="E69" s="338">
        <v>5</v>
      </c>
      <c r="F69" s="338">
        <v>4</v>
      </c>
      <c r="G69" s="337">
        <v>44.8</v>
      </c>
      <c r="H69" s="338">
        <v>284.8</v>
      </c>
      <c r="I69" s="339" t="s">
        <v>1751</v>
      </c>
      <c r="J69" s="909">
        <v>46245</v>
      </c>
      <c r="K69" s="337">
        <v>5</v>
      </c>
      <c r="L69" s="338">
        <v>4</v>
      </c>
      <c r="M69" s="337">
        <v>45.5</v>
      </c>
      <c r="N69" s="338">
        <v>285.5</v>
      </c>
      <c r="O69" s="339" t="s">
        <v>1752</v>
      </c>
      <c r="P69" s="337">
        <v>0</v>
      </c>
      <c r="Q69" s="337">
        <v>0.7</v>
      </c>
    </row>
    <row r="70" spans="1:17">
      <c r="A70" s="339" t="s">
        <v>1746</v>
      </c>
      <c r="B70" s="339" t="s">
        <v>1408</v>
      </c>
      <c r="C70" s="339" t="s">
        <v>1757</v>
      </c>
      <c r="D70" s="339" t="s">
        <v>42</v>
      </c>
      <c r="E70" s="338">
        <v>6</v>
      </c>
      <c r="F70" s="338">
        <v>5</v>
      </c>
      <c r="G70" s="337">
        <v>30.5</v>
      </c>
      <c r="H70" s="338">
        <v>330.5</v>
      </c>
      <c r="I70" s="339" t="s">
        <v>1751</v>
      </c>
      <c r="J70" s="909">
        <v>46245</v>
      </c>
      <c r="K70" s="337">
        <v>6</v>
      </c>
      <c r="L70" s="338">
        <v>5</v>
      </c>
      <c r="M70" s="337">
        <v>31.6</v>
      </c>
      <c r="N70" s="338">
        <v>331.6</v>
      </c>
      <c r="O70" s="339" t="s">
        <v>1752</v>
      </c>
      <c r="P70" s="337">
        <v>0</v>
      </c>
      <c r="Q70" s="337">
        <v>1.1000000000000001</v>
      </c>
    </row>
    <row r="71" spans="1:17">
      <c r="A71" s="339" t="s">
        <v>1746</v>
      </c>
      <c r="B71" s="339" t="s">
        <v>1409</v>
      </c>
      <c r="C71" s="339" t="s">
        <v>1758</v>
      </c>
      <c r="D71" s="339" t="s">
        <v>42</v>
      </c>
      <c r="E71" s="338">
        <v>6</v>
      </c>
      <c r="F71" s="338">
        <v>6</v>
      </c>
      <c r="G71" s="337">
        <v>7.1</v>
      </c>
      <c r="H71" s="338">
        <v>367.1</v>
      </c>
      <c r="I71" s="339" t="s">
        <v>1751</v>
      </c>
      <c r="J71" s="909">
        <v>46245</v>
      </c>
      <c r="K71" s="337">
        <v>6</v>
      </c>
      <c r="L71" s="338">
        <v>6</v>
      </c>
      <c r="M71" s="337">
        <v>5.6</v>
      </c>
      <c r="N71" s="338">
        <v>365.6</v>
      </c>
      <c r="O71" s="339" t="s">
        <v>1752</v>
      </c>
      <c r="P71" s="337">
        <v>0</v>
      </c>
      <c r="Q71" s="337">
        <v>-1.5</v>
      </c>
    </row>
    <row r="72" spans="1:17">
      <c r="A72" s="339" t="s">
        <v>1746</v>
      </c>
      <c r="B72" s="339" t="s">
        <v>1415</v>
      </c>
      <c r="C72" s="339" t="s">
        <v>1759</v>
      </c>
      <c r="D72" s="339" t="s">
        <v>45</v>
      </c>
      <c r="E72" s="338">
        <v>55</v>
      </c>
      <c r="F72" s="338">
        <v>54</v>
      </c>
      <c r="G72" s="337">
        <v>35</v>
      </c>
      <c r="H72" s="338">
        <v>3275</v>
      </c>
      <c r="I72" s="339" t="s">
        <v>1751</v>
      </c>
      <c r="J72" s="909">
        <v>46245</v>
      </c>
      <c r="K72" s="337">
        <v>55</v>
      </c>
      <c r="L72" s="338">
        <v>54</v>
      </c>
      <c r="M72" s="337">
        <v>40.5</v>
      </c>
      <c r="N72" s="338">
        <v>3280.5</v>
      </c>
      <c r="O72" s="339" t="s">
        <v>1760</v>
      </c>
      <c r="P72" s="337">
        <v>0</v>
      </c>
      <c r="Q72" s="337">
        <v>5.5</v>
      </c>
    </row>
    <row r="73" spans="1:17">
      <c r="A73" s="339" t="s">
        <v>1746</v>
      </c>
      <c r="B73" s="339" t="s">
        <v>1416</v>
      </c>
      <c r="C73" s="339" t="s">
        <v>1761</v>
      </c>
      <c r="D73" s="339" t="s">
        <v>45</v>
      </c>
      <c r="E73" s="338">
        <v>37</v>
      </c>
      <c r="F73" s="338">
        <v>36</v>
      </c>
      <c r="G73" s="337">
        <v>49.6</v>
      </c>
      <c r="H73" s="338">
        <v>2209.6</v>
      </c>
      <c r="I73" s="339" t="s">
        <v>1751</v>
      </c>
      <c r="J73" s="909">
        <v>46245</v>
      </c>
      <c r="K73" s="337">
        <v>37</v>
      </c>
      <c r="L73" s="338">
        <v>36</v>
      </c>
      <c r="M73" s="337">
        <v>55.7</v>
      </c>
      <c r="N73" s="338">
        <v>2215.6999999999998</v>
      </c>
      <c r="O73" s="339" t="s">
        <v>1762</v>
      </c>
      <c r="P73" s="337">
        <v>0</v>
      </c>
      <c r="Q73" s="337">
        <v>6.1</v>
      </c>
    </row>
    <row r="74" spans="1:17">
      <c r="A74" s="339" t="s">
        <v>1746</v>
      </c>
      <c r="B74" s="339" t="s">
        <v>1408</v>
      </c>
      <c r="C74" s="339" t="s">
        <v>1763</v>
      </c>
      <c r="D74" s="339" t="s">
        <v>45</v>
      </c>
      <c r="E74" s="338">
        <v>49</v>
      </c>
      <c r="F74" s="338">
        <v>48</v>
      </c>
      <c r="G74" s="337">
        <v>12.2</v>
      </c>
      <c r="H74" s="338">
        <v>2892.2</v>
      </c>
      <c r="I74" s="339" t="s">
        <v>1751</v>
      </c>
      <c r="J74" s="909">
        <v>46245</v>
      </c>
      <c r="K74" s="337">
        <v>49</v>
      </c>
      <c r="L74" s="338">
        <v>48</v>
      </c>
      <c r="M74" s="337">
        <v>15.9</v>
      </c>
      <c r="N74" s="338">
        <v>2895.9</v>
      </c>
      <c r="O74" s="339" t="s">
        <v>1760</v>
      </c>
      <c r="P74" s="337">
        <v>0</v>
      </c>
      <c r="Q74" s="337">
        <v>3.7</v>
      </c>
    </row>
    <row r="75" spans="1:17">
      <c r="A75" s="339" t="s">
        <v>1746</v>
      </c>
      <c r="B75" s="339" t="s">
        <v>1415</v>
      </c>
      <c r="C75" s="339" t="s">
        <v>1764</v>
      </c>
      <c r="D75" s="339" t="s">
        <v>43</v>
      </c>
      <c r="E75" s="338">
        <v>55</v>
      </c>
      <c r="F75" s="338">
        <v>54</v>
      </c>
      <c r="G75" s="337">
        <v>52.2</v>
      </c>
      <c r="H75" s="338">
        <v>3292.2</v>
      </c>
      <c r="I75" s="339" t="s">
        <v>1751</v>
      </c>
      <c r="J75" s="909">
        <v>46245</v>
      </c>
      <c r="K75" s="337">
        <v>55</v>
      </c>
      <c r="L75" s="338">
        <v>55</v>
      </c>
      <c r="M75" s="337">
        <v>1.5</v>
      </c>
      <c r="N75" s="338">
        <v>3301.5</v>
      </c>
      <c r="O75" s="339" t="s">
        <v>1765</v>
      </c>
      <c r="P75" s="337">
        <v>0</v>
      </c>
      <c r="Q75" s="337">
        <v>9.3000000000000007</v>
      </c>
    </row>
    <row r="76" spans="1:17">
      <c r="A76" s="339" t="s">
        <v>1746</v>
      </c>
      <c r="B76" s="339" t="s">
        <v>1416</v>
      </c>
      <c r="C76" s="339" t="s">
        <v>1766</v>
      </c>
      <c r="D76" s="339" t="s">
        <v>43</v>
      </c>
      <c r="E76" s="338">
        <v>40</v>
      </c>
      <c r="F76" s="338">
        <v>39</v>
      </c>
      <c r="G76" s="337">
        <v>35.1</v>
      </c>
      <c r="H76" s="338">
        <v>2375.1</v>
      </c>
      <c r="I76" s="339" t="s">
        <v>1751</v>
      </c>
      <c r="J76" s="909">
        <v>46245</v>
      </c>
      <c r="K76" s="337">
        <v>40</v>
      </c>
      <c r="L76" s="338">
        <v>39</v>
      </c>
      <c r="M76" s="337">
        <v>41</v>
      </c>
      <c r="N76" s="338">
        <v>2381</v>
      </c>
      <c r="O76" s="339" t="s">
        <v>1767</v>
      </c>
      <c r="P76" s="337">
        <v>0</v>
      </c>
      <c r="Q76" s="337">
        <v>5.9</v>
      </c>
    </row>
    <row r="77" spans="1:17">
      <c r="A77" s="339" t="s">
        <v>1746</v>
      </c>
      <c r="B77" s="339" t="s">
        <v>1413</v>
      </c>
      <c r="C77" s="339" t="s">
        <v>1768</v>
      </c>
      <c r="D77" s="339" t="s">
        <v>44</v>
      </c>
      <c r="E77" s="338">
        <v>4</v>
      </c>
      <c r="F77" s="338">
        <v>4</v>
      </c>
      <c r="G77" s="337">
        <v>1.7</v>
      </c>
      <c r="H77" s="338">
        <v>241.7</v>
      </c>
      <c r="I77" s="339" t="s">
        <v>1769</v>
      </c>
      <c r="J77" s="909">
        <v>46245</v>
      </c>
      <c r="K77" s="337">
        <v>4</v>
      </c>
      <c r="L77" s="338">
        <v>3</v>
      </c>
      <c r="M77" s="337">
        <v>57.4</v>
      </c>
      <c r="N77" s="338">
        <v>237.4</v>
      </c>
      <c r="O77" s="339" t="s">
        <v>1354</v>
      </c>
      <c r="P77" s="337">
        <v>0</v>
      </c>
      <c r="Q77" s="337">
        <v>-4.3</v>
      </c>
    </row>
    <row r="78" spans="1:17">
      <c r="A78" s="339" t="s">
        <v>1746</v>
      </c>
      <c r="B78" s="339" t="s">
        <v>1412</v>
      </c>
      <c r="C78" s="339" t="s">
        <v>1770</v>
      </c>
      <c r="D78" s="339" t="s">
        <v>42</v>
      </c>
      <c r="E78" s="338">
        <v>6</v>
      </c>
      <c r="F78" s="338">
        <v>5</v>
      </c>
      <c r="G78" s="337">
        <v>40.9</v>
      </c>
      <c r="H78" s="338">
        <v>340.9</v>
      </c>
      <c r="I78" s="339" t="s">
        <v>1769</v>
      </c>
      <c r="J78" s="909">
        <v>46245</v>
      </c>
      <c r="K78" s="337">
        <v>6</v>
      </c>
      <c r="L78" s="338">
        <v>5</v>
      </c>
      <c r="M78" s="337">
        <v>39.6</v>
      </c>
      <c r="N78" s="338">
        <v>339.6</v>
      </c>
      <c r="O78" s="339" t="s">
        <v>1354</v>
      </c>
      <c r="P78" s="337">
        <v>0</v>
      </c>
      <c r="Q78" s="337">
        <v>-1.3</v>
      </c>
    </row>
    <row r="79" spans="1:17">
      <c r="A79" s="339" t="s">
        <v>1746</v>
      </c>
      <c r="B79" s="339" t="s">
        <v>1412</v>
      </c>
      <c r="C79" s="339" t="s">
        <v>1771</v>
      </c>
      <c r="D79" s="339" t="s">
        <v>45</v>
      </c>
      <c r="E79" s="338">
        <v>57</v>
      </c>
      <c r="F79" s="338">
        <v>57</v>
      </c>
      <c r="G79" s="337">
        <v>18.8</v>
      </c>
      <c r="H79" s="338">
        <v>3438.8</v>
      </c>
      <c r="I79" s="339" t="s">
        <v>1769</v>
      </c>
      <c r="J79" s="909">
        <v>46245</v>
      </c>
      <c r="K79" s="337">
        <v>57</v>
      </c>
      <c r="L79" s="338">
        <v>57</v>
      </c>
      <c r="M79" s="337">
        <v>5.7</v>
      </c>
      <c r="N79" s="338">
        <v>3425.7</v>
      </c>
      <c r="O79" s="339" t="s">
        <v>1772</v>
      </c>
      <c r="P79" s="337">
        <v>0</v>
      </c>
      <c r="Q79" s="337">
        <v>-13.1</v>
      </c>
    </row>
    <row r="80" spans="1:17">
      <c r="A80" s="339" t="s">
        <v>1746</v>
      </c>
      <c r="B80" s="339" t="s">
        <v>1409</v>
      </c>
      <c r="C80" s="339" t="s">
        <v>1773</v>
      </c>
      <c r="D80" s="339" t="s">
        <v>43</v>
      </c>
      <c r="E80" s="338">
        <v>49</v>
      </c>
      <c r="F80" s="338">
        <v>48</v>
      </c>
      <c r="G80" s="337">
        <v>51.6</v>
      </c>
      <c r="H80" s="338">
        <v>2931.6</v>
      </c>
      <c r="I80" s="339" t="s">
        <v>1769</v>
      </c>
      <c r="J80" s="909">
        <v>46245</v>
      </c>
      <c r="K80" s="337">
        <v>49</v>
      </c>
      <c r="L80" s="338">
        <v>48</v>
      </c>
      <c r="M80" s="337">
        <v>45.9</v>
      </c>
      <c r="N80" s="338">
        <v>2925.9</v>
      </c>
      <c r="O80" s="339" t="s">
        <v>1774</v>
      </c>
      <c r="P80" s="337">
        <v>0</v>
      </c>
      <c r="Q80" s="337">
        <v>-5.7</v>
      </c>
    </row>
    <row r="81" spans="1:17">
      <c r="A81" s="339" t="s">
        <v>1746</v>
      </c>
      <c r="B81" s="339" t="s">
        <v>1410</v>
      </c>
      <c r="C81" s="339" t="s">
        <v>1775</v>
      </c>
      <c r="D81" s="339" t="s">
        <v>43</v>
      </c>
      <c r="E81" s="338">
        <v>53</v>
      </c>
      <c r="F81" s="338">
        <v>52</v>
      </c>
      <c r="G81" s="337">
        <v>20.2</v>
      </c>
      <c r="H81" s="338">
        <v>3140.2</v>
      </c>
      <c r="I81" s="339" t="s">
        <v>1769</v>
      </c>
      <c r="J81" s="909">
        <v>46245</v>
      </c>
      <c r="K81" s="337">
        <v>53</v>
      </c>
      <c r="L81" s="338">
        <v>52</v>
      </c>
      <c r="M81" s="337">
        <v>11.3</v>
      </c>
      <c r="N81" s="338">
        <v>3131.3</v>
      </c>
      <c r="O81" s="339" t="s">
        <v>1776</v>
      </c>
      <c r="P81" s="337">
        <v>0</v>
      </c>
      <c r="Q81" s="337">
        <v>-8.9</v>
      </c>
    </row>
    <row r="82" spans="1:17">
      <c r="A82" s="339" t="s">
        <v>1746</v>
      </c>
      <c r="B82" s="339" t="s">
        <v>1412</v>
      </c>
      <c r="C82" s="339" t="s">
        <v>1777</v>
      </c>
      <c r="D82" s="339" t="s">
        <v>43</v>
      </c>
      <c r="E82" s="338">
        <v>46</v>
      </c>
      <c r="F82" s="338">
        <v>45</v>
      </c>
      <c r="G82" s="337">
        <v>50.9</v>
      </c>
      <c r="H82" s="338">
        <v>2750.9</v>
      </c>
      <c r="I82" s="339" t="s">
        <v>1769</v>
      </c>
      <c r="J82" s="909">
        <v>46245</v>
      </c>
      <c r="K82" s="337">
        <v>46</v>
      </c>
      <c r="L82" s="338">
        <v>45</v>
      </c>
      <c r="M82" s="337">
        <v>58.6</v>
      </c>
      <c r="N82" s="338">
        <v>2758.6</v>
      </c>
      <c r="O82" s="339" t="s">
        <v>1772</v>
      </c>
      <c r="P82" s="337">
        <v>0</v>
      </c>
      <c r="Q82" s="337">
        <v>7.7</v>
      </c>
    </row>
    <row r="83" spans="1:17">
      <c r="A83" s="339" t="s">
        <v>1746</v>
      </c>
      <c r="B83" s="339" t="s">
        <v>1413</v>
      </c>
      <c r="C83" s="339" t="s">
        <v>1778</v>
      </c>
      <c r="D83" s="339" t="s">
        <v>43</v>
      </c>
      <c r="E83" s="338">
        <v>30</v>
      </c>
      <c r="F83" s="338">
        <v>30</v>
      </c>
      <c r="G83" s="337">
        <v>1.3</v>
      </c>
      <c r="H83" s="338">
        <v>1801.3</v>
      </c>
      <c r="I83" s="339" t="s">
        <v>1769</v>
      </c>
      <c r="J83" s="909">
        <v>46245</v>
      </c>
      <c r="K83" s="337">
        <v>30</v>
      </c>
      <c r="L83" s="338">
        <v>29</v>
      </c>
      <c r="M83" s="337">
        <v>54</v>
      </c>
      <c r="N83" s="338">
        <v>1794</v>
      </c>
      <c r="O83" s="339" t="s">
        <v>1772</v>
      </c>
      <c r="P83" s="337">
        <v>0</v>
      </c>
      <c r="Q83" s="337">
        <v>-7.3</v>
      </c>
    </row>
    <row r="84" spans="1:17">
      <c r="A84" s="339" t="s">
        <v>1746</v>
      </c>
      <c r="B84" s="339" t="s">
        <v>1414</v>
      </c>
      <c r="C84" s="339" t="s">
        <v>1779</v>
      </c>
      <c r="D84" s="339" t="s">
        <v>43</v>
      </c>
      <c r="E84" s="338">
        <v>25</v>
      </c>
      <c r="F84" s="338">
        <v>24</v>
      </c>
      <c r="G84" s="337">
        <v>37.6</v>
      </c>
      <c r="H84" s="338">
        <v>1477.6</v>
      </c>
      <c r="I84" s="339" t="s">
        <v>1769</v>
      </c>
      <c r="J84" s="909">
        <v>46245</v>
      </c>
      <c r="K84" s="337">
        <v>25</v>
      </c>
      <c r="L84" s="338">
        <v>24</v>
      </c>
      <c r="M84" s="337">
        <v>37.5</v>
      </c>
      <c r="N84" s="338">
        <v>1477.5</v>
      </c>
      <c r="O84" s="339" t="s">
        <v>1780</v>
      </c>
      <c r="P84" s="337">
        <v>0</v>
      </c>
      <c r="Q84" s="337">
        <v>-0.1</v>
      </c>
    </row>
    <row r="85" spans="1:17">
      <c r="A85" s="339" t="s">
        <v>1746</v>
      </c>
      <c r="B85" s="339" t="s">
        <v>1409</v>
      </c>
      <c r="C85" s="339" t="s">
        <v>1781</v>
      </c>
      <c r="D85" s="339" t="s">
        <v>44</v>
      </c>
      <c r="E85" s="338">
        <v>6</v>
      </c>
      <c r="F85" s="338">
        <v>5</v>
      </c>
      <c r="G85" s="337">
        <v>55.9</v>
      </c>
      <c r="H85" s="338">
        <v>355.9</v>
      </c>
      <c r="I85" s="339" t="s">
        <v>1782</v>
      </c>
      <c r="J85" s="909">
        <v>46245</v>
      </c>
      <c r="K85" s="337">
        <v>6</v>
      </c>
      <c r="L85" s="338">
        <v>5</v>
      </c>
      <c r="M85" s="337">
        <v>55.6</v>
      </c>
      <c r="N85" s="338">
        <v>355.6</v>
      </c>
      <c r="O85" s="339" t="s">
        <v>1783</v>
      </c>
      <c r="P85" s="337">
        <v>0</v>
      </c>
      <c r="Q85" s="337">
        <v>-0.3</v>
      </c>
    </row>
    <row r="86" spans="1:17">
      <c r="A86" s="339" t="s">
        <v>1746</v>
      </c>
      <c r="B86" s="339" t="s">
        <v>1410</v>
      </c>
      <c r="C86" s="339" t="s">
        <v>1784</v>
      </c>
      <c r="D86" s="339" t="s">
        <v>42</v>
      </c>
      <c r="E86" s="338">
        <v>5</v>
      </c>
      <c r="F86" s="338">
        <v>4</v>
      </c>
      <c r="G86" s="337">
        <v>46.8</v>
      </c>
      <c r="H86" s="338">
        <v>286.8</v>
      </c>
      <c r="I86" s="339" t="s">
        <v>1782</v>
      </c>
      <c r="J86" s="909">
        <v>46245</v>
      </c>
      <c r="K86" s="337">
        <v>5</v>
      </c>
      <c r="L86" s="338">
        <v>4</v>
      </c>
      <c r="M86" s="337">
        <v>46.5</v>
      </c>
      <c r="N86" s="338">
        <v>286.5</v>
      </c>
      <c r="O86" s="339" t="s">
        <v>1752</v>
      </c>
      <c r="P86" s="337">
        <v>0</v>
      </c>
      <c r="Q86" s="337">
        <v>-0.3</v>
      </c>
    </row>
    <row r="87" spans="1:17">
      <c r="A87" s="339" t="s">
        <v>1746</v>
      </c>
      <c r="B87" s="339" t="s">
        <v>1409</v>
      </c>
      <c r="C87" s="339" t="s">
        <v>1785</v>
      </c>
      <c r="D87" s="339" t="s">
        <v>45</v>
      </c>
      <c r="E87" s="338">
        <v>59</v>
      </c>
      <c r="F87" s="338">
        <v>58</v>
      </c>
      <c r="G87" s="337">
        <v>57</v>
      </c>
      <c r="H87" s="338">
        <v>3537</v>
      </c>
      <c r="I87" s="339" t="s">
        <v>1782</v>
      </c>
      <c r="J87" s="909">
        <v>46245</v>
      </c>
      <c r="K87" s="337">
        <v>59</v>
      </c>
      <c r="L87" s="338">
        <v>58</v>
      </c>
      <c r="M87" s="337">
        <v>53.9</v>
      </c>
      <c r="N87" s="338">
        <v>3533.9</v>
      </c>
      <c r="O87" s="339" t="s">
        <v>1786</v>
      </c>
      <c r="P87" s="337">
        <v>0</v>
      </c>
      <c r="Q87" s="337">
        <v>-3.1</v>
      </c>
    </row>
    <row r="88" spans="1:17">
      <c r="A88" s="339" t="s">
        <v>1746</v>
      </c>
      <c r="B88" s="339" t="s">
        <v>1410</v>
      </c>
      <c r="C88" s="339" t="s">
        <v>1787</v>
      </c>
      <c r="D88" s="339" t="s">
        <v>45</v>
      </c>
      <c r="E88" s="338">
        <v>71</v>
      </c>
      <c r="F88" s="338">
        <v>71</v>
      </c>
      <c r="G88" s="337">
        <v>3</v>
      </c>
      <c r="H88" s="338">
        <v>4263</v>
      </c>
      <c r="I88" s="339" t="s">
        <v>1782</v>
      </c>
      <c r="J88" s="909">
        <v>46245</v>
      </c>
      <c r="K88" s="337">
        <v>71</v>
      </c>
      <c r="L88" s="338">
        <v>70</v>
      </c>
      <c r="M88" s="337">
        <v>58.1</v>
      </c>
      <c r="N88" s="338">
        <v>4258.1000000000004</v>
      </c>
      <c r="O88" s="339" t="s">
        <v>1788</v>
      </c>
      <c r="P88" s="337">
        <v>0</v>
      </c>
      <c r="Q88" s="337">
        <v>-4.9000000000000004</v>
      </c>
    </row>
    <row r="89" spans="1:17">
      <c r="A89" s="339" t="s">
        <v>1746</v>
      </c>
      <c r="B89" s="339" t="s">
        <v>1406</v>
      </c>
      <c r="C89" s="339" t="s">
        <v>1789</v>
      </c>
      <c r="D89" s="339" t="s">
        <v>45</v>
      </c>
      <c r="E89" s="338">
        <v>124</v>
      </c>
      <c r="F89" s="338">
        <v>123</v>
      </c>
      <c r="G89" s="337">
        <v>34.1</v>
      </c>
      <c r="H89" s="338">
        <v>7414.1</v>
      </c>
      <c r="I89" s="339" t="s">
        <v>1782</v>
      </c>
      <c r="J89" s="909">
        <v>46245</v>
      </c>
      <c r="K89" s="337">
        <v>124</v>
      </c>
      <c r="L89" s="338">
        <v>123</v>
      </c>
      <c r="M89" s="337">
        <v>41.4</v>
      </c>
      <c r="N89" s="338">
        <v>7421.4</v>
      </c>
      <c r="O89" s="339" t="s">
        <v>1790</v>
      </c>
      <c r="P89" s="337">
        <v>0</v>
      </c>
      <c r="Q89" s="337">
        <v>7.3</v>
      </c>
    </row>
    <row r="90" spans="1:17">
      <c r="A90" s="339" t="s">
        <v>1746</v>
      </c>
      <c r="B90" s="339" t="s">
        <v>1406</v>
      </c>
      <c r="C90" s="339" t="s">
        <v>1791</v>
      </c>
      <c r="D90" s="339" t="s">
        <v>44</v>
      </c>
      <c r="E90" s="338">
        <v>13</v>
      </c>
      <c r="F90" s="338">
        <v>13</v>
      </c>
      <c r="G90" s="337">
        <v>5</v>
      </c>
      <c r="H90" s="338">
        <v>785</v>
      </c>
      <c r="I90" s="339" t="s">
        <v>1792</v>
      </c>
      <c r="J90" s="909">
        <v>46245</v>
      </c>
      <c r="K90" s="337">
        <v>13</v>
      </c>
      <c r="L90" s="338">
        <v>13</v>
      </c>
      <c r="M90" s="337">
        <v>4.3</v>
      </c>
      <c r="N90" s="338">
        <v>784.3</v>
      </c>
      <c r="O90" s="339" t="s">
        <v>1793</v>
      </c>
      <c r="P90" s="337">
        <v>0</v>
      </c>
      <c r="Q90" s="337">
        <v>-0.7</v>
      </c>
    </row>
    <row r="91" spans="1:17">
      <c r="A91" s="339" t="s">
        <v>1746</v>
      </c>
      <c r="B91" s="339" t="s">
        <v>1406</v>
      </c>
      <c r="C91" s="339" t="s">
        <v>1794</v>
      </c>
      <c r="D91" s="339" t="s">
        <v>42</v>
      </c>
      <c r="E91" s="338">
        <v>10</v>
      </c>
      <c r="F91" s="338">
        <v>9</v>
      </c>
      <c r="G91" s="337">
        <v>40.700000000000003</v>
      </c>
      <c r="H91" s="338">
        <v>580.70000000000005</v>
      </c>
      <c r="I91" s="339" t="s">
        <v>1792</v>
      </c>
      <c r="J91" s="909">
        <v>46245</v>
      </c>
      <c r="K91" s="337">
        <v>10</v>
      </c>
      <c r="L91" s="338">
        <v>9</v>
      </c>
      <c r="M91" s="337">
        <v>41</v>
      </c>
      <c r="N91" s="338">
        <v>581</v>
      </c>
      <c r="O91" s="339" t="s">
        <v>1795</v>
      </c>
      <c r="P91" s="337">
        <v>0</v>
      </c>
      <c r="Q91" s="337">
        <v>0.3</v>
      </c>
    </row>
    <row r="92" spans="1:17">
      <c r="A92" s="339" t="s">
        <v>1746</v>
      </c>
      <c r="B92" s="339" t="s">
        <v>1413</v>
      </c>
      <c r="C92" s="339" t="s">
        <v>1796</v>
      </c>
      <c r="D92" s="339" t="s">
        <v>45</v>
      </c>
      <c r="E92" s="338">
        <v>48</v>
      </c>
      <c r="F92" s="338">
        <v>47</v>
      </c>
      <c r="G92" s="337">
        <v>17.899999999999999</v>
      </c>
      <c r="H92" s="338">
        <v>2837.9</v>
      </c>
      <c r="I92" s="339" t="s">
        <v>1792</v>
      </c>
      <c r="J92" s="909">
        <v>46245</v>
      </c>
      <c r="K92" s="337">
        <v>48</v>
      </c>
      <c r="L92" s="338">
        <v>47</v>
      </c>
      <c r="M92" s="337">
        <v>18.8</v>
      </c>
      <c r="N92" s="338">
        <v>2838.8</v>
      </c>
      <c r="O92" s="339" t="s">
        <v>1776</v>
      </c>
      <c r="P92" s="337">
        <v>0</v>
      </c>
      <c r="Q92" s="337">
        <v>0.9</v>
      </c>
    </row>
    <row r="93" spans="1:17">
      <c r="A93" s="339" t="s">
        <v>1746</v>
      </c>
      <c r="B93" s="339" t="s">
        <v>1406</v>
      </c>
      <c r="C93" s="339" t="s">
        <v>1797</v>
      </c>
      <c r="D93" s="339" t="s">
        <v>43</v>
      </c>
      <c r="E93" s="338">
        <v>102</v>
      </c>
      <c r="F93" s="338">
        <v>101</v>
      </c>
      <c r="G93" s="337">
        <v>47.5</v>
      </c>
      <c r="H93" s="338">
        <v>6107.5</v>
      </c>
      <c r="I93" s="339" t="s">
        <v>1792</v>
      </c>
      <c r="J93" s="909">
        <v>46245</v>
      </c>
      <c r="K93" s="337">
        <v>102</v>
      </c>
      <c r="L93" s="338">
        <v>101</v>
      </c>
      <c r="M93" s="337">
        <v>53.2</v>
      </c>
      <c r="N93" s="338">
        <v>6113.2</v>
      </c>
      <c r="O93" s="339" t="s">
        <v>1798</v>
      </c>
      <c r="P93" s="337">
        <v>0</v>
      </c>
      <c r="Q93" s="337">
        <v>5.7</v>
      </c>
    </row>
    <row r="94" spans="1:17">
      <c r="A94" s="339" t="s">
        <v>1746</v>
      </c>
      <c r="B94" s="339" t="s">
        <v>1410</v>
      </c>
      <c r="C94" s="339" t="s">
        <v>1799</v>
      </c>
      <c r="D94" s="339" t="s">
        <v>44</v>
      </c>
      <c r="E94" s="338">
        <v>7</v>
      </c>
      <c r="F94" s="338">
        <v>7</v>
      </c>
      <c r="G94" s="337">
        <v>6.4</v>
      </c>
      <c r="H94" s="338">
        <v>426.4</v>
      </c>
      <c r="I94" s="339" t="s">
        <v>1800</v>
      </c>
      <c r="J94" s="909">
        <v>46245</v>
      </c>
      <c r="K94" s="337">
        <v>7</v>
      </c>
      <c r="L94" s="338">
        <v>7</v>
      </c>
      <c r="M94" s="337">
        <v>4.7</v>
      </c>
      <c r="N94" s="338">
        <v>424.7</v>
      </c>
      <c r="O94" s="339" t="s">
        <v>1801</v>
      </c>
      <c r="P94" s="337">
        <v>0</v>
      </c>
      <c r="Q94" s="337">
        <v>-1.7</v>
      </c>
    </row>
    <row r="95" spans="1:17">
      <c r="A95" s="339" t="s">
        <v>1746</v>
      </c>
      <c r="B95" s="339" t="s">
        <v>1414</v>
      </c>
      <c r="C95" s="339" t="s">
        <v>1802</v>
      </c>
      <c r="D95" s="339" t="s">
        <v>44</v>
      </c>
      <c r="E95" s="338">
        <v>3</v>
      </c>
      <c r="F95" s="338">
        <v>2</v>
      </c>
      <c r="G95" s="337">
        <v>46.2</v>
      </c>
      <c r="H95" s="338">
        <v>166.2</v>
      </c>
      <c r="I95" s="339" t="s">
        <v>1800</v>
      </c>
      <c r="J95" s="909">
        <v>46245</v>
      </c>
      <c r="K95" s="337">
        <v>3</v>
      </c>
      <c r="L95" s="338">
        <v>2</v>
      </c>
      <c r="M95" s="337">
        <v>46.3</v>
      </c>
      <c r="N95" s="338">
        <v>166.3</v>
      </c>
      <c r="O95" s="339" t="s">
        <v>1752</v>
      </c>
      <c r="P95" s="337">
        <v>0</v>
      </c>
      <c r="Q95" s="337">
        <v>0.1</v>
      </c>
    </row>
    <row r="96" spans="1:17">
      <c r="A96" s="339" t="s">
        <v>1746</v>
      </c>
      <c r="B96" s="339" t="s">
        <v>1413</v>
      </c>
      <c r="C96" s="339" t="s">
        <v>1803</v>
      </c>
      <c r="D96" s="339" t="s">
        <v>42</v>
      </c>
      <c r="E96" s="338">
        <v>3</v>
      </c>
      <c r="F96" s="338">
        <v>2</v>
      </c>
      <c r="G96" s="337">
        <v>20.2</v>
      </c>
      <c r="H96" s="338">
        <v>140.19999999999999</v>
      </c>
      <c r="I96" s="339" t="s">
        <v>1800</v>
      </c>
      <c r="J96" s="909">
        <v>46245</v>
      </c>
      <c r="K96" s="337">
        <v>3</v>
      </c>
      <c r="L96" s="338">
        <v>2</v>
      </c>
      <c r="M96" s="337">
        <v>20.3</v>
      </c>
      <c r="N96" s="338">
        <v>140.30000000000001</v>
      </c>
      <c r="O96" s="339" t="s">
        <v>1804</v>
      </c>
      <c r="P96" s="337">
        <v>0</v>
      </c>
      <c r="Q96" s="337">
        <v>0.1</v>
      </c>
    </row>
    <row r="97" spans="1:17">
      <c r="A97" s="339" t="s">
        <v>1746</v>
      </c>
      <c r="B97" s="339" t="s">
        <v>1417</v>
      </c>
      <c r="C97" s="339" t="s">
        <v>1805</v>
      </c>
      <c r="D97" s="339" t="s">
        <v>45</v>
      </c>
      <c r="E97" s="338">
        <v>32</v>
      </c>
      <c r="F97" s="338">
        <v>31</v>
      </c>
      <c r="G97" s="337">
        <v>26.9</v>
      </c>
      <c r="H97" s="338">
        <v>1886.9</v>
      </c>
      <c r="I97" s="339" t="s">
        <v>1800</v>
      </c>
      <c r="J97" s="909">
        <v>46245</v>
      </c>
      <c r="K97" s="337">
        <v>32</v>
      </c>
      <c r="L97" s="338">
        <v>31</v>
      </c>
      <c r="M97" s="337">
        <v>30.2</v>
      </c>
      <c r="N97" s="338">
        <v>1890.2</v>
      </c>
      <c r="O97" s="339" t="s">
        <v>1806</v>
      </c>
      <c r="P97" s="337">
        <v>0</v>
      </c>
      <c r="Q97" s="337">
        <v>3.3</v>
      </c>
    </row>
    <row r="98" spans="1:17">
      <c r="A98" s="339" t="s">
        <v>1746</v>
      </c>
      <c r="B98" s="339" t="s">
        <v>1412</v>
      </c>
      <c r="C98" s="339" t="s">
        <v>1807</v>
      </c>
      <c r="D98" s="339" t="s">
        <v>44</v>
      </c>
      <c r="E98" s="338">
        <v>6</v>
      </c>
      <c r="F98" s="338">
        <v>5</v>
      </c>
      <c r="G98" s="337">
        <v>15.5</v>
      </c>
      <c r="H98" s="338">
        <v>315.5</v>
      </c>
      <c r="I98" s="339" t="s">
        <v>1808</v>
      </c>
      <c r="J98" s="909">
        <v>46245</v>
      </c>
      <c r="K98" s="337">
        <v>5</v>
      </c>
      <c r="L98" s="338">
        <v>5</v>
      </c>
      <c r="M98" s="337">
        <v>17.5</v>
      </c>
      <c r="N98" s="338">
        <v>317.5</v>
      </c>
      <c r="O98" s="339" t="s">
        <v>1354</v>
      </c>
      <c r="P98" s="337">
        <v>-1</v>
      </c>
      <c r="Q98" s="337">
        <v>2</v>
      </c>
    </row>
    <row r="99" spans="1:17">
      <c r="A99" s="339" t="s">
        <v>1746</v>
      </c>
      <c r="B99" s="339" t="s">
        <v>1417</v>
      </c>
      <c r="C99" s="339" t="s">
        <v>1809</v>
      </c>
      <c r="D99" s="339" t="s">
        <v>44</v>
      </c>
      <c r="E99" s="338">
        <v>4</v>
      </c>
      <c r="F99" s="338">
        <v>3</v>
      </c>
      <c r="G99" s="337">
        <v>10.9</v>
      </c>
      <c r="H99" s="338">
        <v>190.9</v>
      </c>
      <c r="I99" s="339" t="s">
        <v>1808</v>
      </c>
      <c r="J99" s="909">
        <v>46245</v>
      </c>
      <c r="K99" s="337">
        <v>3</v>
      </c>
      <c r="L99" s="338">
        <v>3</v>
      </c>
      <c r="M99" s="337">
        <v>11.3</v>
      </c>
      <c r="N99" s="338">
        <v>191.3</v>
      </c>
      <c r="O99" s="339" t="s">
        <v>1354</v>
      </c>
      <c r="P99" s="337">
        <v>-1</v>
      </c>
      <c r="Q99" s="337">
        <v>0.4</v>
      </c>
    </row>
    <row r="100" spans="1:17">
      <c r="A100" s="339" t="s">
        <v>1746</v>
      </c>
      <c r="B100" s="339" t="s">
        <v>1414</v>
      </c>
      <c r="C100" s="339" t="s">
        <v>1810</v>
      </c>
      <c r="D100" s="339" t="s">
        <v>42</v>
      </c>
      <c r="E100" s="338">
        <v>4</v>
      </c>
      <c r="F100" s="338">
        <v>3</v>
      </c>
      <c r="G100" s="337">
        <v>59.7</v>
      </c>
      <c r="H100" s="338">
        <v>239.7</v>
      </c>
      <c r="I100" s="339" t="s">
        <v>1808</v>
      </c>
      <c r="J100" s="909">
        <v>46245</v>
      </c>
      <c r="K100" s="337">
        <v>4</v>
      </c>
      <c r="L100" s="338">
        <v>3</v>
      </c>
      <c r="M100" s="337">
        <v>58.4</v>
      </c>
      <c r="N100" s="338">
        <v>238.4</v>
      </c>
      <c r="O100" s="339" t="s">
        <v>1354</v>
      </c>
      <c r="P100" s="337">
        <v>0</v>
      </c>
      <c r="Q100" s="337">
        <v>-1.3</v>
      </c>
    </row>
    <row r="101" spans="1:17">
      <c r="A101" s="339" t="s">
        <v>1746</v>
      </c>
      <c r="B101" s="339" t="s">
        <v>1417</v>
      </c>
      <c r="C101" s="339" t="s">
        <v>1811</v>
      </c>
      <c r="D101" s="339" t="s">
        <v>42</v>
      </c>
      <c r="E101" s="338">
        <v>4</v>
      </c>
      <c r="F101" s="338">
        <v>3</v>
      </c>
      <c r="G101" s="337">
        <v>54.7</v>
      </c>
      <c r="H101" s="338">
        <v>234.7</v>
      </c>
      <c r="I101" s="339" t="s">
        <v>1808</v>
      </c>
      <c r="J101" s="909">
        <v>46245</v>
      </c>
      <c r="K101" s="337">
        <v>4</v>
      </c>
      <c r="L101" s="338">
        <v>3</v>
      </c>
      <c r="M101" s="337">
        <v>55.4</v>
      </c>
      <c r="N101" s="338">
        <v>235.4</v>
      </c>
      <c r="O101" s="339" t="s">
        <v>1354</v>
      </c>
      <c r="P101" s="337">
        <v>0</v>
      </c>
      <c r="Q101" s="337">
        <v>0.7</v>
      </c>
    </row>
    <row r="102" spans="1:17">
      <c r="A102" s="339" t="s">
        <v>1746</v>
      </c>
      <c r="B102" s="339" t="s">
        <v>1414</v>
      </c>
      <c r="C102" s="339" t="s">
        <v>1812</v>
      </c>
      <c r="D102" s="339" t="s">
        <v>45</v>
      </c>
      <c r="E102" s="338">
        <v>25</v>
      </c>
      <c r="F102" s="338">
        <v>24</v>
      </c>
      <c r="G102" s="337">
        <v>56</v>
      </c>
      <c r="H102" s="338">
        <v>1496</v>
      </c>
      <c r="I102" s="339" t="s">
        <v>1808</v>
      </c>
      <c r="J102" s="909">
        <v>46245</v>
      </c>
      <c r="K102" s="337">
        <v>25</v>
      </c>
      <c r="L102" s="338">
        <v>24</v>
      </c>
      <c r="M102" s="337">
        <v>55.5</v>
      </c>
      <c r="N102" s="338">
        <v>1495.5</v>
      </c>
      <c r="O102" s="339" t="s">
        <v>1776</v>
      </c>
      <c r="P102" s="337">
        <v>0</v>
      </c>
      <c r="Q102" s="337">
        <v>-0.5</v>
      </c>
    </row>
    <row r="103" spans="1:17">
      <c r="A103" s="339" t="s">
        <v>1746</v>
      </c>
      <c r="B103" s="339" t="s">
        <v>1417</v>
      </c>
      <c r="C103" s="339" t="s">
        <v>1813</v>
      </c>
      <c r="D103" s="339" t="s">
        <v>43</v>
      </c>
      <c r="E103" s="338">
        <v>34</v>
      </c>
      <c r="F103" s="338">
        <v>33</v>
      </c>
      <c r="G103" s="337">
        <v>15.3</v>
      </c>
      <c r="H103" s="338">
        <v>1995.3</v>
      </c>
      <c r="I103" s="339" t="s">
        <v>1808</v>
      </c>
      <c r="J103" s="909">
        <v>46245</v>
      </c>
      <c r="K103" s="337">
        <v>34</v>
      </c>
      <c r="L103" s="338">
        <v>33</v>
      </c>
      <c r="M103" s="337">
        <v>23.4</v>
      </c>
      <c r="N103" s="338">
        <v>2003.4</v>
      </c>
      <c r="O103" s="339" t="s">
        <v>1814</v>
      </c>
      <c r="P103" s="337">
        <v>0</v>
      </c>
      <c r="Q103" s="337">
        <v>8.1</v>
      </c>
    </row>
    <row r="104" spans="1:17">
      <c r="N104" s="1493">
        <f>SUM(N64:N103)</f>
        <v>67938.100000000006</v>
      </c>
    </row>
    <row r="106" spans="1:17">
      <c r="A106" s="1492" t="s">
        <v>1838</v>
      </c>
    </row>
    <row r="107" spans="1:17">
      <c r="A107" s="1489" t="s">
        <v>1318</v>
      </c>
      <c r="B107" s="1489" t="s">
        <v>838</v>
      </c>
      <c r="C107" s="1489" t="s">
        <v>839</v>
      </c>
      <c r="D107" s="1489" t="s">
        <v>840</v>
      </c>
      <c r="E107" s="1489" t="s">
        <v>824</v>
      </c>
      <c r="F107" s="1489" t="s">
        <v>33</v>
      </c>
      <c r="G107" s="1489" t="s">
        <v>82</v>
      </c>
      <c r="H107" s="1489" t="s">
        <v>825</v>
      </c>
      <c r="I107" s="1489" t="s">
        <v>1321</v>
      </c>
      <c r="J107" s="1490" t="s">
        <v>1322</v>
      </c>
      <c r="K107" s="1489" t="s">
        <v>824</v>
      </c>
      <c r="L107" s="1489" t="s">
        <v>33</v>
      </c>
      <c r="M107" s="1489" t="s">
        <v>82</v>
      </c>
      <c r="N107" s="1489" t="s">
        <v>825</v>
      </c>
      <c r="O107" s="1489" t="s">
        <v>1323</v>
      </c>
      <c r="P107" s="1489" t="s">
        <v>824</v>
      </c>
      <c r="Q107" s="1489" t="s">
        <v>825</v>
      </c>
    </row>
    <row r="108" spans="1:17">
      <c r="A108" s="339" t="s">
        <v>1746</v>
      </c>
      <c r="B108" s="339" t="s">
        <v>1410</v>
      </c>
      <c r="C108" s="339" t="s">
        <v>1816</v>
      </c>
      <c r="D108" s="339" t="s">
        <v>47</v>
      </c>
      <c r="E108" s="338">
        <v>26</v>
      </c>
      <c r="F108" s="338">
        <v>25</v>
      </c>
      <c r="G108" s="337">
        <v>29.5</v>
      </c>
      <c r="H108" s="338">
        <v>1529.5</v>
      </c>
      <c r="I108" s="339" t="s">
        <v>1792</v>
      </c>
      <c r="J108" s="909">
        <v>46245</v>
      </c>
      <c r="K108" s="337">
        <v>26</v>
      </c>
      <c r="L108" s="338">
        <v>25</v>
      </c>
      <c r="M108" s="337">
        <v>32.6</v>
      </c>
      <c r="N108" s="338">
        <v>1532.6</v>
      </c>
      <c r="O108" s="339" t="s">
        <v>1780</v>
      </c>
      <c r="P108" s="337">
        <v>0</v>
      </c>
      <c r="Q108" s="337">
        <v>3.1</v>
      </c>
    </row>
    <row r="109" spans="1:17">
      <c r="A109" s="339" t="s">
        <v>1746</v>
      </c>
      <c r="B109" s="339" t="s">
        <v>1413</v>
      </c>
      <c r="C109" s="339" t="s">
        <v>1817</v>
      </c>
      <c r="D109" s="339" t="s">
        <v>47</v>
      </c>
      <c r="E109" s="338">
        <v>16</v>
      </c>
      <c r="F109" s="338">
        <v>16</v>
      </c>
      <c r="G109" s="337">
        <v>6.5</v>
      </c>
      <c r="H109" s="338">
        <v>966.5</v>
      </c>
      <c r="I109" s="339" t="s">
        <v>1792</v>
      </c>
      <c r="J109" s="909">
        <v>46245</v>
      </c>
      <c r="K109" s="337">
        <v>16</v>
      </c>
      <c r="L109" s="338">
        <v>16</v>
      </c>
      <c r="M109" s="337">
        <v>7.6</v>
      </c>
      <c r="N109" s="338">
        <v>967.6</v>
      </c>
      <c r="O109" s="339" t="s">
        <v>1818</v>
      </c>
      <c r="P109" s="337">
        <v>0</v>
      </c>
      <c r="Q109" s="337">
        <v>1.1000000000000001</v>
      </c>
    </row>
    <row r="110" spans="1:17">
      <c r="A110" s="339" t="s">
        <v>1746</v>
      </c>
      <c r="B110" s="339" t="s">
        <v>1415</v>
      </c>
      <c r="C110" s="339" t="s">
        <v>1819</v>
      </c>
      <c r="D110" s="339" t="s">
        <v>47</v>
      </c>
      <c r="E110" s="338">
        <v>17</v>
      </c>
      <c r="F110" s="338">
        <v>16</v>
      </c>
      <c r="G110" s="337">
        <v>28.2</v>
      </c>
      <c r="H110" s="338">
        <v>988.2</v>
      </c>
      <c r="I110" s="339" t="s">
        <v>1792</v>
      </c>
      <c r="J110" s="909">
        <v>46245</v>
      </c>
      <c r="K110" s="337">
        <v>17</v>
      </c>
      <c r="L110" s="338">
        <v>16</v>
      </c>
      <c r="M110" s="337">
        <v>23.7</v>
      </c>
      <c r="N110" s="338">
        <v>983.7</v>
      </c>
      <c r="O110" s="339" t="s">
        <v>1820</v>
      </c>
      <c r="P110" s="337">
        <v>0</v>
      </c>
      <c r="Q110" s="337">
        <v>-4.5</v>
      </c>
    </row>
    <row r="111" spans="1:17">
      <c r="A111" s="339" t="s">
        <v>1746</v>
      </c>
      <c r="B111" s="339" t="s">
        <v>1418</v>
      </c>
      <c r="C111" s="339" t="s">
        <v>1821</v>
      </c>
      <c r="D111" s="339" t="s">
        <v>46</v>
      </c>
      <c r="E111" s="338">
        <v>10</v>
      </c>
      <c r="F111" s="338">
        <v>10</v>
      </c>
      <c r="G111" s="337">
        <v>5.9</v>
      </c>
      <c r="H111" s="338">
        <v>605.9</v>
      </c>
      <c r="I111" s="339" t="s">
        <v>1792</v>
      </c>
      <c r="J111" s="909">
        <v>46245</v>
      </c>
      <c r="K111" s="337">
        <v>10</v>
      </c>
      <c r="L111" s="338">
        <v>10</v>
      </c>
      <c r="M111" s="337">
        <v>5</v>
      </c>
      <c r="N111" s="338">
        <v>605</v>
      </c>
      <c r="O111" s="339" t="s">
        <v>1822</v>
      </c>
      <c r="P111" s="337">
        <v>0</v>
      </c>
      <c r="Q111" s="337">
        <v>-0.9</v>
      </c>
    </row>
    <row r="112" spans="1:17">
      <c r="A112" s="339" t="s">
        <v>1746</v>
      </c>
      <c r="B112" s="339" t="s">
        <v>1420</v>
      </c>
      <c r="C112" s="339" t="s">
        <v>1823</v>
      </c>
      <c r="D112" s="339" t="s">
        <v>48</v>
      </c>
      <c r="E112" s="338">
        <v>2</v>
      </c>
      <c r="F112" s="338">
        <v>1</v>
      </c>
      <c r="G112" s="337">
        <v>35.299999999999997</v>
      </c>
      <c r="H112" s="338">
        <v>95.3</v>
      </c>
      <c r="I112" s="339" t="s">
        <v>1792</v>
      </c>
      <c r="J112" s="909">
        <v>46245</v>
      </c>
      <c r="K112" s="337">
        <v>2</v>
      </c>
      <c r="L112" s="338">
        <v>1</v>
      </c>
      <c r="M112" s="337">
        <v>37.200000000000003</v>
      </c>
      <c r="N112" s="338">
        <v>97.2</v>
      </c>
      <c r="O112" s="339" t="s">
        <v>1354</v>
      </c>
      <c r="P112" s="337">
        <v>0</v>
      </c>
      <c r="Q112" s="337">
        <v>1.9</v>
      </c>
    </row>
    <row r="113" spans="1:17">
      <c r="A113" s="339" t="s">
        <v>1746</v>
      </c>
      <c r="B113" s="339" t="s">
        <v>1406</v>
      </c>
      <c r="C113" s="339" t="s">
        <v>1824</v>
      </c>
      <c r="D113" s="339" t="s">
        <v>47</v>
      </c>
      <c r="E113" s="338">
        <v>36</v>
      </c>
      <c r="F113" s="338">
        <v>36</v>
      </c>
      <c r="G113" s="337">
        <v>12.7</v>
      </c>
      <c r="H113" s="338">
        <v>2172.6999999999998</v>
      </c>
      <c r="I113" s="339" t="s">
        <v>1800</v>
      </c>
      <c r="J113" s="909">
        <v>46245</v>
      </c>
      <c r="K113" s="337">
        <v>36</v>
      </c>
      <c r="L113" s="338">
        <v>36</v>
      </c>
      <c r="M113" s="337">
        <v>13.6</v>
      </c>
      <c r="N113" s="338">
        <v>2173.6</v>
      </c>
      <c r="O113" s="339" t="s">
        <v>1825</v>
      </c>
      <c r="P113" s="337">
        <v>0</v>
      </c>
      <c r="Q113" s="337">
        <v>0.9</v>
      </c>
    </row>
    <row r="114" spans="1:17">
      <c r="A114" s="339" t="s">
        <v>1746</v>
      </c>
      <c r="B114" s="339" t="s">
        <v>1408</v>
      </c>
      <c r="C114" s="339" t="s">
        <v>1826</v>
      </c>
      <c r="D114" s="339" t="s">
        <v>47</v>
      </c>
      <c r="E114" s="338">
        <v>20</v>
      </c>
      <c r="F114" s="338">
        <v>19</v>
      </c>
      <c r="G114" s="337">
        <v>25.1</v>
      </c>
      <c r="H114" s="338">
        <v>1165.0999999999999</v>
      </c>
      <c r="I114" s="339" t="s">
        <v>1800</v>
      </c>
      <c r="J114" s="909">
        <v>46245</v>
      </c>
      <c r="K114" s="337">
        <v>20</v>
      </c>
      <c r="L114" s="338">
        <v>19</v>
      </c>
      <c r="M114" s="337">
        <v>27</v>
      </c>
      <c r="N114" s="338">
        <v>1167</v>
      </c>
      <c r="O114" s="339" t="s">
        <v>1827</v>
      </c>
      <c r="P114" s="337">
        <v>0</v>
      </c>
      <c r="Q114" s="337">
        <v>1.9</v>
      </c>
    </row>
    <row r="115" spans="1:17">
      <c r="A115" s="339" t="s">
        <v>1746</v>
      </c>
      <c r="B115" s="339" t="s">
        <v>1409</v>
      </c>
      <c r="C115" s="339" t="s">
        <v>1828</v>
      </c>
      <c r="D115" s="339" t="s">
        <v>47</v>
      </c>
      <c r="E115" s="338">
        <v>16</v>
      </c>
      <c r="F115" s="338">
        <v>15</v>
      </c>
      <c r="G115" s="337">
        <v>19.7</v>
      </c>
      <c r="H115" s="338">
        <v>919.7</v>
      </c>
      <c r="I115" s="339" t="s">
        <v>1800</v>
      </c>
      <c r="J115" s="909">
        <v>46245</v>
      </c>
      <c r="K115" s="337">
        <v>16</v>
      </c>
      <c r="L115" s="338">
        <v>15</v>
      </c>
      <c r="M115" s="337">
        <v>22.6</v>
      </c>
      <c r="N115" s="338">
        <v>922.6</v>
      </c>
      <c r="O115" s="339" t="s">
        <v>1829</v>
      </c>
      <c r="P115" s="337">
        <v>0</v>
      </c>
      <c r="Q115" s="337">
        <v>2.9</v>
      </c>
    </row>
    <row r="116" spans="1:17">
      <c r="A116" s="339" t="s">
        <v>1746</v>
      </c>
      <c r="B116" s="339" t="s">
        <v>1416</v>
      </c>
      <c r="C116" s="339" t="s">
        <v>1830</v>
      </c>
      <c r="D116" s="339" t="s">
        <v>47</v>
      </c>
      <c r="E116" s="338">
        <v>11</v>
      </c>
      <c r="F116" s="338">
        <v>11</v>
      </c>
      <c r="G116" s="337">
        <v>4.5999999999999996</v>
      </c>
      <c r="H116" s="338">
        <v>664.6</v>
      </c>
      <c r="I116" s="339" t="s">
        <v>1800</v>
      </c>
      <c r="J116" s="909">
        <v>46245</v>
      </c>
      <c r="K116" s="337">
        <v>11</v>
      </c>
      <c r="L116" s="338">
        <v>11</v>
      </c>
      <c r="M116" s="337">
        <v>5.0999999999999996</v>
      </c>
      <c r="N116" s="338">
        <v>665.1</v>
      </c>
      <c r="O116" s="339" t="s">
        <v>1831</v>
      </c>
      <c r="P116" s="337">
        <v>0</v>
      </c>
      <c r="Q116" s="337">
        <v>0.5</v>
      </c>
    </row>
    <row r="117" spans="1:17">
      <c r="A117" s="339" t="s">
        <v>1746</v>
      </c>
      <c r="B117" s="339" t="s">
        <v>1417</v>
      </c>
      <c r="C117" s="339" t="s">
        <v>1832</v>
      </c>
      <c r="D117" s="339" t="s">
        <v>47</v>
      </c>
      <c r="E117" s="338">
        <v>10</v>
      </c>
      <c r="F117" s="338">
        <v>9</v>
      </c>
      <c r="G117" s="337">
        <v>21.5</v>
      </c>
      <c r="H117" s="338">
        <v>561.5</v>
      </c>
      <c r="I117" s="339" t="s">
        <v>1808</v>
      </c>
      <c r="J117" s="909">
        <v>46245</v>
      </c>
      <c r="K117" s="337">
        <v>10</v>
      </c>
      <c r="L117" s="338">
        <v>9</v>
      </c>
      <c r="M117" s="337">
        <v>24</v>
      </c>
      <c r="N117" s="338">
        <v>564</v>
      </c>
      <c r="O117" s="339" t="s">
        <v>1833</v>
      </c>
      <c r="P117" s="337">
        <v>0</v>
      </c>
      <c r="Q117" s="337">
        <v>2.5</v>
      </c>
    </row>
    <row r="118" spans="1:17">
      <c r="A118" s="339" t="s">
        <v>1746</v>
      </c>
      <c r="B118" s="339" t="s">
        <v>1412</v>
      </c>
      <c r="C118" s="339" t="s">
        <v>1834</v>
      </c>
      <c r="D118" s="339" t="s">
        <v>47</v>
      </c>
      <c r="E118" s="338">
        <v>17</v>
      </c>
      <c r="F118" s="338">
        <v>16</v>
      </c>
      <c r="G118" s="337">
        <v>48.6</v>
      </c>
      <c r="H118" s="338">
        <v>1008.6</v>
      </c>
      <c r="I118" s="339" t="s">
        <v>1808</v>
      </c>
      <c r="J118" s="909">
        <v>46245</v>
      </c>
      <c r="K118" s="337">
        <v>17</v>
      </c>
      <c r="L118" s="338">
        <v>16</v>
      </c>
      <c r="M118" s="337">
        <v>49.7</v>
      </c>
      <c r="N118" s="338">
        <v>1009.7</v>
      </c>
      <c r="O118" s="339" t="s">
        <v>1835</v>
      </c>
      <c r="P118" s="337">
        <v>0</v>
      </c>
      <c r="Q118" s="337">
        <v>1.1000000000000001</v>
      </c>
    </row>
    <row r="119" spans="1:17">
      <c r="A119" s="339" t="s">
        <v>1746</v>
      </c>
      <c r="B119" s="339" t="s">
        <v>1414</v>
      </c>
      <c r="C119" s="339" t="s">
        <v>1836</v>
      </c>
      <c r="D119" s="339" t="s">
        <v>47</v>
      </c>
      <c r="E119" s="338">
        <v>7</v>
      </c>
      <c r="F119" s="338">
        <v>6</v>
      </c>
      <c r="G119" s="337">
        <v>38.200000000000003</v>
      </c>
      <c r="H119" s="338">
        <v>398.2</v>
      </c>
      <c r="I119" s="339" t="s">
        <v>1808</v>
      </c>
      <c r="J119" s="909">
        <v>46245</v>
      </c>
      <c r="K119" s="337">
        <v>7</v>
      </c>
      <c r="L119" s="338">
        <v>6</v>
      </c>
      <c r="M119" s="337">
        <v>37.700000000000003</v>
      </c>
      <c r="N119" s="338">
        <v>397.7</v>
      </c>
      <c r="O119" s="339" t="s">
        <v>1837</v>
      </c>
      <c r="P119" s="337">
        <v>0</v>
      </c>
      <c r="Q119" s="337">
        <v>-0.5</v>
      </c>
    </row>
    <row r="120" spans="1:17">
      <c r="N120" s="1493">
        <f>SUM(N108:N119)</f>
        <v>11085.800000000001</v>
      </c>
    </row>
  </sheetData>
  <sortState xmlns:xlrd2="http://schemas.microsoft.com/office/spreadsheetml/2017/richdata2" ref="A3:Q56">
    <sortCondition ref="K3:K56"/>
  </sortState>
  <mergeCells count="2">
    <mergeCell ref="P1:Q1"/>
    <mergeCell ref="A1:C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9754-0E1A-4493-8F2A-5B9AE4889C94}">
  <dimension ref="A1:V58"/>
  <sheetViews>
    <sheetView zoomScale="80" zoomScaleNormal="80" workbookViewId="0">
      <selection activeCell="G48" sqref="G48"/>
    </sheetView>
  </sheetViews>
  <sheetFormatPr defaultRowHeight="14.5"/>
  <cols>
    <col min="1" max="1" width="12.1796875" customWidth="1"/>
    <col min="2" max="2" width="17.08984375" style="16" customWidth="1"/>
    <col min="3" max="3" width="21.6328125" style="16" customWidth="1"/>
    <col min="4" max="8" width="8.90625" style="16"/>
    <col min="9" max="9" width="7.6328125" style="16" customWidth="1"/>
    <col min="10" max="10" width="8.90625" style="16"/>
    <col min="11" max="11" width="11" style="16" customWidth="1"/>
    <col min="12" max="12" width="15.453125" style="16" customWidth="1"/>
    <col min="13" max="13" width="14.81640625" style="16" customWidth="1"/>
    <col min="14" max="14" width="16.1796875" style="16" customWidth="1"/>
    <col min="15" max="15" width="14.1796875" style="16" customWidth="1"/>
    <col min="16" max="17" width="8.90625" style="16"/>
    <col min="18" max="18" width="11.1796875" style="16" customWidth="1"/>
    <col min="19" max="19" width="16" bestFit="1" customWidth="1"/>
  </cols>
  <sheetData>
    <row r="1" spans="1:21">
      <c r="A1" s="17" t="s">
        <v>1446</v>
      </c>
      <c r="P1" s="1749" t="s">
        <v>1572</v>
      </c>
      <c r="Q1" s="1750"/>
      <c r="R1" s="1751"/>
    </row>
    <row r="2" spans="1:21" ht="15.5">
      <c r="A2" s="1255" t="s">
        <v>20</v>
      </c>
      <c r="B2" s="1256" t="s">
        <v>22</v>
      </c>
      <c r="C2" s="1257" t="s">
        <v>344</v>
      </c>
      <c r="D2" s="1258" t="s">
        <v>23</v>
      </c>
      <c r="E2" s="1256" t="s">
        <v>24</v>
      </c>
      <c r="F2" s="1259" t="s">
        <v>111</v>
      </c>
      <c r="G2" s="1256" t="s">
        <v>345</v>
      </c>
      <c r="H2" s="1256" t="s">
        <v>1430</v>
      </c>
      <c r="I2" s="1256" t="s">
        <v>142</v>
      </c>
      <c r="J2" s="1138" t="s">
        <v>1405</v>
      </c>
      <c r="K2" s="1138" t="s">
        <v>1448</v>
      </c>
      <c r="L2" s="1138" t="s">
        <v>1447</v>
      </c>
      <c r="M2" s="1138" t="s">
        <v>679</v>
      </c>
      <c r="N2" s="3" t="s">
        <v>1371</v>
      </c>
      <c r="O2" s="3" t="s">
        <v>406</v>
      </c>
      <c r="P2" s="8" t="s">
        <v>24</v>
      </c>
      <c r="Q2" s="8" t="s">
        <v>161</v>
      </c>
      <c r="R2" s="8" t="s">
        <v>1153</v>
      </c>
    </row>
    <row r="3" spans="1:21">
      <c r="A3" s="1260" t="s">
        <v>1431</v>
      </c>
      <c r="B3" s="1261" t="s">
        <v>1432</v>
      </c>
      <c r="C3" s="1261" t="s">
        <v>1433</v>
      </c>
      <c r="D3" s="1261" t="s">
        <v>42</v>
      </c>
      <c r="E3" s="1261">
        <v>3</v>
      </c>
      <c r="F3" s="1261">
        <v>34</v>
      </c>
      <c r="G3" s="1261">
        <v>214</v>
      </c>
      <c r="H3" s="1261">
        <v>4</v>
      </c>
      <c r="I3" s="1425">
        <v>430</v>
      </c>
      <c r="J3" s="8"/>
      <c r="K3" s="8" t="s">
        <v>1449</v>
      </c>
      <c r="L3" s="8" t="s">
        <v>354</v>
      </c>
      <c r="M3" s="8" t="s">
        <v>434</v>
      </c>
      <c r="N3" s="325" t="s">
        <v>1587</v>
      </c>
      <c r="O3" s="325">
        <v>214</v>
      </c>
      <c r="P3" s="325">
        <v>3</v>
      </c>
      <c r="Q3" s="325">
        <v>34</v>
      </c>
      <c r="R3" s="8"/>
      <c r="S3" t="s">
        <v>1663</v>
      </c>
      <c r="T3">
        <v>213.4</v>
      </c>
      <c r="U3">
        <v>0.59999999999999432</v>
      </c>
    </row>
    <row r="4" spans="1:21">
      <c r="A4" s="1260" t="s">
        <v>1431</v>
      </c>
      <c r="B4" s="1261" t="s">
        <v>1432</v>
      </c>
      <c r="C4" s="1261" t="s">
        <v>1433</v>
      </c>
      <c r="D4" s="1261" t="s">
        <v>43</v>
      </c>
      <c r="E4" s="1261">
        <v>21</v>
      </c>
      <c r="F4" s="1261">
        <v>35</v>
      </c>
      <c r="G4" s="1261">
        <v>1295</v>
      </c>
      <c r="H4" s="1261">
        <v>22</v>
      </c>
      <c r="I4" s="1425">
        <v>417</v>
      </c>
      <c r="J4" s="8"/>
      <c r="K4" s="8" t="s">
        <v>1449</v>
      </c>
      <c r="L4" s="8" t="s">
        <v>354</v>
      </c>
      <c r="M4" s="8" t="s">
        <v>697</v>
      </c>
      <c r="N4" s="325" t="s">
        <v>1588</v>
      </c>
      <c r="O4" s="325">
        <v>1292</v>
      </c>
      <c r="P4" s="325">
        <v>21</v>
      </c>
      <c r="Q4" s="325">
        <v>35</v>
      </c>
      <c r="R4" s="8"/>
      <c r="S4" t="s">
        <v>1664</v>
      </c>
      <c r="T4">
        <v>1291.2</v>
      </c>
      <c r="U4">
        <v>0.79999999999995453</v>
      </c>
    </row>
    <row r="5" spans="1:21">
      <c r="A5" s="1260" t="s">
        <v>1431</v>
      </c>
      <c r="B5" s="1261" t="s">
        <v>1432</v>
      </c>
      <c r="C5" s="1261" t="s">
        <v>1433</v>
      </c>
      <c r="D5" s="1261" t="s">
        <v>45</v>
      </c>
      <c r="E5" s="1261">
        <v>18</v>
      </c>
      <c r="F5" s="1261">
        <v>0</v>
      </c>
      <c r="G5" s="1261">
        <v>1080</v>
      </c>
      <c r="H5" s="1261">
        <v>18</v>
      </c>
      <c r="I5" s="1425">
        <v>378</v>
      </c>
      <c r="J5" s="8"/>
      <c r="K5" s="8" t="s">
        <v>1449</v>
      </c>
      <c r="L5" s="8" t="s">
        <v>354</v>
      </c>
      <c r="M5" s="8" t="s">
        <v>435</v>
      </c>
      <c r="N5" s="325" t="s">
        <v>1589</v>
      </c>
      <c r="O5" s="325">
        <v>1077</v>
      </c>
      <c r="P5" s="325">
        <v>18</v>
      </c>
      <c r="Q5" s="325">
        <v>0</v>
      </c>
      <c r="R5" s="8"/>
      <c r="S5" t="s">
        <v>1665</v>
      </c>
      <c r="T5">
        <v>1076.8</v>
      </c>
      <c r="U5">
        <v>0.20000000000004547</v>
      </c>
    </row>
    <row r="6" spans="1:21">
      <c r="A6" s="1260" t="s">
        <v>1431</v>
      </c>
      <c r="B6" s="1261" t="s">
        <v>1432</v>
      </c>
      <c r="C6" s="1261" t="s">
        <v>1433</v>
      </c>
      <c r="D6" s="1261" t="s">
        <v>44</v>
      </c>
      <c r="E6" s="1261">
        <v>2</v>
      </c>
      <c r="F6" s="1261">
        <v>20</v>
      </c>
      <c r="G6" s="1261">
        <v>140</v>
      </c>
      <c r="H6" s="1261">
        <v>2</v>
      </c>
      <c r="I6" s="1425">
        <v>395</v>
      </c>
      <c r="J6" s="8"/>
      <c r="K6" s="8" t="s">
        <v>1449</v>
      </c>
      <c r="L6" s="8" t="s">
        <v>354</v>
      </c>
      <c r="M6" s="8" t="s">
        <v>697</v>
      </c>
      <c r="N6" s="325" t="s">
        <v>1590</v>
      </c>
      <c r="O6" s="325">
        <v>140</v>
      </c>
      <c r="P6" s="325">
        <v>2</v>
      </c>
      <c r="Q6" s="325">
        <v>20</v>
      </c>
      <c r="R6" s="8"/>
      <c r="S6" t="s">
        <v>1666</v>
      </c>
      <c r="T6">
        <v>140.19999999999999</v>
      </c>
      <c r="U6">
        <v>-0.19999999999998863</v>
      </c>
    </row>
    <row r="7" spans="1:21">
      <c r="A7" s="1260" t="s">
        <v>1431</v>
      </c>
      <c r="B7" s="1261" t="s">
        <v>1434</v>
      </c>
      <c r="C7" s="1261" t="s">
        <v>1435</v>
      </c>
      <c r="D7" s="1261" t="s">
        <v>42</v>
      </c>
      <c r="E7" s="1261">
        <v>13</v>
      </c>
      <c r="F7" s="1261">
        <v>40</v>
      </c>
      <c r="G7" s="1261">
        <v>820</v>
      </c>
      <c r="H7" s="1261">
        <v>14</v>
      </c>
      <c r="I7" s="1425">
        <v>430</v>
      </c>
      <c r="J7" s="8"/>
      <c r="K7" s="8" t="s">
        <v>1449</v>
      </c>
      <c r="L7" s="8" t="s">
        <v>354</v>
      </c>
      <c r="M7" s="8" t="s">
        <v>434</v>
      </c>
      <c r="N7" s="1426" t="s">
        <v>1591</v>
      </c>
      <c r="O7" s="325">
        <v>818</v>
      </c>
      <c r="P7" s="325">
        <v>13</v>
      </c>
      <c r="Q7" s="325">
        <v>40</v>
      </c>
      <c r="R7" s="8"/>
      <c r="S7" t="s">
        <v>1667</v>
      </c>
      <c r="T7">
        <v>818.4</v>
      </c>
      <c r="U7">
        <v>-0.39999999999997726</v>
      </c>
    </row>
    <row r="8" spans="1:21">
      <c r="A8" s="1260" t="s">
        <v>1431</v>
      </c>
      <c r="B8" s="1261" t="s">
        <v>1434</v>
      </c>
      <c r="C8" s="1261" t="s">
        <v>1435</v>
      </c>
      <c r="D8" s="1261" t="s">
        <v>43</v>
      </c>
      <c r="E8" s="1261">
        <v>66</v>
      </c>
      <c r="F8" s="1261">
        <v>13</v>
      </c>
      <c r="G8" s="1261">
        <v>3973</v>
      </c>
      <c r="H8" s="1261">
        <v>66</v>
      </c>
      <c r="I8" s="1425">
        <v>417</v>
      </c>
      <c r="J8" s="8"/>
      <c r="K8" s="8" t="s">
        <v>1449</v>
      </c>
      <c r="L8" s="8" t="s">
        <v>354</v>
      </c>
      <c r="M8" s="8" t="s">
        <v>697</v>
      </c>
      <c r="N8" s="325" t="s">
        <v>1592</v>
      </c>
      <c r="O8" s="325">
        <v>4026</v>
      </c>
      <c r="P8" s="325">
        <v>67</v>
      </c>
      <c r="Q8" s="325">
        <v>13</v>
      </c>
      <c r="R8" s="8"/>
      <c r="S8" t="s">
        <v>1668</v>
      </c>
      <c r="T8">
        <v>4027.8</v>
      </c>
      <c r="U8">
        <v>-1.8000000000001819</v>
      </c>
    </row>
    <row r="9" spans="1:21">
      <c r="A9" s="1260" t="s">
        <v>1431</v>
      </c>
      <c r="B9" s="1261" t="s">
        <v>1434</v>
      </c>
      <c r="C9" s="1261" t="s">
        <v>1435</v>
      </c>
      <c r="D9" s="1261" t="s">
        <v>45</v>
      </c>
      <c r="E9" s="1261">
        <v>47</v>
      </c>
      <c r="F9" s="1261">
        <v>46</v>
      </c>
      <c r="G9" s="1261">
        <v>2866</v>
      </c>
      <c r="H9" s="1261">
        <v>48</v>
      </c>
      <c r="I9" s="1425">
        <v>378</v>
      </c>
      <c r="J9" s="8"/>
      <c r="K9" s="8" t="s">
        <v>1449</v>
      </c>
      <c r="L9" s="8" t="s">
        <v>354</v>
      </c>
      <c r="M9" s="8" t="s">
        <v>435</v>
      </c>
      <c r="N9" s="325" t="s">
        <v>1593</v>
      </c>
      <c r="O9" s="325">
        <v>2865</v>
      </c>
      <c r="P9" s="325">
        <v>47</v>
      </c>
      <c r="Q9" s="325">
        <v>46</v>
      </c>
      <c r="R9" s="8"/>
      <c r="S9" t="s">
        <v>1669</v>
      </c>
      <c r="T9">
        <v>2867.8</v>
      </c>
      <c r="U9">
        <v>-2.8000000000001819</v>
      </c>
    </row>
    <row r="10" spans="1:21">
      <c r="A10" s="1260" t="s">
        <v>1431</v>
      </c>
      <c r="B10" s="1261" t="s">
        <v>1434</v>
      </c>
      <c r="C10" s="1261" t="s">
        <v>1435</v>
      </c>
      <c r="D10" s="1261" t="s">
        <v>44</v>
      </c>
      <c r="E10" s="1261">
        <v>7</v>
      </c>
      <c r="F10" s="1261">
        <v>44</v>
      </c>
      <c r="G10" s="1261">
        <v>464</v>
      </c>
      <c r="H10" s="1261">
        <v>8</v>
      </c>
      <c r="I10" s="1425">
        <v>395</v>
      </c>
      <c r="J10" s="8"/>
      <c r="K10" s="8" t="s">
        <v>1449</v>
      </c>
      <c r="L10" s="8" t="s">
        <v>354</v>
      </c>
      <c r="M10" s="8" t="s">
        <v>697</v>
      </c>
      <c r="N10" s="325" t="s">
        <v>1594</v>
      </c>
      <c r="O10" s="325">
        <v>463</v>
      </c>
      <c r="P10" s="325">
        <v>7</v>
      </c>
      <c r="Q10" s="325">
        <v>44</v>
      </c>
      <c r="R10" s="8"/>
      <c r="S10" t="s">
        <v>1670</v>
      </c>
      <c r="T10">
        <v>460.8</v>
      </c>
      <c r="U10">
        <v>2.1999999999999886</v>
      </c>
    </row>
    <row r="11" spans="1:21">
      <c r="A11" s="1260" t="s">
        <v>1431</v>
      </c>
      <c r="B11" s="1261" t="s">
        <v>1436</v>
      </c>
      <c r="C11" s="1261" t="s">
        <v>1433</v>
      </c>
      <c r="D11" s="1261" t="s">
        <v>42</v>
      </c>
      <c r="E11" s="1261">
        <v>8</v>
      </c>
      <c r="F11" s="1261">
        <v>25</v>
      </c>
      <c r="G11" s="1261">
        <v>505</v>
      </c>
      <c r="H11" s="1261">
        <v>8</v>
      </c>
      <c r="I11" s="1425">
        <v>430</v>
      </c>
      <c r="J11" s="8"/>
      <c r="K11" s="8" t="s">
        <v>1449</v>
      </c>
      <c r="L11" s="8" t="s">
        <v>354</v>
      </c>
      <c r="M11" s="8" t="s">
        <v>434</v>
      </c>
      <c r="N11" s="325" t="s">
        <v>1595</v>
      </c>
      <c r="O11" s="325">
        <v>503</v>
      </c>
      <c r="P11" s="325">
        <v>8</v>
      </c>
      <c r="Q11" s="325">
        <v>25</v>
      </c>
      <c r="R11" s="8"/>
      <c r="S11" t="s">
        <v>1671</v>
      </c>
      <c r="T11">
        <v>501.9</v>
      </c>
      <c r="U11">
        <v>1.1000000000000227</v>
      </c>
    </row>
    <row r="12" spans="1:21">
      <c r="A12" s="1260" t="s">
        <v>1431</v>
      </c>
      <c r="B12" s="1261" t="s">
        <v>1436</v>
      </c>
      <c r="C12" s="1261" t="s">
        <v>1433</v>
      </c>
      <c r="D12" s="1261" t="s">
        <v>43</v>
      </c>
      <c r="E12" s="1261">
        <v>62</v>
      </c>
      <c r="F12" s="1261">
        <v>48</v>
      </c>
      <c r="G12" s="1261">
        <v>3768</v>
      </c>
      <c r="H12" s="1261">
        <v>63</v>
      </c>
      <c r="I12" s="1425">
        <v>417</v>
      </c>
      <c r="J12" s="8"/>
      <c r="K12" s="8" t="s">
        <v>1449</v>
      </c>
      <c r="L12" s="8" t="s">
        <v>354</v>
      </c>
      <c r="M12" s="8" t="s">
        <v>697</v>
      </c>
      <c r="N12" s="325" t="s">
        <v>1596</v>
      </c>
      <c r="O12" s="325">
        <v>3763</v>
      </c>
      <c r="P12" s="325">
        <v>62</v>
      </c>
      <c r="Q12" s="325">
        <v>48</v>
      </c>
      <c r="R12" s="8"/>
      <c r="S12" t="s">
        <v>1672</v>
      </c>
      <c r="T12">
        <v>3768.3</v>
      </c>
      <c r="U12">
        <v>-5.3000000000001819</v>
      </c>
    </row>
    <row r="13" spans="1:21">
      <c r="A13" s="1260" t="s">
        <v>1431</v>
      </c>
      <c r="B13" s="1261" t="s">
        <v>1436</v>
      </c>
      <c r="C13" s="1261" t="s">
        <v>1433</v>
      </c>
      <c r="D13" s="1261" t="s">
        <v>45</v>
      </c>
      <c r="E13" s="1261">
        <v>63</v>
      </c>
      <c r="F13" s="1261">
        <v>57</v>
      </c>
      <c r="G13" s="1261">
        <v>3837</v>
      </c>
      <c r="H13" s="1261">
        <v>64</v>
      </c>
      <c r="I13" s="1425">
        <v>378</v>
      </c>
      <c r="J13" s="8"/>
      <c r="K13" s="8" t="s">
        <v>1449</v>
      </c>
      <c r="L13" s="8" t="s">
        <v>354</v>
      </c>
      <c r="M13" s="8" t="s">
        <v>435</v>
      </c>
      <c r="N13" s="325" t="s">
        <v>1597</v>
      </c>
      <c r="O13" s="325">
        <v>3832</v>
      </c>
      <c r="P13" s="325">
        <v>63</v>
      </c>
      <c r="Q13" s="325">
        <v>57</v>
      </c>
      <c r="R13" s="8"/>
      <c r="S13" t="s">
        <v>1673</v>
      </c>
      <c r="T13">
        <v>3834.4</v>
      </c>
      <c r="U13">
        <v>-2.4000000000000909</v>
      </c>
    </row>
    <row r="14" spans="1:21">
      <c r="A14" s="1260" t="s">
        <v>1431</v>
      </c>
      <c r="B14" s="1261" t="s">
        <v>1436</v>
      </c>
      <c r="C14" s="1261" t="s">
        <v>1433</v>
      </c>
      <c r="D14" s="1261" t="s">
        <v>44</v>
      </c>
      <c r="E14" s="1261">
        <v>6</v>
      </c>
      <c r="F14" s="1261">
        <v>40</v>
      </c>
      <c r="G14" s="1261">
        <v>400</v>
      </c>
      <c r="H14" s="1261">
        <v>7</v>
      </c>
      <c r="I14" s="1425">
        <v>395</v>
      </c>
      <c r="J14" s="8"/>
      <c r="K14" s="8" t="s">
        <v>1449</v>
      </c>
      <c r="L14" s="8" t="s">
        <v>354</v>
      </c>
      <c r="M14" s="8" t="s">
        <v>697</v>
      </c>
      <c r="N14" s="325" t="s">
        <v>1598</v>
      </c>
      <c r="O14" s="325">
        <v>399</v>
      </c>
      <c r="P14" s="325">
        <v>6</v>
      </c>
      <c r="Q14" s="325">
        <v>40</v>
      </c>
      <c r="R14" s="8"/>
      <c r="S14" t="s">
        <v>1674</v>
      </c>
      <c r="T14">
        <v>398.7</v>
      </c>
      <c r="U14">
        <v>0.30000000000001137</v>
      </c>
    </row>
    <row r="15" spans="1:21">
      <c r="A15" s="1260" t="s">
        <v>1431</v>
      </c>
      <c r="B15" s="1261" t="s">
        <v>1437</v>
      </c>
      <c r="C15" s="1261" t="s">
        <v>1435</v>
      </c>
      <c r="D15" s="1261" t="s">
        <v>42</v>
      </c>
      <c r="E15" s="1261">
        <v>11</v>
      </c>
      <c r="F15" s="1261">
        <v>8</v>
      </c>
      <c r="G15" s="1261">
        <v>668</v>
      </c>
      <c r="H15" s="1261">
        <v>11</v>
      </c>
      <c r="I15" s="1425">
        <v>430</v>
      </c>
      <c r="J15" s="8"/>
      <c r="K15" s="8" t="s">
        <v>1449</v>
      </c>
      <c r="L15" s="8" t="s">
        <v>354</v>
      </c>
      <c r="M15" s="8" t="s">
        <v>434</v>
      </c>
      <c r="N15" s="325" t="s">
        <v>1599</v>
      </c>
      <c r="O15" s="325">
        <v>669</v>
      </c>
      <c r="P15" s="325">
        <v>11</v>
      </c>
      <c r="Q15" s="325">
        <v>8</v>
      </c>
      <c r="R15" s="8"/>
      <c r="S15" t="s">
        <v>1675</v>
      </c>
      <c r="T15">
        <v>668.1</v>
      </c>
      <c r="U15">
        <v>0.89999999999997726</v>
      </c>
    </row>
    <row r="16" spans="1:21">
      <c r="A16" s="1260" t="s">
        <v>1431</v>
      </c>
      <c r="B16" s="1261" t="s">
        <v>1437</v>
      </c>
      <c r="C16" s="1261" t="s">
        <v>1435</v>
      </c>
      <c r="D16" s="1261" t="s">
        <v>43</v>
      </c>
      <c r="E16" s="1261">
        <v>47</v>
      </c>
      <c r="F16" s="1261">
        <v>50</v>
      </c>
      <c r="G16" s="1261">
        <v>2870</v>
      </c>
      <c r="H16" s="1261">
        <v>48</v>
      </c>
      <c r="I16" s="1425">
        <v>417</v>
      </c>
      <c r="J16" s="8"/>
      <c r="K16" s="8" t="s">
        <v>1449</v>
      </c>
      <c r="L16" s="8" t="s">
        <v>354</v>
      </c>
      <c r="M16" s="8" t="s">
        <v>697</v>
      </c>
      <c r="N16" s="325" t="s">
        <v>1600</v>
      </c>
      <c r="O16" s="325">
        <v>2871.8</v>
      </c>
      <c r="P16" s="325">
        <v>47</v>
      </c>
      <c r="Q16" s="325">
        <v>50</v>
      </c>
      <c r="R16" s="8"/>
      <c r="S16" t="s">
        <v>1676</v>
      </c>
      <c r="T16">
        <v>2870.8</v>
      </c>
      <c r="U16">
        <v>1</v>
      </c>
    </row>
    <row r="17" spans="1:21">
      <c r="A17" s="1260" t="s">
        <v>1431</v>
      </c>
      <c r="B17" s="1261" t="s">
        <v>1437</v>
      </c>
      <c r="C17" s="1261" t="s">
        <v>1435</v>
      </c>
      <c r="D17" s="1261" t="s">
        <v>45</v>
      </c>
      <c r="E17" s="1261">
        <v>29</v>
      </c>
      <c r="F17" s="1261">
        <v>0</v>
      </c>
      <c r="G17" s="1261">
        <v>1740</v>
      </c>
      <c r="H17" s="1261">
        <v>29</v>
      </c>
      <c r="I17" s="1425">
        <v>378</v>
      </c>
      <c r="J17" s="8"/>
      <c r="K17" s="8" t="s">
        <v>1449</v>
      </c>
      <c r="L17" s="8" t="s">
        <v>354</v>
      </c>
      <c r="M17" s="8" t="s">
        <v>435</v>
      </c>
      <c r="N17" s="325" t="s">
        <v>1601</v>
      </c>
      <c r="O17" s="325">
        <v>1742.5</v>
      </c>
      <c r="P17" s="325">
        <v>29</v>
      </c>
      <c r="Q17" s="325">
        <v>0</v>
      </c>
      <c r="R17" s="8"/>
      <c r="S17" t="s">
        <v>1677</v>
      </c>
      <c r="T17">
        <v>1741.9</v>
      </c>
      <c r="U17">
        <v>0.59999999999990905</v>
      </c>
    </row>
    <row r="18" spans="1:21">
      <c r="A18" s="1260" t="s">
        <v>1431</v>
      </c>
      <c r="B18" s="1261" t="s">
        <v>1437</v>
      </c>
      <c r="C18" s="1261" t="s">
        <v>1435</v>
      </c>
      <c r="D18" s="1261" t="s">
        <v>44</v>
      </c>
      <c r="E18" s="1261">
        <v>5</v>
      </c>
      <c r="F18" s="1261">
        <v>25</v>
      </c>
      <c r="G18" s="1261">
        <v>325</v>
      </c>
      <c r="H18" s="1261">
        <v>5</v>
      </c>
      <c r="I18" s="1425">
        <v>395</v>
      </c>
      <c r="J18" s="8"/>
      <c r="K18" s="8" t="s">
        <v>1449</v>
      </c>
      <c r="L18" s="8" t="s">
        <v>354</v>
      </c>
      <c r="M18" s="8" t="s">
        <v>697</v>
      </c>
      <c r="N18" s="325" t="s">
        <v>1602</v>
      </c>
      <c r="O18" s="325">
        <v>325.3</v>
      </c>
      <c r="P18" s="325">
        <v>5</v>
      </c>
      <c r="Q18" s="325">
        <v>25</v>
      </c>
      <c r="R18" s="8"/>
      <c r="S18" t="s">
        <v>1678</v>
      </c>
      <c r="T18">
        <v>323.60000000000002</v>
      </c>
      <c r="U18">
        <v>1.6999999999999886</v>
      </c>
    </row>
    <row r="19" spans="1:21">
      <c r="A19" s="1260" t="s">
        <v>1431</v>
      </c>
      <c r="B19" s="1261" t="s">
        <v>1438</v>
      </c>
      <c r="C19" s="1261" t="s">
        <v>1435</v>
      </c>
      <c r="D19" s="1261" t="s">
        <v>42</v>
      </c>
      <c r="E19" s="1261">
        <v>10</v>
      </c>
      <c r="F19" s="1261">
        <v>43</v>
      </c>
      <c r="G19" s="1261">
        <v>643</v>
      </c>
      <c r="H19" s="1261">
        <v>11</v>
      </c>
      <c r="I19" s="1425">
        <v>430</v>
      </c>
      <c r="J19" s="8"/>
      <c r="K19" s="8" t="s">
        <v>1449</v>
      </c>
      <c r="L19" s="8" t="s">
        <v>354</v>
      </c>
      <c r="M19" s="8" t="s">
        <v>434</v>
      </c>
      <c r="N19" s="325" t="s">
        <v>1603</v>
      </c>
      <c r="O19" s="325">
        <v>642</v>
      </c>
      <c r="P19" s="325">
        <v>10</v>
      </c>
      <c r="Q19" s="325">
        <v>43</v>
      </c>
      <c r="R19" s="8"/>
      <c r="S19" t="s">
        <v>1679</v>
      </c>
      <c r="T19">
        <v>641.1</v>
      </c>
      <c r="U19">
        <v>0.89999999999997726</v>
      </c>
    </row>
    <row r="20" spans="1:21">
      <c r="A20" s="1260" t="s">
        <v>1431</v>
      </c>
      <c r="B20" s="1261" t="s">
        <v>1438</v>
      </c>
      <c r="C20" s="1261" t="s">
        <v>1435</v>
      </c>
      <c r="D20" s="1261" t="s">
        <v>43</v>
      </c>
      <c r="E20" s="1261">
        <v>58</v>
      </c>
      <c r="F20" s="1261">
        <v>21</v>
      </c>
      <c r="G20" s="1261">
        <v>3501</v>
      </c>
      <c r="H20" s="1261">
        <v>58</v>
      </c>
      <c r="I20" s="1425">
        <v>417</v>
      </c>
      <c r="J20" s="8"/>
      <c r="K20" s="8" t="s">
        <v>1449</v>
      </c>
      <c r="L20" s="8" t="s">
        <v>354</v>
      </c>
      <c r="M20" s="8" t="s">
        <v>697</v>
      </c>
      <c r="N20" s="325" t="s">
        <v>1604</v>
      </c>
      <c r="O20" s="325">
        <v>3496</v>
      </c>
      <c r="P20" s="325">
        <v>58</v>
      </c>
      <c r="Q20" s="325">
        <v>21</v>
      </c>
      <c r="R20" s="8"/>
      <c r="S20" t="s">
        <v>1680</v>
      </c>
      <c r="T20">
        <v>3495.9</v>
      </c>
      <c r="U20">
        <v>9.9999999999909051E-2</v>
      </c>
    </row>
    <row r="21" spans="1:21">
      <c r="A21" s="1260" t="s">
        <v>1431</v>
      </c>
      <c r="B21" s="1261" t="s">
        <v>1438</v>
      </c>
      <c r="C21" s="1261" t="s">
        <v>1435</v>
      </c>
      <c r="D21" s="1261" t="s">
        <v>45</v>
      </c>
      <c r="E21" s="1261">
        <v>46</v>
      </c>
      <c r="F21" s="1261">
        <v>0</v>
      </c>
      <c r="G21" s="1261">
        <v>2760</v>
      </c>
      <c r="H21" s="1261">
        <v>46</v>
      </c>
      <c r="I21" s="1425">
        <v>378</v>
      </c>
      <c r="J21" s="8"/>
      <c r="K21" s="8" t="s">
        <v>1449</v>
      </c>
      <c r="L21" s="8" t="s">
        <v>354</v>
      </c>
      <c r="M21" s="8" t="s">
        <v>435</v>
      </c>
      <c r="N21" s="325" t="s">
        <v>1605</v>
      </c>
      <c r="O21" s="325">
        <v>2759</v>
      </c>
      <c r="P21" s="325">
        <v>46</v>
      </c>
      <c r="Q21" s="325">
        <v>0</v>
      </c>
      <c r="R21" s="8"/>
      <c r="S21" t="s">
        <v>1681</v>
      </c>
      <c r="T21">
        <v>2761.6</v>
      </c>
      <c r="U21">
        <v>-2.5999999999999091</v>
      </c>
    </row>
    <row r="22" spans="1:21">
      <c r="A22" s="1260" t="s">
        <v>1431</v>
      </c>
      <c r="B22" s="1261" t="s">
        <v>1438</v>
      </c>
      <c r="C22" s="1261" t="s">
        <v>1435</v>
      </c>
      <c r="D22" s="1261" t="s">
        <v>44</v>
      </c>
      <c r="E22" s="1261">
        <v>6</v>
      </c>
      <c r="F22" s="1261">
        <v>21</v>
      </c>
      <c r="G22" s="1261">
        <v>381</v>
      </c>
      <c r="H22" s="1261">
        <v>6</v>
      </c>
      <c r="I22" s="1425">
        <v>395</v>
      </c>
      <c r="J22" s="8"/>
      <c r="K22" s="8" t="s">
        <v>1449</v>
      </c>
      <c r="L22" s="8" t="s">
        <v>354</v>
      </c>
      <c r="M22" s="8" t="s">
        <v>697</v>
      </c>
      <c r="N22" s="325" t="s">
        <v>1606</v>
      </c>
      <c r="O22" s="325">
        <v>381</v>
      </c>
      <c r="P22" s="325">
        <v>6</v>
      </c>
      <c r="Q22" s="325">
        <v>21</v>
      </c>
      <c r="R22" s="8"/>
      <c r="S22" t="s">
        <v>1682</v>
      </c>
      <c r="T22">
        <v>379.7</v>
      </c>
      <c r="U22">
        <v>1.3000000000000114</v>
      </c>
    </row>
    <row r="23" spans="1:21">
      <c r="A23" s="1260" t="s">
        <v>1431</v>
      </c>
      <c r="B23" s="1261" t="s">
        <v>1439</v>
      </c>
      <c r="C23" s="1261" t="s">
        <v>1433</v>
      </c>
      <c r="D23" s="1261" t="s">
        <v>42</v>
      </c>
      <c r="E23" s="1261">
        <v>10</v>
      </c>
      <c r="F23" s="1261">
        <v>7</v>
      </c>
      <c r="G23" s="1261">
        <v>607</v>
      </c>
      <c r="H23" s="1261">
        <v>10</v>
      </c>
      <c r="I23" s="1425">
        <v>430</v>
      </c>
      <c r="J23" s="8"/>
      <c r="K23" s="8" t="s">
        <v>1449</v>
      </c>
      <c r="L23" s="8" t="s">
        <v>354</v>
      </c>
      <c r="M23" s="8" t="s">
        <v>434</v>
      </c>
      <c r="N23" s="325" t="s">
        <v>1607</v>
      </c>
      <c r="O23" s="325">
        <v>607</v>
      </c>
      <c r="P23" s="325">
        <v>10</v>
      </c>
      <c r="Q23" s="325">
        <v>7</v>
      </c>
      <c r="R23" s="8"/>
      <c r="S23" t="s">
        <v>1683</v>
      </c>
      <c r="T23">
        <v>607.1</v>
      </c>
      <c r="U23">
        <v>-0.10000000000002274</v>
      </c>
    </row>
    <row r="24" spans="1:21">
      <c r="A24" s="1260" t="s">
        <v>1431</v>
      </c>
      <c r="B24" s="1261" t="s">
        <v>1439</v>
      </c>
      <c r="C24" s="1261" t="s">
        <v>1433</v>
      </c>
      <c r="D24" s="1261" t="s">
        <v>43</v>
      </c>
      <c r="E24" s="1261">
        <v>58</v>
      </c>
      <c r="F24" s="1261">
        <v>58</v>
      </c>
      <c r="G24" s="1261">
        <v>3538</v>
      </c>
      <c r="H24" s="1261">
        <v>59</v>
      </c>
      <c r="I24" s="1425">
        <v>417</v>
      </c>
      <c r="J24" s="8"/>
      <c r="K24" s="8" t="s">
        <v>1449</v>
      </c>
      <c r="L24" s="8" t="s">
        <v>354</v>
      </c>
      <c r="M24" s="8" t="s">
        <v>697</v>
      </c>
      <c r="N24" s="325" t="s">
        <v>1608</v>
      </c>
      <c r="O24" s="325">
        <v>3531</v>
      </c>
      <c r="P24" s="325">
        <v>58</v>
      </c>
      <c r="Q24" s="325">
        <v>58</v>
      </c>
      <c r="R24" s="8"/>
      <c r="S24" t="s">
        <v>1684</v>
      </c>
      <c r="T24">
        <v>3533.9</v>
      </c>
      <c r="U24">
        <v>-2.9000000000000909</v>
      </c>
    </row>
    <row r="25" spans="1:21">
      <c r="A25" s="1260" t="s">
        <v>1431</v>
      </c>
      <c r="B25" s="1261" t="s">
        <v>1439</v>
      </c>
      <c r="C25" s="1261" t="s">
        <v>1433</v>
      </c>
      <c r="D25" s="1261" t="s">
        <v>45</v>
      </c>
      <c r="E25" s="1261">
        <v>45</v>
      </c>
      <c r="F25" s="1261">
        <v>39</v>
      </c>
      <c r="G25" s="1261">
        <v>2739</v>
      </c>
      <c r="H25" s="1261">
        <v>46</v>
      </c>
      <c r="I25" s="1425">
        <v>378</v>
      </c>
      <c r="J25" s="8"/>
      <c r="K25" s="8" t="s">
        <v>1449</v>
      </c>
      <c r="L25" s="8" t="s">
        <v>354</v>
      </c>
      <c r="M25" s="8" t="s">
        <v>435</v>
      </c>
      <c r="N25" s="325" t="s">
        <v>1609</v>
      </c>
      <c r="O25" s="325">
        <v>2735</v>
      </c>
      <c r="P25" s="325">
        <v>45</v>
      </c>
      <c r="Q25" s="325">
        <v>39</v>
      </c>
      <c r="R25" s="8"/>
      <c r="S25" t="s">
        <v>1685</v>
      </c>
      <c r="T25">
        <v>2732.6</v>
      </c>
      <c r="U25">
        <v>2.4000000000000909</v>
      </c>
    </row>
    <row r="26" spans="1:21">
      <c r="A26" s="1260" t="s">
        <v>1431</v>
      </c>
      <c r="B26" s="1261" t="s">
        <v>1439</v>
      </c>
      <c r="C26" s="1261" t="s">
        <v>1433</v>
      </c>
      <c r="D26" s="1261" t="s">
        <v>44</v>
      </c>
      <c r="E26" s="1261">
        <v>5</v>
      </c>
      <c r="F26" s="1261">
        <v>62</v>
      </c>
      <c r="G26" s="1261">
        <v>362</v>
      </c>
      <c r="H26" s="1261">
        <v>6</v>
      </c>
      <c r="I26" s="1425">
        <v>395</v>
      </c>
      <c r="J26" s="8"/>
      <c r="K26" s="8" t="s">
        <v>1449</v>
      </c>
      <c r="L26" s="8" t="s">
        <v>354</v>
      </c>
      <c r="M26" s="8" t="s">
        <v>697</v>
      </c>
      <c r="N26" s="325" t="s">
        <v>1610</v>
      </c>
      <c r="O26" s="325">
        <v>361</v>
      </c>
      <c r="P26" s="325">
        <v>5</v>
      </c>
      <c r="Q26" s="325">
        <v>62</v>
      </c>
      <c r="R26" s="8"/>
      <c r="S26" t="s">
        <v>1686</v>
      </c>
      <c r="T26">
        <v>353.6</v>
      </c>
      <c r="U26">
        <v>7.3999999999999773</v>
      </c>
    </row>
    <row r="27" spans="1:21">
      <c r="A27" s="1260" t="s">
        <v>1431</v>
      </c>
      <c r="B27" s="1261" t="s">
        <v>1440</v>
      </c>
      <c r="C27" s="1261" t="s">
        <v>1435</v>
      </c>
      <c r="D27" s="1261" t="s">
        <v>42</v>
      </c>
      <c r="E27" s="1261">
        <v>12</v>
      </c>
      <c r="F27" s="1261">
        <v>42</v>
      </c>
      <c r="G27" s="1261">
        <v>762</v>
      </c>
      <c r="H27" s="1261">
        <v>13</v>
      </c>
      <c r="I27" s="1425">
        <v>430</v>
      </c>
      <c r="J27" s="8"/>
      <c r="K27" s="8" t="s">
        <v>1449</v>
      </c>
      <c r="L27" s="8" t="s">
        <v>354</v>
      </c>
      <c r="M27" s="8" t="s">
        <v>434</v>
      </c>
      <c r="N27" s="325" t="s">
        <v>1611</v>
      </c>
      <c r="O27" s="325">
        <v>761.8</v>
      </c>
      <c r="P27" s="325">
        <v>12</v>
      </c>
      <c r="Q27" s="325">
        <v>42</v>
      </c>
      <c r="R27" s="8"/>
      <c r="S27" t="s">
        <v>1687</v>
      </c>
      <c r="T27">
        <v>760.3</v>
      </c>
      <c r="U27">
        <v>1.5</v>
      </c>
    </row>
    <row r="28" spans="1:21" ht="15.5">
      <c r="A28" s="1260" t="s">
        <v>1431</v>
      </c>
      <c r="B28" s="1262" t="s">
        <v>1440</v>
      </c>
      <c r="C28" s="1262" t="s">
        <v>1435</v>
      </c>
      <c r="D28" s="1262" t="s">
        <v>43</v>
      </c>
      <c r="E28" s="1262">
        <v>59</v>
      </c>
      <c r="F28" s="1262">
        <v>11</v>
      </c>
      <c r="G28" s="1262">
        <v>3551</v>
      </c>
      <c r="H28" s="1261">
        <v>59</v>
      </c>
      <c r="I28" s="1425">
        <v>417</v>
      </c>
      <c r="J28" s="8"/>
      <c r="K28" s="8" t="s">
        <v>1449</v>
      </c>
      <c r="L28" s="8" t="s">
        <v>354</v>
      </c>
      <c r="M28" s="8" t="s">
        <v>697</v>
      </c>
      <c r="N28" s="325" t="s">
        <v>1612</v>
      </c>
      <c r="O28" s="325">
        <v>3550</v>
      </c>
      <c r="P28" s="325">
        <v>59</v>
      </c>
      <c r="Q28" s="325">
        <v>11</v>
      </c>
      <c r="R28" s="8"/>
      <c r="S28" t="s">
        <v>1688</v>
      </c>
      <c r="T28">
        <v>3546</v>
      </c>
      <c r="U28">
        <v>4</v>
      </c>
    </row>
    <row r="29" spans="1:21">
      <c r="A29" s="1260" t="s">
        <v>1431</v>
      </c>
      <c r="B29" s="1261" t="s">
        <v>1440</v>
      </c>
      <c r="C29" s="1261" t="s">
        <v>1435</v>
      </c>
      <c r="D29" s="1261" t="s">
        <v>45</v>
      </c>
      <c r="E29" s="1261">
        <v>42</v>
      </c>
      <c r="F29" s="1261">
        <v>30</v>
      </c>
      <c r="G29" s="1261">
        <v>2550</v>
      </c>
      <c r="H29" s="1261">
        <v>43</v>
      </c>
      <c r="I29" s="1425">
        <v>378</v>
      </c>
      <c r="J29" s="8"/>
      <c r="K29" s="8" t="s">
        <v>1449</v>
      </c>
      <c r="L29" s="8" t="s">
        <v>354</v>
      </c>
      <c r="M29" s="8" t="s">
        <v>435</v>
      </c>
      <c r="N29" s="325" t="s">
        <v>1613</v>
      </c>
      <c r="O29" s="325">
        <v>2550.6</v>
      </c>
      <c r="P29" s="325">
        <v>42</v>
      </c>
      <c r="Q29" s="325">
        <v>30</v>
      </c>
      <c r="R29" s="8"/>
      <c r="S29" t="s">
        <v>1689</v>
      </c>
      <c r="T29">
        <v>2540.3000000000002</v>
      </c>
      <c r="U29">
        <v>10.299999999999727</v>
      </c>
    </row>
    <row r="30" spans="1:21">
      <c r="A30" s="1260" t="s">
        <v>1431</v>
      </c>
      <c r="B30" s="1261" t="s">
        <v>1440</v>
      </c>
      <c r="C30" s="1261" t="s">
        <v>1435</v>
      </c>
      <c r="D30" s="1261" t="s">
        <v>44</v>
      </c>
      <c r="E30" s="1261">
        <v>6</v>
      </c>
      <c r="F30" s="1261">
        <v>53</v>
      </c>
      <c r="G30" s="1261">
        <v>413</v>
      </c>
      <c r="H30" s="1261">
        <v>7</v>
      </c>
      <c r="I30" s="1425">
        <v>395</v>
      </c>
      <c r="J30" s="8"/>
      <c r="K30" s="8" t="s">
        <v>1449</v>
      </c>
      <c r="L30" s="8" t="s">
        <v>354</v>
      </c>
      <c r="M30" s="8" t="s">
        <v>697</v>
      </c>
      <c r="N30" s="325" t="s">
        <v>1614</v>
      </c>
      <c r="O30" s="325">
        <v>413</v>
      </c>
      <c r="P30" s="325">
        <v>6</v>
      </c>
      <c r="Q30" s="325">
        <v>53</v>
      </c>
      <c r="R30" s="8"/>
      <c r="S30" t="s">
        <v>1690</v>
      </c>
      <c r="T30">
        <v>408.7</v>
      </c>
      <c r="U30">
        <v>4.3000000000000114</v>
      </c>
    </row>
    <row r="31" spans="1:21">
      <c r="A31" s="1260" t="s">
        <v>1431</v>
      </c>
      <c r="B31" s="1261" t="s">
        <v>1441</v>
      </c>
      <c r="C31" s="1261" t="s">
        <v>1433</v>
      </c>
      <c r="D31" s="1261" t="s">
        <v>42</v>
      </c>
      <c r="E31" s="1261">
        <v>7</v>
      </c>
      <c r="F31" s="1261">
        <v>55</v>
      </c>
      <c r="G31" s="1261">
        <v>475</v>
      </c>
      <c r="H31" s="1261">
        <v>8</v>
      </c>
      <c r="I31" s="1425">
        <v>430</v>
      </c>
      <c r="J31" s="8"/>
      <c r="K31" s="8" t="s">
        <v>1449</v>
      </c>
      <c r="L31" s="8" t="s">
        <v>354</v>
      </c>
      <c r="M31" s="8" t="s">
        <v>434</v>
      </c>
      <c r="N31" s="325" t="s">
        <v>1615</v>
      </c>
      <c r="O31" s="325">
        <v>475.8</v>
      </c>
      <c r="P31" s="325">
        <v>7</v>
      </c>
      <c r="Q31" s="325">
        <v>55</v>
      </c>
      <c r="R31" s="8"/>
      <c r="S31" t="s">
        <v>1691</v>
      </c>
      <c r="T31">
        <v>472.8</v>
      </c>
      <c r="U31">
        <v>3</v>
      </c>
    </row>
    <row r="32" spans="1:21">
      <c r="A32" s="1260" t="s">
        <v>1431</v>
      </c>
      <c r="B32" s="1261" t="s">
        <v>1441</v>
      </c>
      <c r="C32" s="1261" t="s">
        <v>1433</v>
      </c>
      <c r="D32" s="1261" t="s">
        <v>43</v>
      </c>
      <c r="E32" s="1261">
        <v>54</v>
      </c>
      <c r="F32" s="1261">
        <v>21</v>
      </c>
      <c r="G32" s="1261">
        <v>3261</v>
      </c>
      <c r="H32" s="1261">
        <v>54</v>
      </c>
      <c r="I32" s="1425">
        <v>417</v>
      </c>
      <c r="J32" s="8"/>
      <c r="K32" s="8" t="s">
        <v>1449</v>
      </c>
      <c r="L32" s="8" t="s">
        <v>354</v>
      </c>
      <c r="M32" s="8" t="s">
        <v>697</v>
      </c>
      <c r="N32" s="325" t="s">
        <v>1616</v>
      </c>
      <c r="O32" s="325">
        <v>3268.2</v>
      </c>
      <c r="P32" s="325">
        <v>54</v>
      </c>
      <c r="Q32" s="325">
        <v>21</v>
      </c>
      <c r="R32" s="8"/>
      <c r="S32" t="s">
        <v>1692</v>
      </c>
      <c r="T32">
        <v>3268.5</v>
      </c>
      <c r="U32">
        <v>-0.3000000000001819</v>
      </c>
    </row>
    <row r="33" spans="1:21">
      <c r="A33" s="1260" t="s">
        <v>1431</v>
      </c>
      <c r="B33" s="1261" t="s">
        <v>1441</v>
      </c>
      <c r="C33" s="1261" t="s">
        <v>1433</v>
      </c>
      <c r="D33" s="1261" t="s">
        <v>45</v>
      </c>
      <c r="E33" s="1261">
        <v>38</v>
      </c>
      <c r="F33" s="1261">
        <v>53</v>
      </c>
      <c r="G33" s="1261">
        <v>2333</v>
      </c>
      <c r="H33" s="1261">
        <v>39</v>
      </c>
      <c r="I33" s="1425">
        <v>378</v>
      </c>
      <c r="J33" s="8"/>
      <c r="K33" s="8" t="s">
        <v>1449</v>
      </c>
      <c r="L33" s="8" t="s">
        <v>354</v>
      </c>
      <c r="M33" s="8" t="s">
        <v>435</v>
      </c>
      <c r="N33" s="325" t="s">
        <v>1617</v>
      </c>
      <c r="O33" s="325">
        <v>2334.6</v>
      </c>
      <c r="P33" s="325">
        <v>38</v>
      </c>
      <c r="Q33" s="325">
        <v>53</v>
      </c>
      <c r="R33" s="8"/>
      <c r="S33" t="s">
        <v>1693</v>
      </c>
      <c r="T33">
        <v>2327.9</v>
      </c>
      <c r="U33">
        <v>6.6999999999998181</v>
      </c>
    </row>
    <row r="34" spans="1:21">
      <c r="A34" s="1260" t="s">
        <v>1431</v>
      </c>
      <c r="B34" s="1261" t="s">
        <v>1441</v>
      </c>
      <c r="C34" s="1261" t="s">
        <v>1433</v>
      </c>
      <c r="D34" s="1261" t="s">
        <v>44</v>
      </c>
      <c r="E34" s="1261">
        <v>4</v>
      </c>
      <c r="F34" s="1261">
        <v>30</v>
      </c>
      <c r="G34" s="1261">
        <v>270</v>
      </c>
      <c r="H34" s="1261">
        <v>5</v>
      </c>
      <c r="I34" s="1425">
        <v>395</v>
      </c>
      <c r="J34" s="8"/>
      <c r="K34" s="8" t="s">
        <v>1449</v>
      </c>
      <c r="L34" s="8" t="s">
        <v>354</v>
      </c>
      <c r="M34" s="8" t="s">
        <v>697</v>
      </c>
      <c r="N34" s="325" t="s">
        <v>1618</v>
      </c>
      <c r="O34" s="325">
        <v>270.7</v>
      </c>
      <c r="P34" s="325">
        <v>4</v>
      </c>
      <c r="Q34" s="325">
        <v>30</v>
      </c>
      <c r="R34" s="8"/>
      <c r="S34" t="s">
        <v>1694</v>
      </c>
      <c r="T34">
        <v>269.5</v>
      </c>
      <c r="U34">
        <v>1.1999999999999886</v>
      </c>
    </row>
    <row r="35" spans="1:21">
      <c r="A35" s="1260" t="s">
        <v>1431</v>
      </c>
      <c r="B35" s="1261" t="s">
        <v>1442</v>
      </c>
      <c r="C35" s="1261" t="s">
        <v>1435</v>
      </c>
      <c r="D35" s="1261" t="s">
        <v>42</v>
      </c>
      <c r="E35" s="1261">
        <v>9</v>
      </c>
      <c r="F35" s="1261">
        <v>36</v>
      </c>
      <c r="G35" s="1261">
        <v>576</v>
      </c>
      <c r="H35" s="1261">
        <v>10</v>
      </c>
      <c r="I35" s="1425">
        <v>430</v>
      </c>
      <c r="J35" s="8"/>
      <c r="K35" s="8" t="s">
        <v>1449</v>
      </c>
      <c r="L35" s="8" t="s">
        <v>354</v>
      </c>
      <c r="M35" s="8" t="s">
        <v>434</v>
      </c>
      <c r="N35" s="325" t="s">
        <v>1619</v>
      </c>
      <c r="O35" s="325">
        <v>574</v>
      </c>
      <c r="P35" s="325">
        <v>9</v>
      </c>
      <c r="Q35" s="325">
        <v>36</v>
      </c>
      <c r="R35" s="8"/>
      <c r="S35" t="s">
        <v>1695</v>
      </c>
      <c r="T35">
        <v>573</v>
      </c>
      <c r="U35">
        <v>1</v>
      </c>
    </row>
    <row r="36" spans="1:21" ht="15.5">
      <c r="A36" s="1260" t="s">
        <v>1431</v>
      </c>
      <c r="B36" s="1262" t="s">
        <v>1442</v>
      </c>
      <c r="C36" s="1262" t="s">
        <v>1435</v>
      </c>
      <c r="D36" s="1262" t="s">
        <v>43</v>
      </c>
      <c r="E36" s="1262">
        <v>52</v>
      </c>
      <c r="F36" s="1262">
        <v>52</v>
      </c>
      <c r="G36" s="1262">
        <v>3172</v>
      </c>
      <c r="H36" s="1261">
        <v>53</v>
      </c>
      <c r="I36" s="1425">
        <v>417</v>
      </c>
      <c r="J36" s="8"/>
      <c r="K36" s="8" t="s">
        <v>1449</v>
      </c>
      <c r="L36" s="8" t="s">
        <v>354</v>
      </c>
      <c r="M36" s="8" t="s">
        <v>697</v>
      </c>
      <c r="N36" s="325" t="s">
        <v>1620</v>
      </c>
      <c r="O36" s="325">
        <v>3165</v>
      </c>
      <c r="P36" s="325">
        <v>52</v>
      </c>
      <c r="Q36" s="325">
        <v>52</v>
      </c>
      <c r="R36" s="8"/>
      <c r="S36" t="s">
        <v>1696</v>
      </c>
      <c r="T36">
        <v>3164.3</v>
      </c>
      <c r="U36">
        <v>0.6999999999998181</v>
      </c>
    </row>
    <row r="37" spans="1:21">
      <c r="A37" s="1260" t="s">
        <v>1431</v>
      </c>
      <c r="B37" s="1261" t="s">
        <v>1442</v>
      </c>
      <c r="C37" s="1261" t="s">
        <v>1435</v>
      </c>
      <c r="D37" s="1261" t="s">
        <v>45</v>
      </c>
      <c r="E37" s="1261">
        <v>44</v>
      </c>
      <c r="F37" s="1261">
        <v>43</v>
      </c>
      <c r="G37" s="1261">
        <v>2683</v>
      </c>
      <c r="H37" s="1261">
        <v>45</v>
      </c>
      <c r="I37" s="1425">
        <v>378</v>
      </c>
      <c r="J37" s="8"/>
      <c r="K37" s="8" t="s">
        <v>1449</v>
      </c>
      <c r="L37" s="8" t="s">
        <v>354</v>
      </c>
      <c r="M37" s="8" t="s">
        <v>435</v>
      </c>
      <c r="N37" s="325" t="s">
        <v>1621</v>
      </c>
      <c r="O37" s="325">
        <v>2677</v>
      </c>
      <c r="P37" s="325">
        <v>44</v>
      </c>
      <c r="Q37" s="325">
        <v>43</v>
      </c>
      <c r="R37" s="8"/>
      <c r="S37" t="s">
        <v>1697</v>
      </c>
      <c r="T37">
        <v>2677.5</v>
      </c>
      <c r="U37">
        <v>-0.5</v>
      </c>
    </row>
    <row r="38" spans="1:21">
      <c r="A38" s="1260" t="s">
        <v>1431</v>
      </c>
      <c r="B38" s="1261" t="s">
        <v>1442</v>
      </c>
      <c r="C38" s="1261" t="s">
        <v>1435</v>
      </c>
      <c r="D38" s="1261" t="s">
        <v>44</v>
      </c>
      <c r="E38" s="1261">
        <v>6</v>
      </c>
      <c r="F38" s="1261">
        <v>0</v>
      </c>
      <c r="G38" s="1261">
        <v>360</v>
      </c>
      <c r="H38" s="1261">
        <v>6</v>
      </c>
      <c r="I38" s="1425">
        <v>395</v>
      </c>
      <c r="J38" s="8"/>
      <c r="K38" s="8" t="s">
        <v>1449</v>
      </c>
      <c r="L38" s="8" t="s">
        <v>354</v>
      </c>
      <c r="M38" s="8" t="s">
        <v>697</v>
      </c>
      <c r="N38" s="325" t="s">
        <v>1622</v>
      </c>
      <c r="O38" s="325">
        <v>359</v>
      </c>
      <c r="P38" s="325">
        <v>6</v>
      </c>
      <c r="Q38" s="325">
        <v>0</v>
      </c>
      <c r="R38" s="8"/>
      <c r="S38" t="s">
        <v>1698</v>
      </c>
      <c r="T38">
        <v>357.6</v>
      </c>
      <c r="U38">
        <v>1.3999999999999773</v>
      </c>
    </row>
    <row r="39" spans="1:21">
      <c r="A39" s="1260" t="s">
        <v>1431</v>
      </c>
      <c r="B39" s="1261" t="s">
        <v>1443</v>
      </c>
      <c r="C39" s="1261" t="s">
        <v>1435</v>
      </c>
      <c r="D39" s="1261" t="s">
        <v>42</v>
      </c>
      <c r="E39" s="1261">
        <v>10</v>
      </c>
      <c r="F39" s="1261">
        <v>53</v>
      </c>
      <c r="G39" s="1261">
        <v>653</v>
      </c>
      <c r="H39" s="1261">
        <v>11</v>
      </c>
      <c r="I39" s="1425">
        <v>430</v>
      </c>
      <c r="J39" s="8"/>
      <c r="K39" s="8" t="s">
        <v>1449</v>
      </c>
      <c r="L39" s="8" t="s">
        <v>354</v>
      </c>
      <c r="M39" s="8" t="s">
        <v>434</v>
      </c>
      <c r="N39" s="325" t="s">
        <v>1623</v>
      </c>
      <c r="O39" s="325">
        <v>654.20000000000005</v>
      </c>
      <c r="P39" s="325">
        <v>10</v>
      </c>
      <c r="Q39" s="325">
        <v>53</v>
      </c>
      <c r="R39" s="8"/>
      <c r="S39" t="s">
        <v>1699</v>
      </c>
      <c r="T39">
        <v>654.1</v>
      </c>
      <c r="U39">
        <v>0.10000000000002274</v>
      </c>
    </row>
    <row r="40" spans="1:21">
      <c r="A40" s="1260" t="s">
        <v>1431</v>
      </c>
      <c r="B40" s="1261" t="s">
        <v>1443</v>
      </c>
      <c r="C40" s="1261" t="s">
        <v>1435</v>
      </c>
      <c r="D40" s="1261" t="s">
        <v>43</v>
      </c>
      <c r="E40" s="1261">
        <v>58</v>
      </c>
      <c r="F40" s="1261">
        <v>10</v>
      </c>
      <c r="G40" s="1261">
        <v>3490</v>
      </c>
      <c r="H40" s="1261">
        <v>58</v>
      </c>
      <c r="I40" s="1425">
        <v>417</v>
      </c>
      <c r="J40" s="8"/>
      <c r="K40" s="8" t="s">
        <v>1449</v>
      </c>
      <c r="L40" s="8" t="s">
        <v>354</v>
      </c>
      <c r="M40" s="8" t="s">
        <v>697</v>
      </c>
      <c r="N40" s="325" t="s">
        <v>1624</v>
      </c>
      <c r="O40" s="325">
        <v>3491.9</v>
      </c>
      <c r="P40" s="325">
        <v>58</v>
      </c>
      <c r="Q40" s="325">
        <v>10</v>
      </c>
      <c r="R40" s="8"/>
      <c r="S40" t="s">
        <v>1700</v>
      </c>
      <c r="T40">
        <v>3491.9</v>
      </c>
      <c r="U40">
        <v>0</v>
      </c>
    </row>
    <row r="41" spans="1:21">
      <c r="A41" s="1260" t="s">
        <v>1431</v>
      </c>
      <c r="B41" s="1261" t="s">
        <v>1443</v>
      </c>
      <c r="C41" s="1261" t="s">
        <v>1435</v>
      </c>
      <c r="D41" s="1261" t="s">
        <v>45</v>
      </c>
      <c r="E41" s="1261">
        <v>45</v>
      </c>
      <c r="F41" s="1261">
        <v>36</v>
      </c>
      <c r="G41" s="1261">
        <v>2736</v>
      </c>
      <c r="H41" s="1261">
        <v>46</v>
      </c>
      <c r="I41" s="1425">
        <v>378</v>
      </c>
      <c r="J41" s="8"/>
      <c r="K41" s="8" t="s">
        <v>1449</v>
      </c>
      <c r="L41" s="8" t="s">
        <v>354</v>
      </c>
      <c r="M41" s="8" t="s">
        <v>435</v>
      </c>
      <c r="N41" s="325" t="s">
        <v>1625</v>
      </c>
      <c r="O41" s="325">
        <v>2739</v>
      </c>
      <c r="P41" s="325">
        <v>45</v>
      </c>
      <c r="Q41" s="325">
        <v>36</v>
      </c>
      <c r="R41" s="8"/>
      <c r="S41" t="s">
        <v>1701</v>
      </c>
      <c r="T41">
        <v>2727.6</v>
      </c>
      <c r="U41">
        <v>11.400000000000091</v>
      </c>
    </row>
    <row r="42" spans="1:21">
      <c r="A42" s="1260" t="s">
        <v>1431</v>
      </c>
      <c r="B42" s="1261" t="s">
        <v>1443</v>
      </c>
      <c r="C42" s="1261" t="s">
        <v>1435</v>
      </c>
      <c r="D42" s="1261" t="s">
        <v>44</v>
      </c>
      <c r="E42" s="1261">
        <v>6</v>
      </c>
      <c r="F42" s="1261">
        <v>21</v>
      </c>
      <c r="G42" s="1261">
        <v>381</v>
      </c>
      <c r="H42" s="1261">
        <v>6</v>
      </c>
      <c r="I42" s="1425">
        <v>395</v>
      </c>
      <c r="J42" s="8"/>
      <c r="K42" s="8" t="s">
        <v>1449</v>
      </c>
      <c r="L42" s="8" t="s">
        <v>354</v>
      </c>
      <c r="M42" s="8" t="s">
        <v>697</v>
      </c>
      <c r="N42" s="325" t="s">
        <v>1626</v>
      </c>
      <c r="O42" s="325">
        <v>381.9</v>
      </c>
      <c r="P42" s="325">
        <v>21</v>
      </c>
      <c r="Q42" s="325">
        <v>6</v>
      </c>
      <c r="R42" s="8"/>
      <c r="S42" t="s">
        <v>1702</v>
      </c>
      <c r="T42">
        <v>379.7</v>
      </c>
      <c r="U42">
        <v>2.1999999999999886</v>
      </c>
    </row>
    <row r="43" spans="1:21">
      <c r="A43" s="1260" t="s">
        <v>1431</v>
      </c>
      <c r="B43" s="1261" t="s">
        <v>1444</v>
      </c>
      <c r="C43" s="1261" t="s">
        <v>1445</v>
      </c>
      <c r="D43" s="1261" t="s">
        <v>42</v>
      </c>
      <c r="E43" s="1261">
        <v>5</v>
      </c>
      <c r="F43" s="1261">
        <v>9</v>
      </c>
      <c r="G43" s="1261">
        <v>309</v>
      </c>
      <c r="H43" s="1261">
        <v>5</v>
      </c>
      <c r="I43" s="1425">
        <v>430</v>
      </c>
      <c r="J43" s="8"/>
      <c r="K43" s="8" t="s">
        <v>1449</v>
      </c>
      <c r="L43" s="8" t="s">
        <v>354</v>
      </c>
      <c r="M43" s="8" t="s">
        <v>434</v>
      </c>
      <c r="N43" s="325" t="s">
        <v>1627</v>
      </c>
      <c r="O43" s="325">
        <v>309.2</v>
      </c>
      <c r="P43" s="325">
        <v>5</v>
      </c>
      <c r="Q43" s="325">
        <v>9</v>
      </c>
      <c r="R43" s="8"/>
      <c r="S43" t="s">
        <v>1703</v>
      </c>
      <c r="T43">
        <v>306.60000000000002</v>
      </c>
      <c r="U43">
        <v>2.5999999999999659</v>
      </c>
    </row>
    <row r="44" spans="1:21">
      <c r="A44" s="1260" t="s">
        <v>1431</v>
      </c>
      <c r="B44" s="1261" t="s">
        <v>1444</v>
      </c>
      <c r="C44" s="1261" t="s">
        <v>1445</v>
      </c>
      <c r="D44" s="1261" t="s">
        <v>43</v>
      </c>
      <c r="E44" s="1261">
        <v>28</v>
      </c>
      <c r="F44" s="1261">
        <v>16</v>
      </c>
      <c r="G44" s="1261">
        <v>1696</v>
      </c>
      <c r="H44" s="1261">
        <v>28</v>
      </c>
      <c r="I44" s="1425">
        <v>417</v>
      </c>
      <c r="J44" s="8"/>
      <c r="K44" s="8" t="s">
        <v>1449</v>
      </c>
      <c r="L44" s="8" t="s">
        <v>354</v>
      </c>
      <c r="M44" s="8" t="s">
        <v>697</v>
      </c>
      <c r="N44" s="325" t="s">
        <v>1628</v>
      </c>
      <c r="O44" s="325">
        <v>1698.3</v>
      </c>
      <c r="P44" s="325">
        <v>28</v>
      </c>
      <c r="Q44" s="325">
        <v>16</v>
      </c>
      <c r="R44" s="8"/>
      <c r="S44" t="s">
        <v>1704</v>
      </c>
      <c r="T44">
        <v>1692.9</v>
      </c>
      <c r="U44">
        <v>5.3999999999998636</v>
      </c>
    </row>
    <row r="45" spans="1:21">
      <c r="A45" s="1260" t="s">
        <v>1431</v>
      </c>
      <c r="B45" s="1261" t="s">
        <v>1444</v>
      </c>
      <c r="C45" s="1261" t="s">
        <v>1445</v>
      </c>
      <c r="D45" s="1261" t="s">
        <v>45</v>
      </c>
      <c r="E45" s="1261">
        <v>16</v>
      </c>
      <c r="F45" s="1261">
        <v>27</v>
      </c>
      <c r="G45" s="1261">
        <v>987</v>
      </c>
      <c r="H45" s="1261">
        <v>16</v>
      </c>
      <c r="I45" s="1425">
        <v>378</v>
      </c>
      <c r="J45" s="8"/>
      <c r="K45" s="8" t="s">
        <v>1449</v>
      </c>
      <c r="L45" s="8" t="s">
        <v>354</v>
      </c>
      <c r="M45" s="8" t="s">
        <v>435</v>
      </c>
      <c r="N45" s="325" t="s">
        <v>1629</v>
      </c>
      <c r="O45" s="325">
        <v>1229.3</v>
      </c>
      <c r="P45" s="325">
        <v>20</v>
      </c>
      <c r="Q45" s="325">
        <v>27</v>
      </c>
      <c r="R45" s="8"/>
      <c r="S45" t="s">
        <v>1705</v>
      </c>
      <c r="T45">
        <v>1219.0999999999999</v>
      </c>
      <c r="U45">
        <v>10.200000000000045</v>
      </c>
    </row>
    <row r="46" spans="1:21">
      <c r="A46" s="1260" t="s">
        <v>1431</v>
      </c>
      <c r="B46" s="1261" t="s">
        <v>1444</v>
      </c>
      <c r="C46" s="1261" t="s">
        <v>1445</v>
      </c>
      <c r="D46" s="1261" t="s">
        <v>44</v>
      </c>
      <c r="E46" s="1261">
        <v>3</v>
      </c>
      <c r="F46" s="1261">
        <v>7</v>
      </c>
      <c r="G46" s="1261">
        <v>187</v>
      </c>
      <c r="H46" s="1261">
        <v>3</v>
      </c>
      <c r="I46" s="1425">
        <v>395</v>
      </c>
      <c r="J46" s="8"/>
      <c r="K46" s="8" t="s">
        <v>1449</v>
      </c>
      <c r="L46" s="8" t="s">
        <v>354</v>
      </c>
      <c r="M46" s="8" t="s">
        <v>697</v>
      </c>
      <c r="N46" s="325" t="s">
        <v>1630</v>
      </c>
      <c r="O46" s="1327">
        <v>187.6</v>
      </c>
      <c r="P46" s="325">
        <v>3</v>
      </c>
      <c r="Q46" s="325">
        <v>7</v>
      </c>
      <c r="R46" s="8"/>
      <c r="S46" t="s">
        <v>1706</v>
      </c>
      <c r="T46">
        <v>185.4</v>
      </c>
      <c r="U46">
        <v>2.1999999999999886</v>
      </c>
    </row>
    <row r="47" spans="1:21">
      <c r="A47" s="1424">
        <v>46227</v>
      </c>
      <c r="B47" s="1261" t="s">
        <v>1581</v>
      </c>
      <c r="C47" s="1261" t="s">
        <v>1582</v>
      </c>
      <c r="D47" s="1261" t="s">
        <v>42</v>
      </c>
      <c r="E47" s="325">
        <v>10</v>
      </c>
      <c r="F47" s="325">
        <v>49</v>
      </c>
      <c r="G47" s="1261">
        <f>E47*60+F47</f>
        <v>649</v>
      </c>
      <c r="H47" s="8"/>
      <c r="I47" s="1425">
        <v>430</v>
      </c>
      <c r="J47" s="8"/>
      <c r="K47" s="8" t="s">
        <v>1449</v>
      </c>
      <c r="L47" s="1261" t="s">
        <v>354</v>
      </c>
      <c r="M47" s="1443" t="s">
        <v>434</v>
      </c>
      <c r="N47" s="325" t="s">
        <v>1583</v>
      </c>
      <c r="O47" s="325">
        <v>649</v>
      </c>
      <c r="P47" s="325">
        <v>10</v>
      </c>
      <c r="Q47" s="325">
        <v>49</v>
      </c>
      <c r="R47" s="8"/>
      <c r="S47" t="s">
        <v>1707</v>
      </c>
      <c r="T47">
        <v>649.1</v>
      </c>
      <c r="U47">
        <v>-0.10000000000002274</v>
      </c>
    </row>
    <row r="48" spans="1:21">
      <c r="A48" s="1424">
        <v>46227</v>
      </c>
      <c r="B48" s="1261" t="s">
        <v>1581</v>
      </c>
      <c r="C48" s="1261" t="s">
        <v>1582</v>
      </c>
      <c r="D48" s="1261" t="s">
        <v>43</v>
      </c>
      <c r="E48" s="325">
        <v>55</v>
      </c>
      <c r="F48" s="325">
        <v>42</v>
      </c>
      <c r="G48" s="1261">
        <f t="shared" ref="G48:G50" si="0">E48*60+F48</f>
        <v>3342</v>
      </c>
      <c r="H48" s="8"/>
      <c r="I48" s="1425">
        <v>417</v>
      </c>
      <c r="J48" s="8"/>
      <c r="K48" s="8" t="s">
        <v>1449</v>
      </c>
      <c r="L48" s="1261" t="s">
        <v>354</v>
      </c>
      <c r="M48" s="1443" t="s">
        <v>697</v>
      </c>
      <c r="N48" s="325" t="s">
        <v>1584</v>
      </c>
      <c r="O48" s="325">
        <v>3340</v>
      </c>
      <c r="P48" s="325">
        <v>55</v>
      </c>
      <c r="Q48" s="325">
        <v>42</v>
      </c>
      <c r="R48" s="8"/>
      <c r="S48" t="s">
        <v>1708</v>
      </c>
      <c r="T48">
        <v>3337.6</v>
      </c>
      <c r="U48">
        <v>2.4000000000000909</v>
      </c>
    </row>
    <row r="49" spans="1:22">
      <c r="A49" s="1424">
        <v>46227</v>
      </c>
      <c r="B49" s="1261" t="s">
        <v>1581</v>
      </c>
      <c r="C49" s="1261" t="s">
        <v>1582</v>
      </c>
      <c r="D49" s="1261" t="s">
        <v>45</v>
      </c>
      <c r="E49" s="325">
        <v>41</v>
      </c>
      <c r="F49" s="325">
        <v>30</v>
      </c>
      <c r="G49" s="1261">
        <f t="shared" si="0"/>
        <v>2490</v>
      </c>
      <c r="H49" s="8"/>
      <c r="I49" s="1425">
        <v>378</v>
      </c>
      <c r="J49" s="8"/>
      <c r="K49" s="8" t="s">
        <v>1449</v>
      </c>
      <c r="L49" s="1261" t="s">
        <v>354</v>
      </c>
      <c r="M49" s="1443" t="s">
        <v>435</v>
      </c>
      <c r="N49" s="325" t="s">
        <v>1585</v>
      </c>
      <c r="O49" s="325">
        <v>2490</v>
      </c>
      <c r="P49" s="325">
        <v>41</v>
      </c>
      <c r="Q49" s="325">
        <v>30</v>
      </c>
      <c r="R49" s="8"/>
      <c r="S49" t="s">
        <v>1709</v>
      </c>
      <c r="T49">
        <v>2490.1999999999998</v>
      </c>
      <c r="U49">
        <v>-0.1999999999998181</v>
      </c>
    </row>
    <row r="50" spans="1:22">
      <c r="A50" s="1424">
        <v>46227</v>
      </c>
      <c r="B50" s="1261" t="s">
        <v>1581</v>
      </c>
      <c r="C50" s="1261" t="s">
        <v>1582</v>
      </c>
      <c r="D50" s="1261" t="s">
        <v>44</v>
      </c>
      <c r="E50" s="1431">
        <v>6</v>
      </c>
      <c r="F50" s="325">
        <v>18</v>
      </c>
      <c r="G50" s="1261">
        <f t="shared" si="0"/>
        <v>378</v>
      </c>
      <c r="H50" s="8"/>
      <c r="I50" s="1425">
        <v>395</v>
      </c>
      <c r="J50" s="8"/>
      <c r="K50" s="8" t="s">
        <v>1449</v>
      </c>
      <c r="L50" s="1261" t="s">
        <v>354</v>
      </c>
      <c r="M50" s="1443" t="s">
        <v>697</v>
      </c>
      <c r="N50" s="1430" t="s">
        <v>1586</v>
      </c>
      <c r="O50" s="325">
        <v>378</v>
      </c>
      <c r="P50" s="1431">
        <v>6</v>
      </c>
      <c r="Q50" s="325">
        <v>18</v>
      </c>
      <c r="R50" s="8"/>
      <c r="S50" s="1456" t="s">
        <v>1710</v>
      </c>
      <c r="T50">
        <v>377.7</v>
      </c>
      <c r="U50">
        <v>0.30000000000001137</v>
      </c>
    </row>
    <row r="51" spans="1:22" ht="16" thickBot="1">
      <c r="A51" s="1418"/>
      <c r="B51" s="1419"/>
      <c r="C51" s="1420"/>
      <c r="D51" s="1421"/>
      <c r="E51" s="1422">
        <f>SUM(E3:E50)</f>
        <v>1262</v>
      </c>
      <c r="F51" s="1422">
        <f t="shared" ref="F51:G51" si="1">SUM(F3:F50)</f>
        <v>1480</v>
      </c>
      <c r="G51" s="1422">
        <f t="shared" si="1"/>
        <v>77200</v>
      </c>
      <c r="H51" s="1423"/>
      <c r="I51" s="1423"/>
      <c r="N51" s="16" t="s">
        <v>406</v>
      </c>
      <c r="O51" s="3">
        <f>SUM(O3:O50)</f>
        <v>77460.7</v>
      </c>
      <c r="S51" s="911" t="s">
        <v>1168</v>
      </c>
      <c r="T51" s="911">
        <f>SUM(T3:T50)</f>
        <v>77387.900000000009</v>
      </c>
      <c r="V51">
        <f>O51-T51</f>
        <v>72.799999999988358</v>
      </c>
    </row>
    <row r="52" spans="1:22" ht="15.5" thickTop="1" thickBot="1">
      <c r="A52" s="1263"/>
      <c r="B52" s="1427"/>
      <c r="C52" s="1428"/>
      <c r="D52" s="1427"/>
      <c r="E52" s="1427"/>
      <c r="F52" s="1427"/>
      <c r="G52" s="1427">
        <f>G51/60</f>
        <v>1286.6666666666667</v>
      </c>
      <c r="H52" s="1427"/>
      <c r="I52" s="1429"/>
      <c r="O52" s="1413">
        <f>O51/60</f>
        <v>1291.0116666666665</v>
      </c>
      <c r="S52" s="911"/>
      <c r="T52" s="911">
        <f>T51/60</f>
        <v>1289.7983333333334</v>
      </c>
    </row>
    <row r="53" spans="1:22" ht="15" thickTop="1">
      <c r="N53" s="16" t="s">
        <v>1661</v>
      </c>
      <c r="O53" s="1457">
        <f>SUMPRODUCT(O3:O50,I3:I50)/O51</f>
        <v>402.38462730132835</v>
      </c>
      <c r="S53" s="911" t="s">
        <v>1662</v>
      </c>
      <c r="T53" s="1458">
        <f>SUMPRODUCT(T3:T50,I3:I50)/T51</f>
        <v>402.39270351049714</v>
      </c>
    </row>
    <row r="55" spans="1:22">
      <c r="T55">
        <v>77387</v>
      </c>
    </row>
    <row r="56" spans="1:22">
      <c r="H56" s="16">
        <f>I45/1.10231</f>
        <v>342.91623953334363</v>
      </c>
      <c r="I56" s="16">
        <v>318.73</v>
      </c>
      <c r="T56" s="773">
        <f>T55/60</f>
        <v>1289.7833333333333</v>
      </c>
    </row>
    <row r="58" spans="1:22">
      <c r="I58" s="16">
        <f>H56-I56</f>
        <v>24.18623953334361</v>
      </c>
    </row>
  </sheetData>
  <sortState xmlns:xlrd2="http://schemas.microsoft.com/office/spreadsheetml/2017/richdata2" ref="A3:R46">
    <sortCondition ref="L3:L46"/>
  </sortState>
  <mergeCells count="1">
    <mergeCell ref="P1:R1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54A2-38DA-41B0-A96E-C85C328B3F9C}">
  <dimension ref="A1:R5"/>
  <sheetViews>
    <sheetView workbookViewId="0">
      <selection activeCell="G19" sqref="G19"/>
    </sheetView>
  </sheetViews>
  <sheetFormatPr defaultRowHeight="14.5"/>
  <cols>
    <col min="1" max="1" width="16.1796875" customWidth="1"/>
    <col min="2" max="3" width="12.1796875" customWidth="1"/>
    <col min="8" max="8" width="9.90625" customWidth="1"/>
    <col min="10" max="10" width="6.6328125" customWidth="1"/>
    <col min="13" max="13" width="10.1796875" customWidth="1"/>
    <col min="14" max="14" width="13.1796875" customWidth="1"/>
    <col min="15" max="16" width="11.1796875" customWidth="1"/>
    <col min="17" max="17" width="13.36328125" customWidth="1"/>
  </cols>
  <sheetData>
    <row r="1" spans="1:18" ht="15.5">
      <c r="A1" s="1478"/>
      <c r="B1" s="1478"/>
      <c r="C1" s="1752" t="s">
        <v>1718</v>
      </c>
      <c r="D1" s="1752"/>
      <c r="E1" s="1752"/>
      <c r="F1" s="1752"/>
      <c r="G1" s="1752"/>
      <c r="H1" s="1598"/>
      <c r="J1" s="17"/>
      <c r="L1" s="16" t="s">
        <v>134</v>
      </c>
      <c r="M1">
        <v>304.35000000000002</v>
      </c>
    </row>
    <row r="2" spans="1:18">
      <c r="A2" s="1479" t="s">
        <v>1719</v>
      </c>
      <c r="B2" s="1479" t="s">
        <v>22</v>
      </c>
      <c r="C2" s="1479" t="s">
        <v>21</v>
      </c>
      <c r="D2" s="1479" t="s">
        <v>23</v>
      </c>
      <c r="E2" s="1479" t="s">
        <v>24</v>
      </c>
      <c r="F2" s="1479" t="s">
        <v>1573</v>
      </c>
      <c r="G2" s="1599" t="s">
        <v>812</v>
      </c>
      <c r="H2" s="1479" t="s">
        <v>1952</v>
      </c>
      <c r="I2" s="1479" t="s">
        <v>1448</v>
      </c>
      <c r="J2" s="1480" t="s">
        <v>1720</v>
      </c>
      <c r="K2" s="1479" t="s">
        <v>541</v>
      </c>
      <c r="L2" s="1481" t="s">
        <v>396</v>
      </c>
      <c r="M2" s="1479" t="s">
        <v>1129</v>
      </c>
      <c r="N2" s="1479" t="s">
        <v>679</v>
      </c>
      <c r="O2" s="1479" t="s">
        <v>1128</v>
      </c>
      <c r="P2" s="1544" t="s">
        <v>1641</v>
      </c>
      <c r="Q2" s="1543" t="s">
        <v>1572</v>
      </c>
      <c r="R2" s="2"/>
    </row>
    <row r="3" spans="1:18">
      <c r="A3" s="1285">
        <v>46262</v>
      </c>
      <c r="B3" s="14" t="s">
        <v>1950</v>
      </c>
      <c r="C3" s="14" t="s">
        <v>1948</v>
      </c>
      <c r="D3" s="14" t="s">
        <v>42</v>
      </c>
      <c r="E3" s="14">
        <v>258</v>
      </c>
      <c r="F3" s="14">
        <v>0</v>
      </c>
      <c r="G3" s="14">
        <f>E3*60+F3</f>
        <v>15480</v>
      </c>
      <c r="H3" s="8">
        <v>90588</v>
      </c>
      <c r="I3" s="14" t="s">
        <v>1951</v>
      </c>
      <c r="J3" s="14" t="s">
        <v>54</v>
      </c>
      <c r="K3" s="8">
        <v>380</v>
      </c>
      <c r="L3" s="27">
        <f>K3/1.1023-$M$1</f>
        <v>40.38373854667509</v>
      </c>
      <c r="M3" s="14" t="s">
        <v>354</v>
      </c>
      <c r="N3" s="14" t="s">
        <v>434</v>
      </c>
      <c r="O3" s="14">
        <f>G3/60*K3*1.2</f>
        <v>117648</v>
      </c>
      <c r="P3" s="14"/>
      <c r="Q3" s="14"/>
      <c r="R3" s="14"/>
    </row>
    <row r="4" spans="1:18">
      <c r="A4" s="1285">
        <v>46262</v>
      </c>
      <c r="B4" s="14" t="s">
        <v>1950</v>
      </c>
      <c r="C4" s="14" t="s">
        <v>1948</v>
      </c>
      <c r="D4" s="14" t="s">
        <v>43</v>
      </c>
      <c r="E4" s="14">
        <v>608</v>
      </c>
      <c r="F4" s="14">
        <v>0</v>
      </c>
      <c r="G4" s="14">
        <f>E4*60+F4</f>
        <v>36480</v>
      </c>
      <c r="H4" s="8">
        <v>90588</v>
      </c>
      <c r="I4" s="14" t="s">
        <v>1951</v>
      </c>
      <c r="J4" s="14" t="s">
        <v>54</v>
      </c>
      <c r="K4" s="8">
        <v>370</v>
      </c>
      <c r="L4" s="27">
        <f>K4/1.1023-$M$1</f>
        <v>31.311798058604722</v>
      </c>
      <c r="M4" s="14" t="s">
        <v>354</v>
      </c>
      <c r="N4" s="14" t="s">
        <v>697</v>
      </c>
      <c r="O4" s="14">
        <f>G4/60*K4*1.2</f>
        <v>269952</v>
      </c>
      <c r="P4" s="14"/>
      <c r="Q4" s="14"/>
      <c r="R4" s="14"/>
    </row>
    <row r="5" spans="1:18">
      <c r="A5" s="14" t="s">
        <v>487</v>
      </c>
      <c r="B5" s="14"/>
      <c r="C5" s="14"/>
      <c r="D5" s="14"/>
      <c r="E5" s="14"/>
      <c r="F5" s="14"/>
      <c r="G5" s="2">
        <f>SUM(G3:G4)</f>
        <v>51960</v>
      </c>
      <c r="H5" s="14"/>
      <c r="I5" s="14"/>
      <c r="J5" s="14"/>
      <c r="K5" s="14"/>
      <c r="L5" s="14"/>
      <c r="M5" s="14"/>
      <c r="N5" s="14"/>
      <c r="O5" s="327">
        <f>SUM(O3:O4)</f>
        <v>387600</v>
      </c>
      <c r="P5" s="14"/>
    </row>
  </sheetData>
  <mergeCells count="1">
    <mergeCell ref="C1:G1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8027-30FD-454E-B73B-2CA6CE8408C5}">
  <dimension ref="A1:U46"/>
  <sheetViews>
    <sheetView topLeftCell="A26" zoomScale="90" zoomScaleNormal="90" workbookViewId="0">
      <selection activeCell="A44" sqref="A44"/>
    </sheetView>
  </sheetViews>
  <sheetFormatPr defaultColWidth="8.81640625" defaultRowHeight="14.5"/>
  <cols>
    <col min="1" max="1" width="16.36328125" style="1605" customWidth="1"/>
    <col min="2" max="2" width="13.6328125" style="1605" customWidth="1"/>
    <col min="3" max="3" width="8.81640625" style="1605"/>
    <col min="4" max="6" width="8.81640625" style="1605" customWidth="1"/>
    <col min="7" max="7" width="11.1796875" style="1605" customWidth="1"/>
    <col min="8" max="8" width="10.1796875" style="1605" customWidth="1"/>
    <col min="9" max="9" width="15.453125" style="1605" customWidth="1"/>
    <col min="10" max="10" width="8.81640625" style="1610" customWidth="1"/>
    <col min="11" max="11" width="11.08984375" style="1609" customWidth="1"/>
    <col min="12" max="12" width="12.6328125" style="1605" customWidth="1"/>
    <col min="13" max="14" width="14.36328125" style="1604" customWidth="1"/>
    <col min="15" max="15" width="17" style="1604" customWidth="1"/>
    <col min="16" max="16" width="10.6328125" style="1605" bestFit="1" customWidth="1"/>
    <col min="17" max="17" width="14.36328125" style="1605" bestFit="1" customWidth="1"/>
    <col min="18" max="18" width="20.36328125" style="1678" customWidth="1"/>
    <col min="19" max="16384" width="8.81640625" style="1605"/>
  </cols>
  <sheetData>
    <row r="1" spans="1:20">
      <c r="O1" s="1612" t="s">
        <v>158</v>
      </c>
      <c r="P1" s="1610">
        <v>307.20999999999998</v>
      </c>
    </row>
    <row r="2" spans="1:20" ht="15" thickBot="1">
      <c r="A2" s="1600" t="s">
        <v>1632</v>
      </c>
      <c r="B2" s="1600" t="s">
        <v>22</v>
      </c>
      <c r="C2" s="1600" t="s">
        <v>23</v>
      </c>
      <c r="D2" s="1600" t="s">
        <v>33</v>
      </c>
      <c r="E2" s="1600" t="s">
        <v>1633</v>
      </c>
      <c r="F2" s="1601" t="s">
        <v>486</v>
      </c>
      <c r="G2" s="1602" t="s">
        <v>674</v>
      </c>
      <c r="H2" s="1602" t="s">
        <v>414</v>
      </c>
      <c r="I2" s="1602" t="s">
        <v>415</v>
      </c>
      <c r="J2" s="1602" t="s">
        <v>1953</v>
      </c>
      <c r="K2" s="1602" t="s">
        <v>29</v>
      </c>
      <c r="L2" s="1600" t="s">
        <v>349</v>
      </c>
      <c r="M2" s="1631" t="s">
        <v>407</v>
      </c>
      <c r="N2" s="1632" t="s">
        <v>1884</v>
      </c>
      <c r="O2" s="1632" t="s">
        <v>406</v>
      </c>
      <c r="P2" s="1633" t="s">
        <v>2011</v>
      </c>
    </row>
    <row r="3" spans="1:20" ht="15" thickBot="1">
      <c r="A3" s="1606" t="s">
        <v>519</v>
      </c>
      <c r="B3" s="1606" t="s">
        <v>1975</v>
      </c>
      <c r="C3" s="1606" t="s">
        <v>42</v>
      </c>
      <c r="D3" s="1606">
        <v>15</v>
      </c>
      <c r="E3" s="1606">
        <v>17</v>
      </c>
      <c r="F3" s="1606">
        <f t="shared" ref="F3:F16" si="0">(D3*60)+E3</f>
        <v>917</v>
      </c>
      <c r="G3" s="1606" t="s">
        <v>1449</v>
      </c>
      <c r="H3" s="1606" t="s">
        <v>354</v>
      </c>
      <c r="I3" s="1606" t="s">
        <v>434</v>
      </c>
      <c r="J3" s="1607" t="s">
        <v>54</v>
      </c>
      <c r="K3" s="1607">
        <v>420</v>
      </c>
      <c r="L3" s="1608">
        <f t="shared" ref="L3:L16" si="1">+K3/50/2.20462*100-$P$1</f>
        <v>73.808043925937454</v>
      </c>
      <c r="M3" s="1603">
        <f t="shared" ref="M3:M16" si="2">+K3*F3/50</f>
        <v>7702.8</v>
      </c>
      <c r="N3" s="1634" t="s">
        <v>1979</v>
      </c>
      <c r="O3" s="1634">
        <v>916</v>
      </c>
      <c r="P3" s="1635" t="s">
        <v>1927</v>
      </c>
      <c r="Q3" s="1604" t="s">
        <v>2043</v>
      </c>
      <c r="R3" s="1678">
        <v>914.6</v>
      </c>
      <c r="T3" s="1672" t="s">
        <v>2041</v>
      </c>
    </row>
    <row r="4" spans="1:20">
      <c r="A4" s="1606" t="s">
        <v>519</v>
      </c>
      <c r="B4" s="1606" t="s">
        <v>1975</v>
      </c>
      <c r="C4" s="1606" t="s">
        <v>43</v>
      </c>
      <c r="D4" s="1606">
        <v>32</v>
      </c>
      <c r="E4" s="1606">
        <v>37</v>
      </c>
      <c r="F4" s="1606">
        <f t="shared" si="0"/>
        <v>1957</v>
      </c>
      <c r="G4" s="1606" t="s">
        <v>1449</v>
      </c>
      <c r="H4" s="1606" t="s">
        <v>354</v>
      </c>
      <c r="I4" s="1606" t="s">
        <v>697</v>
      </c>
      <c r="J4" s="1607" t="s">
        <v>54</v>
      </c>
      <c r="K4" s="1607">
        <v>380</v>
      </c>
      <c r="L4" s="1608">
        <f t="shared" si="1"/>
        <v>37.520611171086216</v>
      </c>
      <c r="M4" s="1603">
        <f t="shared" si="2"/>
        <v>14873.2</v>
      </c>
      <c r="N4" s="1634" t="s">
        <v>1980</v>
      </c>
      <c r="O4" s="1634">
        <v>1954</v>
      </c>
      <c r="P4" s="1635" t="s">
        <v>1927</v>
      </c>
      <c r="Q4" s="1604" t="s">
        <v>2044</v>
      </c>
      <c r="R4" s="1678">
        <v>1951.3</v>
      </c>
    </row>
    <row r="5" spans="1:20">
      <c r="A5" s="1606" t="s">
        <v>519</v>
      </c>
      <c r="B5" s="1606" t="s">
        <v>1975</v>
      </c>
      <c r="C5" s="1606" t="s">
        <v>45</v>
      </c>
      <c r="D5" s="1606">
        <v>18</v>
      </c>
      <c r="E5" s="1606">
        <v>16</v>
      </c>
      <c r="F5" s="1606">
        <f t="shared" si="0"/>
        <v>1096</v>
      </c>
      <c r="G5" s="1606" t="s">
        <v>1449</v>
      </c>
      <c r="H5" s="1606" t="s">
        <v>354</v>
      </c>
      <c r="I5" s="1606" t="s">
        <v>435</v>
      </c>
      <c r="J5" s="1607" t="s">
        <v>54</v>
      </c>
      <c r="K5" s="1682">
        <v>350</v>
      </c>
      <c r="L5" s="1608">
        <f t="shared" si="1"/>
        <v>10.305036604947816</v>
      </c>
      <c r="M5" s="1603">
        <f t="shared" si="2"/>
        <v>7672</v>
      </c>
      <c r="N5" s="1634" t="s">
        <v>1976</v>
      </c>
      <c r="O5" s="1634">
        <v>1095</v>
      </c>
      <c r="P5" s="1635" t="s">
        <v>1927</v>
      </c>
      <c r="Q5" s="1604" t="s">
        <v>2045</v>
      </c>
      <c r="R5" s="1678">
        <v>1092.9000000000001</v>
      </c>
    </row>
    <row r="6" spans="1:20">
      <c r="A6" s="1606" t="s">
        <v>519</v>
      </c>
      <c r="B6" s="1606" t="s">
        <v>1975</v>
      </c>
      <c r="C6" s="1606" t="s">
        <v>44</v>
      </c>
      <c r="D6" s="1606">
        <v>5</v>
      </c>
      <c r="E6" s="1606">
        <v>45</v>
      </c>
      <c r="F6" s="1606">
        <f t="shared" si="0"/>
        <v>345</v>
      </c>
      <c r="G6" s="1606" t="s">
        <v>1449</v>
      </c>
      <c r="H6" s="1606" t="s">
        <v>354</v>
      </c>
      <c r="I6" s="1606" t="s">
        <v>697</v>
      </c>
      <c r="J6" s="1607" t="s">
        <v>54</v>
      </c>
      <c r="K6" s="1607">
        <v>375</v>
      </c>
      <c r="L6" s="1608">
        <f t="shared" si="1"/>
        <v>32.984682076729825</v>
      </c>
      <c r="M6" s="1603">
        <f t="shared" si="2"/>
        <v>2587.5</v>
      </c>
      <c r="N6" s="1634" t="s">
        <v>1977</v>
      </c>
      <c r="O6" s="1634">
        <v>344</v>
      </c>
      <c r="P6" s="1635" t="s">
        <v>1927</v>
      </c>
      <c r="Q6" s="1604" t="s">
        <v>2046</v>
      </c>
      <c r="R6" s="1678">
        <v>343.6</v>
      </c>
    </row>
    <row r="7" spans="1:20">
      <c r="A7" s="1606" t="s">
        <v>259</v>
      </c>
      <c r="B7" s="1606" t="s">
        <v>1954</v>
      </c>
      <c r="C7" s="1606" t="s">
        <v>45</v>
      </c>
      <c r="D7" s="1606">
        <v>21</v>
      </c>
      <c r="E7" s="1606">
        <v>22</v>
      </c>
      <c r="F7" s="1606">
        <f t="shared" si="0"/>
        <v>1282</v>
      </c>
      <c r="G7" s="1606" t="s">
        <v>1449</v>
      </c>
      <c r="H7" s="1606" t="s">
        <v>354</v>
      </c>
      <c r="I7" s="1606" t="s">
        <v>435</v>
      </c>
      <c r="J7" s="1607" t="s">
        <v>54</v>
      </c>
      <c r="K7" s="1607">
        <v>350</v>
      </c>
      <c r="L7" s="1608">
        <f t="shared" si="1"/>
        <v>10.305036604947816</v>
      </c>
      <c r="M7" s="1603">
        <f t="shared" si="2"/>
        <v>8974</v>
      </c>
      <c r="N7" s="1634" t="s">
        <v>1986</v>
      </c>
      <c r="O7" s="1634">
        <v>1282</v>
      </c>
      <c r="P7" s="1635" t="s">
        <v>1927</v>
      </c>
      <c r="Q7" s="1604" t="s">
        <v>2047</v>
      </c>
      <c r="R7" s="1678">
        <v>1278.2</v>
      </c>
    </row>
    <row r="8" spans="1:20">
      <c r="A8" s="1606" t="s">
        <v>259</v>
      </c>
      <c r="B8" s="1606" t="s">
        <v>1955</v>
      </c>
      <c r="C8" s="1606" t="s">
        <v>51</v>
      </c>
      <c r="D8" s="1606">
        <v>10</v>
      </c>
      <c r="E8" s="1606">
        <v>63</v>
      </c>
      <c r="F8" s="1606">
        <f t="shared" si="0"/>
        <v>663</v>
      </c>
      <c r="G8" s="1606" t="s">
        <v>1449</v>
      </c>
      <c r="H8" s="1606" t="s">
        <v>354</v>
      </c>
      <c r="I8" s="1606" t="s">
        <v>749</v>
      </c>
      <c r="J8" s="1607" t="s">
        <v>56</v>
      </c>
      <c r="K8" s="1607">
        <v>300</v>
      </c>
      <c r="L8" s="1608">
        <f t="shared" si="1"/>
        <v>-35.054254338616147</v>
      </c>
      <c r="M8" s="1603">
        <f t="shared" si="2"/>
        <v>3978</v>
      </c>
      <c r="N8" s="1634" t="s">
        <v>2007</v>
      </c>
      <c r="O8" s="1634">
        <v>661</v>
      </c>
      <c r="P8" s="1635" t="s">
        <v>1927</v>
      </c>
      <c r="Q8" s="1604" t="s">
        <v>2048</v>
      </c>
      <c r="R8" s="1678">
        <v>659.1</v>
      </c>
    </row>
    <row r="9" spans="1:20">
      <c r="A9" s="1606" t="s">
        <v>1582</v>
      </c>
      <c r="B9" s="1606" t="s">
        <v>1956</v>
      </c>
      <c r="C9" s="1606" t="s">
        <v>45</v>
      </c>
      <c r="D9" s="1606">
        <v>27</v>
      </c>
      <c r="E9" s="1606">
        <v>22</v>
      </c>
      <c r="F9" s="1606">
        <f t="shared" si="0"/>
        <v>1642</v>
      </c>
      <c r="G9" s="1662" t="s">
        <v>1449</v>
      </c>
      <c r="H9" s="1663" t="s">
        <v>354</v>
      </c>
      <c r="I9" s="1664" t="s">
        <v>435</v>
      </c>
      <c r="J9" s="1607" t="s">
        <v>54</v>
      </c>
      <c r="K9" s="1607">
        <v>350</v>
      </c>
      <c r="L9" s="1608">
        <f t="shared" si="1"/>
        <v>10.305036604947816</v>
      </c>
      <c r="M9" s="1603">
        <f t="shared" si="2"/>
        <v>11494</v>
      </c>
      <c r="N9" s="1634" t="s">
        <v>1991</v>
      </c>
      <c r="O9" s="1634">
        <v>1639</v>
      </c>
      <c r="P9" s="1635" t="s">
        <v>1927</v>
      </c>
      <c r="Q9" s="1604" t="s">
        <v>2049</v>
      </c>
      <c r="R9" s="1678">
        <v>1635.8</v>
      </c>
    </row>
    <row r="10" spans="1:20">
      <c r="A10" s="1606" t="s">
        <v>1435</v>
      </c>
      <c r="B10" s="1606" t="s">
        <v>1957</v>
      </c>
      <c r="C10" s="1606" t="s">
        <v>45</v>
      </c>
      <c r="D10" s="1606">
        <v>20</v>
      </c>
      <c r="E10" s="1606">
        <v>41</v>
      </c>
      <c r="F10" s="1606">
        <f t="shared" si="0"/>
        <v>1241</v>
      </c>
      <c r="G10" s="1606" t="s">
        <v>1449</v>
      </c>
      <c r="H10" s="1606" t="s">
        <v>354</v>
      </c>
      <c r="I10" s="1606" t="s">
        <v>435</v>
      </c>
      <c r="J10" s="1607" t="s">
        <v>54</v>
      </c>
      <c r="K10" s="1607">
        <v>350</v>
      </c>
      <c r="L10" s="1608">
        <f t="shared" si="1"/>
        <v>10.305036604947816</v>
      </c>
      <c r="M10" s="1603">
        <f t="shared" si="2"/>
        <v>8687</v>
      </c>
      <c r="N10" s="1634" t="s">
        <v>1995</v>
      </c>
      <c r="O10" s="1634">
        <v>1240</v>
      </c>
      <c r="P10" s="1635" t="s">
        <v>1927</v>
      </c>
      <c r="Q10" s="1604" t="s">
        <v>2050</v>
      </c>
      <c r="R10" s="1678">
        <v>1237.0999999999999</v>
      </c>
    </row>
    <row r="11" spans="1:20">
      <c r="A11" s="1606" t="s">
        <v>70</v>
      </c>
      <c r="B11" s="1606" t="s">
        <v>1958</v>
      </c>
      <c r="C11" s="1606" t="s">
        <v>42</v>
      </c>
      <c r="D11" s="1606">
        <v>6</v>
      </c>
      <c r="E11" s="1606">
        <v>47</v>
      </c>
      <c r="F11" s="1606">
        <f t="shared" si="0"/>
        <v>407</v>
      </c>
      <c r="G11" s="1606" t="s">
        <v>1449</v>
      </c>
      <c r="H11" s="1606" t="s">
        <v>354</v>
      </c>
      <c r="I11" s="1606" t="s">
        <v>434</v>
      </c>
      <c r="J11" s="1607" t="s">
        <v>45</v>
      </c>
      <c r="K11" s="1607">
        <v>430</v>
      </c>
      <c r="L11" s="1608">
        <f t="shared" si="1"/>
        <v>82.879902114650179</v>
      </c>
      <c r="M11" s="1603">
        <f t="shared" si="2"/>
        <v>3500.2</v>
      </c>
      <c r="N11" s="1634" t="s">
        <v>1998</v>
      </c>
      <c r="O11" s="1634">
        <v>406</v>
      </c>
      <c r="P11" s="1635" t="s">
        <v>1927</v>
      </c>
      <c r="Q11" s="1604" t="s">
        <v>2051</v>
      </c>
      <c r="R11" s="1678">
        <v>404.7</v>
      </c>
    </row>
    <row r="12" spans="1:20">
      <c r="A12" s="1606" t="s">
        <v>70</v>
      </c>
      <c r="B12" s="1606" t="s">
        <v>1958</v>
      </c>
      <c r="C12" s="1606" t="s">
        <v>43</v>
      </c>
      <c r="D12" s="1606">
        <v>21</v>
      </c>
      <c r="E12" s="1606">
        <v>51</v>
      </c>
      <c r="F12" s="1606">
        <f t="shared" si="0"/>
        <v>1311</v>
      </c>
      <c r="G12" s="1606" t="s">
        <v>1449</v>
      </c>
      <c r="H12" s="1606" t="s">
        <v>354</v>
      </c>
      <c r="I12" s="1606" t="s">
        <v>697</v>
      </c>
      <c r="J12" s="1607" t="s">
        <v>45</v>
      </c>
      <c r="K12" s="1607">
        <v>390</v>
      </c>
      <c r="L12" s="1608">
        <f t="shared" si="1"/>
        <v>46.592469359798997</v>
      </c>
      <c r="M12" s="1603">
        <f t="shared" si="2"/>
        <v>10225.799999999999</v>
      </c>
      <c r="N12" s="1634" t="s">
        <v>1999</v>
      </c>
      <c r="O12" s="1634">
        <v>1309</v>
      </c>
      <c r="P12" s="1635" t="s">
        <v>1927</v>
      </c>
      <c r="Q12" s="1604" t="s">
        <v>2052</v>
      </c>
      <c r="R12" s="1678">
        <v>1305.2</v>
      </c>
    </row>
    <row r="13" spans="1:20">
      <c r="A13" s="1606" t="s">
        <v>70</v>
      </c>
      <c r="B13" s="1606" t="s">
        <v>1958</v>
      </c>
      <c r="C13" s="1606" t="s">
        <v>45</v>
      </c>
      <c r="D13" s="1606">
        <v>18</v>
      </c>
      <c r="E13" s="1606">
        <v>7</v>
      </c>
      <c r="F13" s="1606">
        <f t="shared" si="0"/>
        <v>1087</v>
      </c>
      <c r="G13" s="1606" t="s">
        <v>1449</v>
      </c>
      <c r="H13" s="1606" t="s">
        <v>354</v>
      </c>
      <c r="I13" s="1606" t="s">
        <v>435</v>
      </c>
      <c r="J13" s="1607" t="s">
        <v>54</v>
      </c>
      <c r="K13" s="1607">
        <v>350</v>
      </c>
      <c r="L13" s="1608">
        <f t="shared" si="1"/>
        <v>10.305036604947816</v>
      </c>
      <c r="M13" s="1603">
        <f t="shared" si="2"/>
        <v>7609</v>
      </c>
      <c r="N13" s="1634" t="s">
        <v>2000</v>
      </c>
      <c r="O13" s="1634">
        <v>1085</v>
      </c>
      <c r="P13" s="1635" t="s">
        <v>1927</v>
      </c>
      <c r="Q13" s="1604" t="s">
        <v>2053</v>
      </c>
      <c r="R13" s="1678">
        <v>1083.8</v>
      </c>
    </row>
    <row r="14" spans="1:20">
      <c r="A14" s="1606" t="s">
        <v>70</v>
      </c>
      <c r="B14" s="1606" t="s">
        <v>1958</v>
      </c>
      <c r="C14" s="1606" t="s">
        <v>44</v>
      </c>
      <c r="D14" s="1606">
        <v>3</v>
      </c>
      <c r="E14" s="1606">
        <v>23</v>
      </c>
      <c r="F14" s="1606">
        <f t="shared" si="0"/>
        <v>203</v>
      </c>
      <c r="G14" s="1606" t="s">
        <v>1449</v>
      </c>
      <c r="H14" s="1606" t="s">
        <v>354</v>
      </c>
      <c r="I14" s="1606" t="s">
        <v>697</v>
      </c>
      <c r="J14" s="1607" t="s">
        <v>45</v>
      </c>
      <c r="K14" s="1607">
        <v>385</v>
      </c>
      <c r="L14" s="1608">
        <f t="shared" si="1"/>
        <v>42.056540265442607</v>
      </c>
      <c r="M14" s="1603">
        <f t="shared" si="2"/>
        <v>1563.1</v>
      </c>
      <c r="N14" s="1634" t="s">
        <v>1978</v>
      </c>
      <c r="O14" s="1634">
        <v>202</v>
      </c>
      <c r="P14" s="1635" t="s">
        <v>1927</v>
      </c>
      <c r="Q14" s="1604" t="s">
        <v>2054</v>
      </c>
      <c r="R14" s="1678">
        <v>201.4</v>
      </c>
    </row>
    <row r="15" spans="1:20">
      <c r="A15" s="1606" t="s">
        <v>70</v>
      </c>
      <c r="B15" s="1606" t="s">
        <v>1959</v>
      </c>
      <c r="C15" s="1606" t="s">
        <v>51</v>
      </c>
      <c r="D15" s="1606">
        <v>8</v>
      </c>
      <c r="E15" s="1606">
        <v>48</v>
      </c>
      <c r="F15" s="1606">
        <f t="shared" si="0"/>
        <v>528</v>
      </c>
      <c r="G15" s="1606" t="s">
        <v>1449</v>
      </c>
      <c r="H15" s="1606" t="s">
        <v>354</v>
      </c>
      <c r="I15" s="1606" t="s">
        <v>749</v>
      </c>
      <c r="J15" s="1607" t="s">
        <v>525</v>
      </c>
      <c r="K15" s="1607">
        <v>300</v>
      </c>
      <c r="L15" s="1608">
        <f t="shared" si="1"/>
        <v>-35.054254338616147</v>
      </c>
      <c r="M15" s="1603">
        <f t="shared" si="2"/>
        <v>3168</v>
      </c>
      <c r="N15" s="1634" t="s">
        <v>2009</v>
      </c>
      <c r="O15" s="1634">
        <v>526</v>
      </c>
      <c r="P15" s="1635" t="s">
        <v>1927</v>
      </c>
      <c r="Q15" s="1604" t="s">
        <v>2055</v>
      </c>
      <c r="R15" s="1678">
        <v>525.9</v>
      </c>
    </row>
    <row r="16" spans="1:20" ht="15" thickBot="1">
      <c r="A16" s="1606" t="s">
        <v>73</v>
      </c>
      <c r="B16" s="1606" t="s">
        <v>1960</v>
      </c>
      <c r="C16" s="1606" t="s">
        <v>45</v>
      </c>
      <c r="D16" s="1606">
        <v>30</v>
      </c>
      <c r="E16" s="1606">
        <v>66</v>
      </c>
      <c r="F16" s="1606">
        <f t="shared" si="0"/>
        <v>1866</v>
      </c>
      <c r="G16" s="1606" t="s">
        <v>1449</v>
      </c>
      <c r="H16" s="1606" t="s">
        <v>354</v>
      </c>
      <c r="I16" s="1606" t="s">
        <v>435</v>
      </c>
      <c r="J16" s="1607" t="s">
        <v>54</v>
      </c>
      <c r="K16" s="1607">
        <v>350</v>
      </c>
      <c r="L16" s="1608">
        <f t="shared" si="1"/>
        <v>10.305036604947816</v>
      </c>
      <c r="M16" s="1603">
        <f t="shared" si="2"/>
        <v>13062</v>
      </c>
      <c r="N16" s="1634" t="s">
        <v>2004</v>
      </c>
      <c r="O16" s="1634">
        <v>1863</v>
      </c>
      <c r="P16" s="1635" t="s">
        <v>1927</v>
      </c>
      <c r="Q16" s="1604" t="s">
        <v>2056</v>
      </c>
      <c r="R16" s="1678">
        <v>1860.1</v>
      </c>
    </row>
    <row r="17" spans="1:21" ht="15" thickBot="1">
      <c r="A17" s="1606"/>
      <c r="B17" s="1606"/>
      <c r="C17" s="1606"/>
      <c r="D17" s="1606"/>
      <c r="E17" s="1606"/>
      <c r="F17" s="1606"/>
      <c r="G17" s="1606"/>
      <c r="H17" s="1606"/>
      <c r="I17" s="1606"/>
      <c r="J17" s="1607"/>
      <c r="K17" s="1607"/>
      <c r="L17" s="1608"/>
      <c r="M17" s="1603"/>
      <c r="N17" s="1634"/>
      <c r="O17" s="1634">
        <f>SUM(O3:O16)</f>
        <v>14522</v>
      </c>
      <c r="P17" s="1635"/>
      <c r="Q17" s="1604" t="s">
        <v>2057</v>
      </c>
      <c r="R17" s="1668">
        <v>14493.7</v>
      </c>
      <c r="S17" s="1683">
        <f>SUMPRODUCT(R3:R16,K3:K16)/R17</f>
        <v>361.28310921296838</v>
      </c>
      <c r="T17" s="1670">
        <v>359.02095393170799</v>
      </c>
      <c r="U17" s="1669" t="s">
        <v>29</v>
      </c>
    </row>
    <row r="18" spans="1:21" ht="15" thickBot="1">
      <c r="A18" s="1606"/>
      <c r="B18" s="1606"/>
      <c r="C18" s="1606"/>
      <c r="D18" s="1606"/>
      <c r="E18" s="1606"/>
      <c r="F18" s="1606"/>
      <c r="G18" s="1606"/>
      <c r="H18" s="1606"/>
      <c r="I18" s="1606"/>
      <c r="J18" s="1607"/>
      <c r="K18" s="1607"/>
      <c r="L18" s="1608"/>
      <c r="M18" s="1603"/>
      <c r="N18" s="1634"/>
      <c r="O18" s="1634"/>
      <c r="P18" s="1635"/>
      <c r="Q18" s="1604" t="s">
        <v>2057</v>
      </c>
      <c r="R18" s="1679">
        <v>242</v>
      </c>
    </row>
    <row r="19" spans="1:21">
      <c r="A19" s="1606" t="s">
        <v>519</v>
      </c>
      <c r="B19" s="1606" t="s">
        <v>1975</v>
      </c>
      <c r="C19" s="1606" t="s">
        <v>47</v>
      </c>
      <c r="D19" s="1606">
        <v>13</v>
      </c>
      <c r="E19" s="1606">
        <v>58</v>
      </c>
      <c r="F19" s="1606">
        <f>(D19*60)+E19</f>
        <v>838</v>
      </c>
      <c r="G19" s="1606" t="s">
        <v>1449</v>
      </c>
      <c r="H19" s="1606" t="s">
        <v>418</v>
      </c>
      <c r="I19" s="1606" t="s">
        <v>419</v>
      </c>
      <c r="J19" s="1607" t="s">
        <v>63</v>
      </c>
      <c r="K19" s="1607">
        <v>250</v>
      </c>
      <c r="L19" s="1608">
        <f>+K19/50/2.20462*100-$P$1</f>
        <v>-80.41354528218011</v>
      </c>
      <c r="M19" s="1603">
        <f>+K19*F19/50</f>
        <v>4190</v>
      </c>
      <c r="N19" s="1634" t="s">
        <v>1981</v>
      </c>
      <c r="O19" s="1634">
        <v>838</v>
      </c>
      <c r="P19" s="1635" t="s">
        <v>1927</v>
      </c>
      <c r="Q19" s="1604" t="s">
        <v>2058</v>
      </c>
      <c r="R19" s="1678">
        <v>836.4</v>
      </c>
      <c r="T19" s="1605" t="s">
        <v>2040</v>
      </c>
    </row>
    <row r="20" spans="1:21">
      <c r="A20" s="1606" t="s">
        <v>519</v>
      </c>
      <c r="B20" s="1606" t="s">
        <v>1975</v>
      </c>
      <c r="C20" s="1606" t="s">
        <v>46</v>
      </c>
      <c r="D20" s="1606">
        <v>2</v>
      </c>
      <c r="E20" s="1606">
        <v>51</v>
      </c>
      <c r="F20" s="1606">
        <v>171</v>
      </c>
      <c r="G20" s="1606" t="s">
        <v>1449</v>
      </c>
      <c r="H20" s="1606" t="s">
        <v>418</v>
      </c>
      <c r="I20" s="1606" t="s">
        <v>418</v>
      </c>
      <c r="J20" s="1607" t="s">
        <v>60</v>
      </c>
      <c r="K20" s="1607">
        <v>330</v>
      </c>
      <c r="L20" s="1608">
        <f>+K20/50/2.20462*100-$P$1</f>
        <v>-7.8386797724778035</v>
      </c>
      <c r="M20" s="1603">
        <f>+K20*F20/50</f>
        <v>1128.5999999999999</v>
      </c>
      <c r="N20" s="1634" t="s">
        <v>1982</v>
      </c>
      <c r="O20" s="1634">
        <v>171</v>
      </c>
      <c r="P20" s="1635" t="s">
        <v>1927</v>
      </c>
      <c r="Q20" s="1604" t="s">
        <v>2059</v>
      </c>
      <c r="R20" s="1678">
        <v>171.3</v>
      </c>
    </row>
    <row r="21" spans="1:21" s="1604" customFormat="1">
      <c r="A21" s="1660" t="s">
        <v>519</v>
      </c>
      <c r="B21" s="1660" t="s">
        <v>2037</v>
      </c>
      <c r="C21" s="1660" t="s">
        <v>46</v>
      </c>
      <c r="D21" s="1660">
        <v>6</v>
      </c>
      <c r="E21" s="1660">
        <v>38</v>
      </c>
      <c r="F21" s="1661">
        <v>397</v>
      </c>
      <c r="G21" s="325" t="s">
        <v>1449</v>
      </c>
      <c r="H21" s="325" t="s">
        <v>418</v>
      </c>
      <c r="I21" s="1665" t="s">
        <v>418</v>
      </c>
      <c r="J21" s="1656" t="s">
        <v>60</v>
      </c>
      <c r="K21" s="1658">
        <v>330</v>
      </c>
      <c r="L21" s="1659">
        <v>-7.8386797724778035</v>
      </c>
      <c r="M21" s="1657">
        <v>3762</v>
      </c>
      <c r="N21" s="1634" t="s">
        <v>2038</v>
      </c>
      <c r="O21" s="1634">
        <v>397</v>
      </c>
      <c r="P21" s="1635" t="s">
        <v>1927</v>
      </c>
      <c r="Q21" s="1604" t="s">
        <v>2060</v>
      </c>
      <c r="R21" s="1678">
        <v>396.7</v>
      </c>
    </row>
    <row r="22" spans="1:21" s="1604" customFormat="1">
      <c r="A22" s="1606" t="s">
        <v>259</v>
      </c>
      <c r="B22" s="1606" t="s">
        <v>1954</v>
      </c>
      <c r="C22" s="1606" t="s">
        <v>47</v>
      </c>
      <c r="D22" s="1606">
        <v>9</v>
      </c>
      <c r="E22" s="1606">
        <v>7</v>
      </c>
      <c r="F22" s="1606">
        <f t="shared" ref="F22:F28" si="3">(D22*60)+E22</f>
        <v>547</v>
      </c>
      <c r="G22" s="1606" t="s">
        <v>1449</v>
      </c>
      <c r="H22" s="1606" t="s">
        <v>418</v>
      </c>
      <c r="I22" s="1606" t="s">
        <v>418</v>
      </c>
      <c r="J22" s="1607" t="s">
        <v>397</v>
      </c>
      <c r="K22" s="1607">
        <v>250</v>
      </c>
      <c r="L22" s="1608">
        <f t="shared" ref="L22:L28" si="4">+K22/50/2.20462*100-$P$1</f>
        <v>-80.41354528218011</v>
      </c>
      <c r="M22" s="1603">
        <f t="shared" ref="M22:M28" si="5">+K22*F22/50</f>
        <v>2735</v>
      </c>
      <c r="N22" s="1634" t="s">
        <v>1987</v>
      </c>
      <c r="O22" s="1634">
        <v>546</v>
      </c>
      <c r="P22" s="1635" t="s">
        <v>1927</v>
      </c>
      <c r="Q22" s="1604" t="s">
        <v>2061</v>
      </c>
      <c r="R22" s="1678">
        <v>544.9</v>
      </c>
    </row>
    <row r="23" spans="1:21" s="1604" customFormat="1">
      <c r="A23" s="1606" t="s">
        <v>259</v>
      </c>
      <c r="B23" s="1606" t="s">
        <v>1955</v>
      </c>
      <c r="C23" s="1606" t="s">
        <v>52</v>
      </c>
      <c r="D23" s="1606">
        <v>26</v>
      </c>
      <c r="E23" s="1606">
        <v>36</v>
      </c>
      <c r="F23" s="1606">
        <f t="shared" si="3"/>
        <v>1596</v>
      </c>
      <c r="G23" s="1606" t="s">
        <v>1449</v>
      </c>
      <c r="H23" s="1606" t="s">
        <v>418</v>
      </c>
      <c r="I23" s="1606" t="s">
        <v>419</v>
      </c>
      <c r="J23" s="1607" t="s">
        <v>62</v>
      </c>
      <c r="K23" s="1607">
        <v>250</v>
      </c>
      <c r="L23" s="1608">
        <f t="shared" si="4"/>
        <v>-80.41354528218011</v>
      </c>
      <c r="M23" s="1603">
        <f t="shared" si="5"/>
        <v>7980</v>
      </c>
      <c r="N23" s="1634" t="s">
        <v>2008</v>
      </c>
      <c r="O23" s="1634">
        <v>1594</v>
      </c>
      <c r="P23" s="1635" t="s">
        <v>1927</v>
      </c>
      <c r="Q23" s="1604" t="s">
        <v>2062</v>
      </c>
      <c r="R23" s="1678">
        <v>1592.7</v>
      </c>
    </row>
    <row r="24" spans="1:21" s="1604" customFormat="1">
      <c r="A24" s="1606" t="s">
        <v>1582</v>
      </c>
      <c r="B24" s="1606" t="s">
        <v>1956</v>
      </c>
      <c r="C24" s="1606" t="s">
        <v>47</v>
      </c>
      <c r="D24" s="1606">
        <v>12</v>
      </c>
      <c r="E24" s="1606">
        <v>36</v>
      </c>
      <c r="F24" s="1606">
        <f t="shared" si="3"/>
        <v>756</v>
      </c>
      <c r="G24" s="1606" t="s">
        <v>1449</v>
      </c>
      <c r="H24" s="1606" t="s">
        <v>418</v>
      </c>
      <c r="I24" s="1606" t="s">
        <v>436</v>
      </c>
      <c r="J24" s="1607" t="s">
        <v>397</v>
      </c>
      <c r="K24" s="1607">
        <v>250</v>
      </c>
      <c r="L24" s="1608">
        <f t="shared" si="4"/>
        <v>-80.41354528218011</v>
      </c>
      <c r="M24" s="1603">
        <f t="shared" si="5"/>
        <v>3780</v>
      </c>
      <c r="N24" s="1634" t="s">
        <v>1992</v>
      </c>
      <c r="O24" s="1634">
        <v>755</v>
      </c>
      <c r="P24" s="1635" t="s">
        <v>1927</v>
      </c>
      <c r="Q24" s="1604" t="s">
        <v>2063</v>
      </c>
      <c r="R24" s="1678">
        <v>752.3</v>
      </c>
    </row>
    <row r="25" spans="1:21" s="1604" customFormat="1">
      <c r="A25" s="1606" t="s">
        <v>1435</v>
      </c>
      <c r="B25" s="1606" t="s">
        <v>1957</v>
      </c>
      <c r="C25" s="1606" t="s">
        <v>47</v>
      </c>
      <c r="D25" s="1606">
        <v>9</v>
      </c>
      <c r="E25" s="1606">
        <v>44</v>
      </c>
      <c r="F25" s="1606">
        <f t="shared" si="3"/>
        <v>584</v>
      </c>
      <c r="G25" s="1606" t="s">
        <v>1449</v>
      </c>
      <c r="H25" s="1606" t="s">
        <v>418</v>
      </c>
      <c r="I25" s="1606" t="s">
        <v>436</v>
      </c>
      <c r="J25" s="1607" t="s">
        <v>397</v>
      </c>
      <c r="K25" s="1607">
        <v>250</v>
      </c>
      <c r="L25" s="1608">
        <f t="shared" si="4"/>
        <v>-80.41354528218011</v>
      </c>
      <c r="M25" s="1603">
        <f t="shared" si="5"/>
        <v>2920</v>
      </c>
      <c r="N25" s="1634" t="s">
        <v>1997</v>
      </c>
      <c r="O25" s="1634">
        <v>584</v>
      </c>
      <c r="P25" s="1635" t="s">
        <v>1927</v>
      </c>
      <c r="Q25" s="1604" t="s">
        <v>2064</v>
      </c>
      <c r="R25" s="1678">
        <v>582</v>
      </c>
    </row>
    <row r="26" spans="1:21" s="1604" customFormat="1">
      <c r="A26" s="1606" t="s">
        <v>70</v>
      </c>
      <c r="B26" s="1606" t="s">
        <v>1958</v>
      </c>
      <c r="C26" s="1606" t="s">
        <v>47</v>
      </c>
      <c r="D26" s="1606">
        <v>10</v>
      </c>
      <c r="E26" s="1606">
        <v>43</v>
      </c>
      <c r="F26" s="1606">
        <f t="shared" si="3"/>
        <v>643</v>
      </c>
      <c r="G26" s="1606" t="s">
        <v>1449</v>
      </c>
      <c r="H26" s="1606" t="s">
        <v>418</v>
      </c>
      <c r="I26" s="1606" t="s">
        <v>436</v>
      </c>
      <c r="J26" s="1607" t="s">
        <v>397</v>
      </c>
      <c r="K26" s="1607">
        <v>250</v>
      </c>
      <c r="L26" s="1608">
        <f t="shared" si="4"/>
        <v>-80.41354528218011</v>
      </c>
      <c r="M26" s="1603">
        <f t="shared" si="5"/>
        <v>3215</v>
      </c>
      <c r="N26" s="1634" t="s">
        <v>2001</v>
      </c>
      <c r="O26" s="1634">
        <v>642</v>
      </c>
      <c r="P26" s="1635" t="s">
        <v>1927</v>
      </c>
      <c r="Q26" s="1604" t="s">
        <v>2065</v>
      </c>
      <c r="R26" s="1678">
        <v>640.1</v>
      </c>
    </row>
    <row r="27" spans="1:21" s="1604" customFormat="1">
      <c r="A27" s="1606" t="s">
        <v>70</v>
      </c>
      <c r="B27" s="1606" t="s">
        <v>1959</v>
      </c>
      <c r="C27" s="1606" t="s">
        <v>52</v>
      </c>
      <c r="D27" s="1606">
        <v>9</v>
      </c>
      <c r="E27" s="1606">
        <v>16</v>
      </c>
      <c r="F27" s="1606">
        <f t="shared" si="3"/>
        <v>556</v>
      </c>
      <c r="G27" s="1606" t="s">
        <v>1449</v>
      </c>
      <c r="H27" s="1606" t="s">
        <v>418</v>
      </c>
      <c r="I27" s="1606" t="s">
        <v>419</v>
      </c>
      <c r="J27" s="1607" t="s">
        <v>62</v>
      </c>
      <c r="K27" s="1607">
        <v>250</v>
      </c>
      <c r="L27" s="1608">
        <f t="shared" si="4"/>
        <v>-80.41354528218011</v>
      </c>
      <c r="M27" s="1603">
        <f t="shared" si="5"/>
        <v>2780</v>
      </c>
      <c r="N27" s="1634" t="s">
        <v>2010</v>
      </c>
      <c r="O27" s="1634">
        <v>555</v>
      </c>
      <c r="P27" s="1635" t="s">
        <v>1927</v>
      </c>
      <c r="Q27" s="1604" t="s">
        <v>2066</v>
      </c>
      <c r="R27" s="1678">
        <v>555</v>
      </c>
    </row>
    <row r="28" spans="1:21" s="1604" customFormat="1" ht="15" thickBot="1">
      <c r="A28" s="1606" t="s">
        <v>73</v>
      </c>
      <c r="B28" s="1606" t="s">
        <v>1960</v>
      </c>
      <c r="C28" s="1606" t="s">
        <v>47</v>
      </c>
      <c r="D28" s="1606">
        <v>12</v>
      </c>
      <c r="E28" s="1606">
        <v>55</v>
      </c>
      <c r="F28" s="1606">
        <f t="shared" si="3"/>
        <v>775</v>
      </c>
      <c r="G28" s="1606" t="s">
        <v>1449</v>
      </c>
      <c r="H28" s="1606" t="s">
        <v>418</v>
      </c>
      <c r="I28" s="1606" t="s">
        <v>436</v>
      </c>
      <c r="J28" s="1607" t="s">
        <v>397</v>
      </c>
      <c r="K28" s="1607">
        <v>250</v>
      </c>
      <c r="L28" s="1608">
        <f t="shared" si="4"/>
        <v>-80.41354528218011</v>
      </c>
      <c r="M28" s="1603">
        <f t="shared" si="5"/>
        <v>3875</v>
      </c>
      <c r="N28" s="1634" t="s">
        <v>2006</v>
      </c>
      <c r="O28" s="1634">
        <v>774</v>
      </c>
      <c r="P28" s="1635" t="s">
        <v>1927</v>
      </c>
      <c r="Q28" s="1604" t="s">
        <v>2067</v>
      </c>
      <c r="R28" s="1678">
        <v>771.3</v>
      </c>
    </row>
    <row r="29" spans="1:21" s="1604" customFormat="1" ht="15" thickBot="1">
      <c r="A29" s="1606"/>
      <c r="B29" s="1606"/>
      <c r="C29" s="1606"/>
      <c r="D29" s="1606"/>
      <c r="E29" s="1606"/>
      <c r="F29" s="1606"/>
      <c r="G29" s="1606"/>
      <c r="H29" s="1606"/>
      <c r="I29" s="1606"/>
      <c r="J29" s="1607"/>
      <c r="K29" s="1607"/>
      <c r="L29" s="1608"/>
      <c r="M29" s="1603"/>
      <c r="N29" s="1634"/>
      <c r="O29" s="1634">
        <f>SUM(O19:O28)</f>
        <v>6856</v>
      </c>
      <c r="P29" s="1635"/>
      <c r="Q29" s="1604" t="s">
        <v>2057</v>
      </c>
      <c r="R29" s="1668">
        <v>6842.7000000000007</v>
      </c>
      <c r="T29" s="1671">
        <v>256.640653543192</v>
      </c>
      <c r="U29" s="1667" t="s">
        <v>29</v>
      </c>
    </row>
    <row r="30" spans="1:21" s="1604" customFormat="1" ht="15" thickBot="1">
      <c r="A30" s="1606"/>
      <c r="B30" s="1606"/>
      <c r="C30" s="1606"/>
      <c r="D30" s="1606"/>
      <c r="E30" s="1606"/>
      <c r="F30" s="1606"/>
      <c r="G30" s="1606"/>
      <c r="H30" s="1606"/>
      <c r="I30" s="1606"/>
      <c r="J30" s="1607"/>
      <c r="K30" s="1607"/>
      <c r="L30" s="1608"/>
      <c r="M30" s="1603"/>
      <c r="N30" s="1634"/>
      <c r="O30" s="1634"/>
      <c r="P30" s="1635"/>
      <c r="Q30" s="1604" t="s">
        <v>2057</v>
      </c>
      <c r="R30" s="1680">
        <v>114</v>
      </c>
    </row>
    <row r="31" spans="1:21" s="1604" customFormat="1" ht="15" thickBot="1">
      <c r="A31" s="1606" t="s">
        <v>259</v>
      </c>
      <c r="B31" s="1606" t="s">
        <v>1954</v>
      </c>
      <c r="C31" s="1606" t="s">
        <v>42</v>
      </c>
      <c r="D31" s="1606">
        <v>12</v>
      </c>
      <c r="E31" s="1606">
        <v>7</v>
      </c>
      <c r="F31" s="1606">
        <f t="shared" ref="F31:F42" si="6">(D31*60)+E31</f>
        <v>727</v>
      </c>
      <c r="G31" s="1606" t="s">
        <v>1449</v>
      </c>
      <c r="H31" s="1606" t="s">
        <v>351</v>
      </c>
      <c r="I31" s="1606" t="s">
        <v>633</v>
      </c>
      <c r="J31" s="1607" t="s">
        <v>94</v>
      </c>
      <c r="K31" s="1607">
        <v>430</v>
      </c>
      <c r="L31" s="1608">
        <f t="shared" ref="L31:L42" si="7">+K31/50/2.20462*100-$P$1</f>
        <v>82.879902114650179</v>
      </c>
      <c r="M31" s="1603">
        <f t="shared" ref="M31:M42" si="8">+K31*F31/50</f>
        <v>6252.2</v>
      </c>
      <c r="N31" s="1634" t="s">
        <v>1984</v>
      </c>
      <c r="O31" s="1634">
        <v>726</v>
      </c>
      <c r="P31" s="1635" t="s">
        <v>1927</v>
      </c>
      <c r="Q31" s="1604" t="s">
        <v>2068</v>
      </c>
      <c r="R31" s="1666">
        <v>722.3</v>
      </c>
      <c r="T31" s="1672" t="s">
        <v>2039</v>
      </c>
    </row>
    <row r="32" spans="1:21" s="1604" customFormat="1">
      <c r="A32" s="1606" t="s">
        <v>259</v>
      </c>
      <c r="B32" s="1606" t="s">
        <v>1954</v>
      </c>
      <c r="C32" s="1606" t="s">
        <v>43</v>
      </c>
      <c r="D32" s="1606">
        <v>32</v>
      </c>
      <c r="E32" s="1606">
        <v>65</v>
      </c>
      <c r="F32" s="1606">
        <f t="shared" si="6"/>
        <v>1985</v>
      </c>
      <c r="G32" s="1606" t="s">
        <v>1449</v>
      </c>
      <c r="H32" s="1606" t="s">
        <v>351</v>
      </c>
      <c r="I32" s="1606" t="s">
        <v>1060</v>
      </c>
      <c r="J32" s="1607" t="s">
        <v>94</v>
      </c>
      <c r="K32" s="1607">
        <v>390</v>
      </c>
      <c r="L32" s="1608">
        <f t="shared" si="7"/>
        <v>46.592469359798997</v>
      </c>
      <c r="M32" s="1603">
        <f t="shared" si="8"/>
        <v>15483</v>
      </c>
      <c r="N32" s="1634" t="s">
        <v>1985</v>
      </c>
      <c r="O32" s="1634">
        <v>1984</v>
      </c>
      <c r="P32" s="1635" t="s">
        <v>1927</v>
      </c>
      <c r="Q32" s="1604" t="s">
        <v>2069</v>
      </c>
      <c r="R32" s="1666">
        <v>1979.3</v>
      </c>
    </row>
    <row r="33" spans="1:21" s="1604" customFormat="1">
      <c r="A33" s="1606" t="s">
        <v>259</v>
      </c>
      <c r="B33" s="1606" t="s">
        <v>1954</v>
      </c>
      <c r="C33" s="1606" t="s">
        <v>44</v>
      </c>
      <c r="D33" s="1606">
        <v>4</v>
      </c>
      <c r="E33" s="1606">
        <v>42</v>
      </c>
      <c r="F33" s="1606">
        <f t="shared" si="6"/>
        <v>282</v>
      </c>
      <c r="G33" s="1606" t="s">
        <v>1449</v>
      </c>
      <c r="H33" s="1606" t="s">
        <v>351</v>
      </c>
      <c r="I33" s="1606" t="s">
        <v>1060</v>
      </c>
      <c r="J33" s="1607" t="s">
        <v>94</v>
      </c>
      <c r="K33" s="1607">
        <v>385</v>
      </c>
      <c r="L33" s="1608">
        <f t="shared" si="7"/>
        <v>42.056540265442607</v>
      </c>
      <c r="M33" s="1603">
        <f t="shared" si="8"/>
        <v>2171.4</v>
      </c>
      <c r="N33" s="1634" t="s">
        <v>1983</v>
      </c>
      <c r="O33" s="1634">
        <v>282</v>
      </c>
      <c r="P33" s="1635" t="s">
        <v>1927</v>
      </c>
      <c r="Q33" s="1604" t="s">
        <v>2070</v>
      </c>
      <c r="R33" s="1666">
        <v>280.5</v>
      </c>
    </row>
    <row r="34" spans="1:21" s="1604" customFormat="1">
      <c r="A34" s="1606" t="s">
        <v>1582</v>
      </c>
      <c r="B34" s="1606" t="s">
        <v>1956</v>
      </c>
      <c r="C34" s="1606" t="s">
        <v>42</v>
      </c>
      <c r="D34" s="1606">
        <v>13</v>
      </c>
      <c r="E34" s="1606">
        <v>43</v>
      </c>
      <c r="F34" s="1606">
        <f t="shared" si="6"/>
        <v>823</v>
      </c>
      <c r="G34" s="1606" t="s">
        <v>1449</v>
      </c>
      <c r="H34" s="1606" t="s">
        <v>351</v>
      </c>
      <c r="I34" s="1606" t="s">
        <v>633</v>
      </c>
      <c r="J34" s="1607" t="s">
        <v>94</v>
      </c>
      <c r="K34" s="1607">
        <v>430</v>
      </c>
      <c r="L34" s="1608">
        <f t="shared" si="7"/>
        <v>82.879902114650179</v>
      </c>
      <c r="M34" s="1603">
        <f t="shared" si="8"/>
        <v>7077.8</v>
      </c>
      <c r="N34" s="1634" t="s">
        <v>1989</v>
      </c>
      <c r="O34" s="1634">
        <v>822</v>
      </c>
      <c r="P34" s="1635" t="s">
        <v>1927</v>
      </c>
      <c r="Q34" s="1604" t="s">
        <v>2071</v>
      </c>
      <c r="R34" s="1666">
        <v>819.4</v>
      </c>
    </row>
    <row r="35" spans="1:21" s="1604" customFormat="1">
      <c r="A35" s="1606" t="s">
        <v>1582</v>
      </c>
      <c r="B35" s="1606" t="s">
        <v>1956</v>
      </c>
      <c r="C35" s="1606" t="s">
        <v>43</v>
      </c>
      <c r="D35" s="1606">
        <v>40</v>
      </c>
      <c r="E35" s="1606">
        <v>16</v>
      </c>
      <c r="F35" s="1606">
        <f t="shared" si="6"/>
        <v>2416</v>
      </c>
      <c r="G35" s="1606" t="s">
        <v>1449</v>
      </c>
      <c r="H35" s="1606" t="s">
        <v>351</v>
      </c>
      <c r="I35" s="1606" t="s">
        <v>1060</v>
      </c>
      <c r="J35" s="1607" t="s">
        <v>94</v>
      </c>
      <c r="K35" s="1607">
        <v>390</v>
      </c>
      <c r="L35" s="1608">
        <f t="shared" si="7"/>
        <v>46.592469359798997</v>
      </c>
      <c r="M35" s="1603">
        <f t="shared" si="8"/>
        <v>18844.8</v>
      </c>
      <c r="N35" s="1634" t="s">
        <v>1990</v>
      </c>
      <c r="O35" s="1634">
        <v>2411</v>
      </c>
      <c r="P35" s="1635" t="s">
        <v>1927</v>
      </c>
      <c r="Q35" s="1604" t="s">
        <v>2072</v>
      </c>
      <c r="R35" s="1666">
        <v>2408.1</v>
      </c>
    </row>
    <row r="36" spans="1:21" s="1604" customFormat="1">
      <c r="A36" s="1606" t="s">
        <v>1582</v>
      </c>
      <c r="B36" s="1606" t="s">
        <v>1956</v>
      </c>
      <c r="C36" s="1606" t="s">
        <v>44</v>
      </c>
      <c r="D36" s="1606">
        <v>5</v>
      </c>
      <c r="E36" s="1606">
        <v>19</v>
      </c>
      <c r="F36" s="1606">
        <f t="shared" si="6"/>
        <v>319</v>
      </c>
      <c r="G36" s="1606" t="s">
        <v>1449</v>
      </c>
      <c r="H36" s="1606" t="s">
        <v>351</v>
      </c>
      <c r="I36" s="1606" t="s">
        <v>1060</v>
      </c>
      <c r="J36" s="1607" t="s">
        <v>94</v>
      </c>
      <c r="K36" s="1607">
        <v>385</v>
      </c>
      <c r="L36" s="1608">
        <f t="shared" si="7"/>
        <v>42.056540265442607</v>
      </c>
      <c r="M36" s="1603">
        <f t="shared" si="8"/>
        <v>2456.3000000000002</v>
      </c>
      <c r="N36" s="1634" t="s">
        <v>1988</v>
      </c>
      <c r="O36" s="1634">
        <v>319</v>
      </c>
      <c r="P36" s="1635" t="s">
        <v>1927</v>
      </c>
      <c r="Q36" s="1604" t="s">
        <v>2073</v>
      </c>
      <c r="R36" s="1666">
        <v>316.60000000000002</v>
      </c>
    </row>
    <row r="37" spans="1:21" s="1604" customFormat="1">
      <c r="A37" s="1606" t="s">
        <v>1435</v>
      </c>
      <c r="B37" s="1606" t="s">
        <v>1957</v>
      </c>
      <c r="C37" s="1606" t="s">
        <v>42</v>
      </c>
      <c r="D37" s="1606">
        <v>18</v>
      </c>
      <c r="E37" s="1606">
        <v>41</v>
      </c>
      <c r="F37" s="1606">
        <f t="shared" si="6"/>
        <v>1121</v>
      </c>
      <c r="G37" s="1606" t="s">
        <v>1449</v>
      </c>
      <c r="H37" s="1606" t="s">
        <v>351</v>
      </c>
      <c r="I37" s="1606" t="s">
        <v>633</v>
      </c>
      <c r="J37" s="1607" t="s">
        <v>94</v>
      </c>
      <c r="K37" s="1607">
        <v>430</v>
      </c>
      <c r="L37" s="1608">
        <f t="shared" si="7"/>
        <v>82.879902114650179</v>
      </c>
      <c r="M37" s="1603">
        <f t="shared" si="8"/>
        <v>9640.6</v>
      </c>
      <c r="N37" s="1634" t="s">
        <v>1993</v>
      </c>
      <c r="O37" s="1634">
        <v>1121</v>
      </c>
      <c r="P37" s="1635" t="s">
        <v>1927</v>
      </c>
      <c r="Q37" s="1604" t="s">
        <v>2074</v>
      </c>
      <c r="R37" s="1666">
        <v>1119.9000000000001</v>
      </c>
    </row>
    <row r="38" spans="1:21" s="1604" customFormat="1">
      <c r="A38" s="1606" t="s">
        <v>1435</v>
      </c>
      <c r="B38" s="1606" t="s">
        <v>1957</v>
      </c>
      <c r="C38" s="1606" t="s">
        <v>43</v>
      </c>
      <c r="D38" s="1606">
        <v>37</v>
      </c>
      <c r="E38" s="1606">
        <v>0</v>
      </c>
      <c r="F38" s="1606">
        <f t="shared" si="6"/>
        <v>2220</v>
      </c>
      <c r="G38" s="1606" t="s">
        <v>1449</v>
      </c>
      <c r="H38" s="1606" t="s">
        <v>351</v>
      </c>
      <c r="I38" s="1606" t="s">
        <v>1060</v>
      </c>
      <c r="J38" s="1607" t="s">
        <v>94</v>
      </c>
      <c r="K38" s="1607">
        <v>390</v>
      </c>
      <c r="L38" s="1608">
        <f t="shared" si="7"/>
        <v>46.592469359798997</v>
      </c>
      <c r="M38" s="1603">
        <f t="shared" si="8"/>
        <v>17316</v>
      </c>
      <c r="N38" s="1634" t="s">
        <v>1994</v>
      </c>
      <c r="O38" s="1634">
        <v>2220</v>
      </c>
      <c r="P38" s="1635" t="s">
        <v>1927</v>
      </c>
      <c r="Q38" s="1604" t="s">
        <v>2075</v>
      </c>
      <c r="R38" s="1666">
        <v>2216.6999999999998</v>
      </c>
    </row>
    <row r="39" spans="1:21" s="1604" customFormat="1">
      <c r="A39" s="1606" t="s">
        <v>1435</v>
      </c>
      <c r="B39" s="1606" t="s">
        <v>1957</v>
      </c>
      <c r="C39" s="1606" t="s">
        <v>44</v>
      </c>
      <c r="D39" s="1606">
        <v>6</v>
      </c>
      <c r="E39" s="1606">
        <v>21</v>
      </c>
      <c r="F39" s="1606">
        <f t="shared" si="6"/>
        <v>381</v>
      </c>
      <c r="G39" s="1606" t="s">
        <v>1449</v>
      </c>
      <c r="H39" s="1606" t="s">
        <v>351</v>
      </c>
      <c r="I39" s="1606" t="s">
        <v>1060</v>
      </c>
      <c r="J39" s="1607" t="s">
        <v>94</v>
      </c>
      <c r="K39" s="1607">
        <v>385</v>
      </c>
      <c r="L39" s="1608">
        <f t="shared" si="7"/>
        <v>42.056540265442607</v>
      </c>
      <c r="M39" s="1603">
        <f t="shared" si="8"/>
        <v>2933.7</v>
      </c>
      <c r="N39" s="1634" t="s">
        <v>1996</v>
      </c>
      <c r="O39" s="1634">
        <v>380</v>
      </c>
      <c r="P39" s="1635" t="s">
        <v>1927</v>
      </c>
      <c r="Q39" s="1604" t="s">
        <v>2076</v>
      </c>
      <c r="R39" s="1666">
        <v>378.7</v>
      </c>
    </row>
    <row r="40" spans="1:21" s="1604" customFormat="1">
      <c r="A40" s="1606" t="s">
        <v>73</v>
      </c>
      <c r="B40" s="1606" t="s">
        <v>1960</v>
      </c>
      <c r="C40" s="1606" t="s">
        <v>42</v>
      </c>
      <c r="D40" s="1606">
        <v>14</v>
      </c>
      <c r="E40" s="1606">
        <v>54</v>
      </c>
      <c r="F40" s="1606">
        <f t="shared" si="6"/>
        <v>894</v>
      </c>
      <c r="G40" s="1606" t="s">
        <v>1449</v>
      </c>
      <c r="H40" s="1606" t="s">
        <v>351</v>
      </c>
      <c r="I40" s="1606" t="s">
        <v>633</v>
      </c>
      <c r="J40" s="1607" t="s">
        <v>94</v>
      </c>
      <c r="K40" s="1607">
        <v>430</v>
      </c>
      <c r="L40" s="1608">
        <f t="shared" si="7"/>
        <v>82.879902114650179</v>
      </c>
      <c r="M40" s="1603">
        <f t="shared" si="8"/>
        <v>7688.4</v>
      </c>
      <c r="N40" s="1634" t="s">
        <v>2002</v>
      </c>
      <c r="O40" s="1634">
        <v>893</v>
      </c>
      <c r="P40" s="1635" t="s">
        <v>1927</v>
      </c>
      <c r="Q40" s="1604" t="s">
        <v>2077</v>
      </c>
      <c r="R40" s="1666">
        <v>891.5</v>
      </c>
    </row>
    <row r="41" spans="1:21" s="1604" customFormat="1">
      <c r="A41" s="1606" t="s">
        <v>73</v>
      </c>
      <c r="B41" s="1606" t="s">
        <v>1960</v>
      </c>
      <c r="C41" s="1606" t="s">
        <v>43</v>
      </c>
      <c r="D41" s="1606">
        <v>45</v>
      </c>
      <c r="E41" s="1606">
        <v>21</v>
      </c>
      <c r="F41" s="1606">
        <f t="shared" si="6"/>
        <v>2721</v>
      </c>
      <c r="G41" s="1606" t="s">
        <v>1449</v>
      </c>
      <c r="H41" s="1606" t="s">
        <v>351</v>
      </c>
      <c r="I41" s="1606" t="s">
        <v>1060</v>
      </c>
      <c r="J41" s="1607" t="s">
        <v>94</v>
      </c>
      <c r="K41" s="1607">
        <v>390</v>
      </c>
      <c r="L41" s="1608">
        <f t="shared" si="7"/>
        <v>46.592469359798997</v>
      </c>
      <c r="M41" s="1603">
        <f t="shared" si="8"/>
        <v>21223.8</v>
      </c>
      <c r="N41" s="1634" t="s">
        <v>2003</v>
      </c>
      <c r="O41" s="1634">
        <v>2718</v>
      </c>
      <c r="P41" s="1635" t="s">
        <v>1927</v>
      </c>
      <c r="Q41" s="1604" t="s">
        <v>2078</v>
      </c>
      <c r="R41" s="1666">
        <v>2712.6</v>
      </c>
    </row>
    <row r="42" spans="1:21" s="1604" customFormat="1" ht="15" thickBot="1">
      <c r="A42" s="1606" t="s">
        <v>73</v>
      </c>
      <c r="B42" s="1606" t="s">
        <v>1960</v>
      </c>
      <c r="C42" s="1606" t="s">
        <v>44</v>
      </c>
      <c r="D42" s="1606">
        <v>6</v>
      </c>
      <c r="E42" s="1606">
        <v>7</v>
      </c>
      <c r="F42" s="1606">
        <f t="shared" si="6"/>
        <v>367</v>
      </c>
      <c r="G42" s="1606" t="s">
        <v>1449</v>
      </c>
      <c r="H42" s="1606" t="s">
        <v>351</v>
      </c>
      <c r="I42" s="1606" t="s">
        <v>1060</v>
      </c>
      <c r="J42" s="1607" t="s">
        <v>94</v>
      </c>
      <c r="K42" s="1607">
        <v>385</v>
      </c>
      <c r="L42" s="1608">
        <f t="shared" si="7"/>
        <v>42.056540265442607</v>
      </c>
      <c r="M42" s="1603">
        <f t="shared" si="8"/>
        <v>2825.9</v>
      </c>
      <c r="N42" s="1634" t="s">
        <v>2005</v>
      </c>
      <c r="O42" s="1634">
        <v>366</v>
      </c>
      <c r="P42" s="1635" t="s">
        <v>1927</v>
      </c>
      <c r="Q42" s="1604" t="s">
        <v>2079</v>
      </c>
      <c r="R42" s="1666">
        <v>364.7</v>
      </c>
    </row>
    <row r="43" spans="1:21" s="1604" customFormat="1" ht="15" thickBot="1">
      <c r="A43" s="1606"/>
      <c r="B43" s="1606"/>
      <c r="C43" s="1606"/>
      <c r="D43" s="1611">
        <f>F43/60</f>
        <v>594.4</v>
      </c>
      <c r="E43" s="1600"/>
      <c r="F43" s="1600">
        <f>SUM(F3:F42)</f>
        <v>35664</v>
      </c>
      <c r="G43" s="1606"/>
      <c r="H43" s="1606"/>
      <c r="I43" s="1606"/>
      <c r="J43" s="1607"/>
      <c r="K43" s="1607"/>
      <c r="L43" s="1605"/>
      <c r="N43" s="1636"/>
      <c r="O43" s="1636">
        <f>SUM(O31:O42)</f>
        <v>14242</v>
      </c>
      <c r="P43" s="1637"/>
      <c r="R43" s="1668">
        <v>14210.300000000001</v>
      </c>
      <c r="T43" s="1671">
        <v>399.52981288220514</v>
      </c>
      <c r="U43" s="1667" t="s">
        <v>29</v>
      </c>
    </row>
    <row r="44" spans="1:21" s="1604" customFormat="1">
      <c r="A44" s="1606"/>
      <c r="B44" s="1606"/>
      <c r="C44" s="1606"/>
      <c r="D44" s="1606"/>
      <c r="E44" s="1606"/>
      <c r="F44" s="1606"/>
      <c r="G44" s="1606"/>
      <c r="H44" s="1606"/>
      <c r="I44" s="1606"/>
      <c r="J44" s="1607"/>
      <c r="K44" s="1609"/>
      <c r="L44" s="1605"/>
      <c r="P44" s="1605"/>
      <c r="R44" s="1486">
        <v>237</v>
      </c>
    </row>
    <row r="45" spans="1:21" s="1604" customFormat="1">
      <c r="A45" s="1600"/>
      <c r="B45" s="1600"/>
      <c r="C45" s="1600"/>
      <c r="D45" s="1600"/>
      <c r="E45" s="1600"/>
      <c r="F45" s="1600"/>
      <c r="G45" s="1600"/>
      <c r="H45" s="1600"/>
      <c r="I45" s="1600"/>
      <c r="J45" s="1607"/>
      <c r="K45" s="1609"/>
      <c r="L45" s="1605"/>
      <c r="P45" s="1605"/>
      <c r="R45" s="1666"/>
    </row>
    <row r="46" spans="1:21">
      <c r="R46" s="1678">
        <f>R43+R29+R17</f>
        <v>35546.699999999997</v>
      </c>
    </row>
  </sheetData>
  <sortState xmlns:xlrd2="http://schemas.microsoft.com/office/spreadsheetml/2017/richdata2" ref="A3:P42">
    <sortCondition ref="H3:H42"/>
  </sortState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420F-FC6E-48C0-A2C9-DE498CE2693C}">
  <dimension ref="A1:V63"/>
  <sheetViews>
    <sheetView workbookViewId="0">
      <selection activeCell="J13" sqref="J13"/>
    </sheetView>
  </sheetViews>
  <sheetFormatPr defaultRowHeight="14.5"/>
  <cols>
    <col min="2" max="2" width="14.08984375" customWidth="1"/>
    <col min="9" max="9" width="19.453125" bestFit="1" customWidth="1"/>
    <col min="10" max="10" width="14.36328125" bestFit="1" customWidth="1"/>
    <col min="11" max="11" width="14.54296875" bestFit="1" customWidth="1"/>
    <col min="12" max="12" width="8.90625" customWidth="1"/>
    <col min="13" max="13" width="13.6328125" customWidth="1"/>
    <col min="14" max="14" width="16.08984375" bestFit="1" customWidth="1"/>
    <col min="15" max="15" width="14.453125" bestFit="1" customWidth="1"/>
    <col min="16" max="16" width="14.453125" customWidth="1"/>
    <col min="17" max="17" width="13.08984375" customWidth="1"/>
  </cols>
  <sheetData>
    <row r="1" spans="1:21">
      <c r="I1">
        <v>284</v>
      </c>
      <c r="J1">
        <v>280</v>
      </c>
      <c r="P1" s="17" t="s">
        <v>1274</v>
      </c>
      <c r="Q1" s="17"/>
    </row>
    <row r="2" spans="1:21">
      <c r="A2" s="1042" t="s">
        <v>1218</v>
      </c>
      <c r="B2" s="1042" t="s">
        <v>22</v>
      </c>
      <c r="C2" s="1043" t="s">
        <v>23</v>
      </c>
      <c r="D2" s="1014" t="s">
        <v>24</v>
      </c>
      <c r="E2" s="1042" t="s">
        <v>1160</v>
      </c>
      <c r="F2" s="1014" t="s">
        <v>112</v>
      </c>
      <c r="G2" s="1014" t="s">
        <v>407</v>
      </c>
      <c r="H2" s="1014"/>
      <c r="I2" s="1014" t="s">
        <v>541</v>
      </c>
      <c r="J2" s="1014" t="s">
        <v>396</v>
      </c>
      <c r="K2" s="1014" t="s">
        <v>26</v>
      </c>
      <c r="L2" s="1014" t="s">
        <v>902</v>
      </c>
      <c r="M2" s="1014" t="s">
        <v>679</v>
      </c>
      <c r="N2" s="1014" t="s">
        <v>1296</v>
      </c>
      <c r="O2" s="1014" t="s">
        <v>406</v>
      </c>
      <c r="P2" s="2" t="s">
        <v>24</v>
      </c>
      <c r="Q2" s="2" t="s">
        <v>1153</v>
      </c>
    </row>
    <row r="3" spans="1:21">
      <c r="A3" s="1034" t="s">
        <v>1297</v>
      </c>
      <c r="B3" s="1034" t="s">
        <v>1227</v>
      </c>
      <c r="C3" s="1035" t="s">
        <v>42</v>
      </c>
      <c r="D3" s="1036">
        <v>1</v>
      </c>
      <c r="E3" s="1037">
        <v>54</v>
      </c>
      <c r="F3" s="1036">
        <v>114</v>
      </c>
      <c r="G3" s="1036">
        <f>F3/60*I3*1.2</f>
        <v>836.75999999999988</v>
      </c>
      <c r="H3" s="1036"/>
      <c r="I3" s="1038">
        <v>367</v>
      </c>
      <c r="J3" s="1039">
        <f>I3/1.1023-$J$1</f>
        <v>52.940215912183589</v>
      </c>
      <c r="K3" s="1038" t="s">
        <v>54</v>
      </c>
      <c r="L3" s="1040" t="s">
        <v>354</v>
      </c>
      <c r="M3" s="1041" t="s">
        <v>434</v>
      </c>
      <c r="N3" s="14">
        <v>59701</v>
      </c>
      <c r="O3" s="14">
        <v>114</v>
      </c>
      <c r="P3" s="14"/>
      <c r="Q3" s="14"/>
    </row>
    <row r="4" spans="1:21">
      <c r="A4" s="1002" t="s">
        <v>1297</v>
      </c>
      <c r="B4" s="1002" t="s">
        <v>1227</v>
      </c>
      <c r="C4" s="1003" t="s">
        <v>43</v>
      </c>
      <c r="D4" s="1004">
        <v>22</v>
      </c>
      <c r="E4" s="1005">
        <v>66</v>
      </c>
      <c r="F4" s="1004">
        <v>1386</v>
      </c>
      <c r="G4" s="1004">
        <f t="shared" ref="G4:G6" si="0">F4/60*I4*1.2</f>
        <v>9757.44</v>
      </c>
      <c r="H4" s="1004"/>
      <c r="I4" s="1006">
        <v>352</v>
      </c>
      <c r="J4" s="1007">
        <f>I4/1.1023-$J$1</f>
        <v>39.332305180077981</v>
      </c>
      <c r="K4" s="1006" t="s">
        <v>54</v>
      </c>
      <c r="L4" s="1013" t="s">
        <v>354</v>
      </c>
      <c r="M4" s="14" t="s">
        <v>697</v>
      </c>
      <c r="N4" s="14">
        <v>59702</v>
      </c>
      <c r="O4" s="14">
        <v>1386</v>
      </c>
      <c r="P4" s="14"/>
      <c r="Q4" s="14"/>
    </row>
    <row r="5" spans="1:21">
      <c r="A5" s="1002" t="s">
        <v>1297</v>
      </c>
      <c r="B5" s="1002" t="s">
        <v>1227</v>
      </c>
      <c r="C5" s="1003" t="s">
        <v>44</v>
      </c>
      <c r="D5" s="1004">
        <v>2</v>
      </c>
      <c r="E5" s="1005">
        <v>34</v>
      </c>
      <c r="F5" s="1004">
        <v>154</v>
      </c>
      <c r="G5" s="1004">
        <f t="shared" si="0"/>
        <v>1084.1600000000001</v>
      </c>
      <c r="H5" s="1004"/>
      <c r="I5" s="1006">
        <v>352</v>
      </c>
      <c r="J5" s="1007">
        <f>I5/1.1023-$J$1</f>
        <v>39.332305180077981</v>
      </c>
      <c r="K5" s="1006" t="s">
        <v>54</v>
      </c>
      <c r="L5" s="1013" t="s">
        <v>354</v>
      </c>
      <c r="M5" s="14" t="s">
        <v>697</v>
      </c>
      <c r="N5" s="14">
        <v>59704</v>
      </c>
      <c r="O5" s="14">
        <v>154</v>
      </c>
      <c r="P5" s="14"/>
      <c r="Q5" s="14"/>
    </row>
    <row r="6" spans="1:21">
      <c r="A6" s="1002" t="s">
        <v>1297</v>
      </c>
      <c r="B6" s="1002" t="s">
        <v>1227</v>
      </c>
      <c r="C6" s="1003" t="s">
        <v>45</v>
      </c>
      <c r="D6" s="1004">
        <v>38</v>
      </c>
      <c r="E6" s="1005">
        <v>31</v>
      </c>
      <c r="F6" s="1004">
        <v>2311</v>
      </c>
      <c r="G6" s="1004">
        <f t="shared" si="0"/>
        <v>14882.84</v>
      </c>
      <c r="H6" s="1004"/>
      <c r="I6" s="1006">
        <v>322</v>
      </c>
      <c r="J6" s="1007">
        <f>I6/1.1023-$J$1</f>
        <v>12.116483715866821</v>
      </c>
      <c r="K6" s="1006" t="s">
        <v>54</v>
      </c>
      <c r="L6" s="1013" t="s">
        <v>354</v>
      </c>
      <c r="M6" s="14" t="s">
        <v>435</v>
      </c>
      <c r="N6" s="14">
        <v>59703</v>
      </c>
      <c r="O6" s="14">
        <v>2311</v>
      </c>
      <c r="P6" s="14"/>
      <c r="Q6" s="14"/>
    </row>
    <row r="7" spans="1:21">
      <c r="A7" s="1002"/>
      <c r="B7" s="1002"/>
      <c r="C7" s="1003"/>
      <c r="D7" s="1012">
        <f>F7/60</f>
        <v>66.083333333333329</v>
      </c>
      <c r="E7" s="1009"/>
      <c r="F7" s="1008">
        <f>SUM(F3:F6)</f>
        <v>3965</v>
      </c>
      <c r="G7" s="1008">
        <f>SUM(G3:G6)</f>
        <v>26561.200000000001</v>
      </c>
      <c r="H7" s="1008"/>
      <c r="I7" s="1010">
        <f>G7/F7*50</f>
        <v>334.94577553593945</v>
      </c>
      <c r="J7" s="1007"/>
      <c r="K7" s="1006"/>
      <c r="L7" s="1013"/>
      <c r="M7" s="14"/>
      <c r="N7" s="1014" t="s">
        <v>1296</v>
      </c>
      <c r="O7" s="1014" t="s">
        <v>406</v>
      </c>
      <c r="P7" s="14"/>
      <c r="Q7" s="14"/>
    </row>
    <row r="8" spans="1:21">
      <c r="A8" s="1002" t="s">
        <v>1297</v>
      </c>
      <c r="B8" s="1002" t="s">
        <v>1227</v>
      </c>
      <c r="C8" s="1003" t="s">
        <v>47</v>
      </c>
      <c r="D8" s="1004">
        <v>12</v>
      </c>
      <c r="E8" s="1005">
        <v>28</v>
      </c>
      <c r="F8" s="1004">
        <v>748</v>
      </c>
      <c r="G8" s="1004">
        <f>F8/60*I8*1.2</f>
        <v>3695.12</v>
      </c>
      <c r="H8" s="1004"/>
      <c r="I8" s="1006">
        <v>247</v>
      </c>
      <c r="J8" s="1007">
        <f>I8/1.1023-$J$1</f>
        <v>-55.923069944661165</v>
      </c>
      <c r="K8" s="1006" t="s">
        <v>59</v>
      </c>
      <c r="L8" s="1013" t="s">
        <v>418</v>
      </c>
      <c r="M8" s="14" t="s">
        <v>1298</v>
      </c>
      <c r="N8" s="14">
        <v>59705</v>
      </c>
      <c r="O8" s="14">
        <v>748</v>
      </c>
      <c r="P8" s="14"/>
      <c r="Q8" s="14"/>
    </row>
    <row r="9" spans="1:21">
      <c r="D9" s="962">
        <f>F9/60</f>
        <v>12.466666666666667</v>
      </c>
      <c r="E9" s="17"/>
      <c r="F9" s="17">
        <f>SUM(F8:F8)</f>
        <v>748</v>
      </c>
      <c r="G9" s="1011">
        <f>SUM(G8:G8)</f>
        <v>3695.12</v>
      </c>
      <c r="H9" s="110"/>
      <c r="I9" s="111">
        <f>G9/F9*50</f>
        <v>246.99999999999997</v>
      </c>
      <c r="J9" s="17"/>
    </row>
    <row r="11" spans="1:21">
      <c r="D11" s="246">
        <f>D7+D9</f>
        <v>78.55</v>
      </c>
    </row>
    <row r="12" spans="1:21">
      <c r="L12" s="339" t="s">
        <v>1297</v>
      </c>
      <c r="M12" t="s">
        <v>44</v>
      </c>
      <c r="N12">
        <v>154.30000000000001</v>
      </c>
    </row>
    <row r="13" spans="1:21">
      <c r="L13" s="339" t="s">
        <v>1297</v>
      </c>
      <c r="M13" t="s">
        <v>47</v>
      </c>
      <c r="N13">
        <v>750.3</v>
      </c>
      <c r="U13">
        <f>SUM(U3:U12)</f>
        <v>0</v>
      </c>
    </row>
    <row r="14" spans="1:21">
      <c r="L14" s="339" t="s">
        <v>1297</v>
      </c>
      <c r="M14" t="s">
        <v>42</v>
      </c>
      <c r="N14">
        <v>114.2</v>
      </c>
    </row>
    <row r="15" spans="1:21">
      <c r="L15" s="339" t="s">
        <v>1297</v>
      </c>
      <c r="M15" t="s">
        <v>45</v>
      </c>
      <c r="N15">
        <v>2315.9</v>
      </c>
    </row>
    <row r="16" spans="1:21">
      <c r="L16" s="339" t="s">
        <v>1297</v>
      </c>
      <c r="M16" t="s">
        <v>43</v>
      </c>
      <c r="N16">
        <v>1392.3</v>
      </c>
      <c r="U16">
        <f>SUM(U14:U15)</f>
        <v>0</v>
      </c>
    </row>
    <row r="23" spans="8:8">
      <c r="H23" t="s">
        <v>1375</v>
      </c>
    </row>
    <row r="24" spans="8:8">
      <c r="H24">
        <v>350</v>
      </c>
    </row>
    <row r="29" spans="8:8">
      <c r="H29" t="s">
        <v>435</v>
      </c>
    </row>
    <row r="52" spans="7:22">
      <c r="I52" s="17">
        <f>SUM(I42:I51)</f>
        <v>0</v>
      </c>
      <c r="V52">
        <f>SUM(V42:V51)</f>
        <v>0</v>
      </c>
    </row>
    <row r="53" spans="7:22">
      <c r="I53" s="17">
        <f>I52/60</f>
        <v>0</v>
      </c>
    </row>
    <row r="56" spans="7:22">
      <c r="I56" s="17">
        <f>SUM(I54:I55)</f>
        <v>0</v>
      </c>
      <c r="V56">
        <f>SUM(V54:V55)</f>
        <v>0</v>
      </c>
    </row>
    <row r="57" spans="7:22">
      <c r="I57" s="111">
        <f>I56/60</f>
        <v>0</v>
      </c>
    </row>
    <row r="61" spans="7:22">
      <c r="G61" s="8"/>
      <c r="H61" s="8"/>
      <c r="I61" s="8" t="s">
        <v>1372</v>
      </c>
      <c r="J61" s="8" t="s">
        <v>1373</v>
      </c>
      <c r="K61" s="8" t="s">
        <v>1374</v>
      </c>
    </row>
    <row r="62" spans="7:22">
      <c r="G62" s="8" t="s">
        <v>354</v>
      </c>
      <c r="H62" s="8"/>
      <c r="I62" s="8">
        <v>30087</v>
      </c>
      <c r="J62" s="8">
        <v>30223.7</v>
      </c>
      <c r="K62" s="8">
        <v>30163</v>
      </c>
    </row>
    <row r="63" spans="7:22">
      <c r="G63" s="8" t="s">
        <v>856</v>
      </c>
      <c r="H63" s="8"/>
      <c r="I63" s="8">
        <v>88</v>
      </c>
      <c r="J63" s="8">
        <v>88</v>
      </c>
      <c r="K63" s="8">
        <v>89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3770-34F8-4991-9F27-5D27CCB5A20E}">
  <dimension ref="A1:Q4"/>
  <sheetViews>
    <sheetView workbookViewId="0">
      <selection activeCell="N1" sqref="N1:O1"/>
    </sheetView>
  </sheetViews>
  <sheetFormatPr defaultRowHeight="14.5"/>
  <cols>
    <col min="1" max="1" width="21.453125" customWidth="1"/>
    <col min="2" max="2" width="15.81640625" customWidth="1"/>
    <col min="3" max="3" width="12.453125" customWidth="1"/>
    <col min="4" max="4" width="13" customWidth="1"/>
    <col min="5" max="5" width="14" customWidth="1"/>
    <col min="6" max="6" width="13.453125" customWidth="1"/>
    <col min="7" max="7" width="11" customWidth="1"/>
    <col min="8" max="8" width="12.6328125" customWidth="1"/>
    <col min="9" max="9" width="13.81640625" customWidth="1"/>
    <col min="10" max="10" width="16.81640625" customWidth="1"/>
    <col min="14" max="14" width="13.1796875" customWidth="1"/>
    <col min="15" max="15" width="13.1796875" bestFit="1" customWidth="1"/>
    <col min="16" max="16" width="14.1796875" customWidth="1"/>
  </cols>
  <sheetData>
    <row r="1" spans="1:17">
      <c r="N1" s="1743" t="s">
        <v>1717</v>
      </c>
      <c r="O1" s="1743"/>
    </row>
    <row r="2" spans="1:17" ht="15" thickBot="1">
      <c r="A2" s="1452" t="s">
        <v>709</v>
      </c>
      <c r="B2" s="1449" t="s">
        <v>710</v>
      </c>
      <c r="C2" s="1449" t="s">
        <v>23</v>
      </c>
      <c r="D2" s="1449" t="s">
        <v>24</v>
      </c>
      <c r="E2" s="1449" t="s">
        <v>1573</v>
      </c>
      <c r="F2" s="1453" t="s">
        <v>112</v>
      </c>
      <c r="G2" s="1454" t="s">
        <v>1646</v>
      </c>
      <c r="H2" s="1454" t="s">
        <v>26</v>
      </c>
      <c r="I2" s="1454" t="s">
        <v>814</v>
      </c>
      <c r="J2" s="1454" t="s">
        <v>679</v>
      </c>
      <c r="K2" s="1449" t="s">
        <v>541</v>
      </c>
      <c r="L2" s="1449" t="s">
        <v>30</v>
      </c>
      <c r="M2" s="2" t="s">
        <v>407</v>
      </c>
      <c r="N2" s="2" t="s">
        <v>1655</v>
      </c>
      <c r="O2" s="2" t="s">
        <v>1716</v>
      </c>
      <c r="P2" s="21" t="s">
        <v>1867</v>
      </c>
    </row>
    <row r="3" spans="1:17">
      <c r="A3" s="14" t="s">
        <v>1656</v>
      </c>
      <c r="B3" s="14" t="s">
        <v>1657</v>
      </c>
      <c r="C3" s="14" t="s">
        <v>123</v>
      </c>
      <c r="D3" s="14">
        <v>47</v>
      </c>
      <c r="E3" s="14">
        <v>53</v>
      </c>
      <c r="F3" s="14">
        <v>2873</v>
      </c>
      <c r="G3" s="14" t="s">
        <v>601</v>
      </c>
      <c r="H3" s="14"/>
      <c r="I3" s="14" t="s">
        <v>354</v>
      </c>
      <c r="J3" s="14" t="s">
        <v>1713</v>
      </c>
      <c r="K3" s="14">
        <v>350</v>
      </c>
      <c r="L3" s="14"/>
      <c r="M3" s="14">
        <f>F3/60*K3*1.2</f>
        <v>20111</v>
      </c>
      <c r="N3" s="14">
        <v>70781</v>
      </c>
      <c r="O3" s="999">
        <v>2887.1</v>
      </c>
      <c r="P3" s="1622">
        <v>2882.8</v>
      </c>
      <c r="Q3" s="1621" t="s">
        <v>486</v>
      </c>
    </row>
    <row r="4" spans="1:17" ht="15" thickBot="1">
      <c r="P4" s="1518">
        <f>P3/60</f>
        <v>48.046666666666667</v>
      </c>
      <c r="Q4" s="1320" t="s">
        <v>24</v>
      </c>
    </row>
  </sheetData>
  <mergeCells count="1">
    <mergeCell ref="N1:O1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7489-6DAA-4539-873E-145C1F50B026}">
  <dimension ref="A1:P27"/>
  <sheetViews>
    <sheetView zoomScaleNormal="100" workbookViewId="0">
      <selection activeCell="M24" sqref="M24"/>
    </sheetView>
  </sheetViews>
  <sheetFormatPr defaultRowHeight="14.5"/>
  <cols>
    <col min="1" max="1" width="17.81640625" customWidth="1"/>
    <col min="2" max="2" width="17.54296875" customWidth="1"/>
    <col min="3" max="3" width="10.453125" customWidth="1"/>
    <col min="4" max="4" width="10.81640625" customWidth="1"/>
    <col min="5" max="5" width="10.54296875" customWidth="1"/>
    <col min="6" max="6" width="10.81640625" customWidth="1"/>
    <col min="7" max="7" width="14" customWidth="1"/>
    <col min="8" max="8" width="14.90625" customWidth="1"/>
    <col min="9" max="9" width="10.81640625" style="17" customWidth="1"/>
    <col min="10" max="10" width="9.453125" customWidth="1"/>
    <col min="11" max="11" width="13.1796875" customWidth="1"/>
    <col min="12" max="12" width="10" customWidth="1"/>
    <col min="13" max="13" width="11.36328125" customWidth="1"/>
    <col min="14" max="14" width="15.1796875" customWidth="1"/>
    <col min="15" max="15" width="10" customWidth="1"/>
  </cols>
  <sheetData>
    <row r="1" spans="1:16">
      <c r="A1" s="1459"/>
      <c r="B1" s="1460"/>
      <c r="C1" s="1461"/>
      <c r="D1" s="1461"/>
      <c r="E1" s="1461"/>
      <c r="F1" s="1462"/>
      <c r="G1" s="1462"/>
      <c r="H1" s="1462"/>
      <c r="I1" s="1463"/>
      <c r="J1" s="1462" t="s">
        <v>1711</v>
      </c>
      <c r="K1" s="1464">
        <v>307</v>
      </c>
      <c r="M1" s="17" t="s">
        <v>1930</v>
      </c>
    </row>
    <row r="2" spans="1:16">
      <c r="A2" s="1465" t="s">
        <v>709</v>
      </c>
      <c r="B2" s="1466" t="s">
        <v>710</v>
      </c>
      <c r="C2" s="1466" t="s">
        <v>23</v>
      </c>
      <c r="D2" s="1466" t="s">
        <v>24</v>
      </c>
      <c r="E2" s="1466" t="s">
        <v>1573</v>
      </c>
      <c r="F2" s="1467" t="s">
        <v>112</v>
      </c>
      <c r="G2" s="1467" t="s">
        <v>814</v>
      </c>
      <c r="H2" s="1467" t="s">
        <v>679</v>
      </c>
      <c r="I2" s="1468" t="s">
        <v>1646</v>
      </c>
      <c r="J2" s="1469" t="s">
        <v>142</v>
      </c>
      <c r="K2" s="1470" t="s">
        <v>30</v>
      </c>
      <c r="L2" s="1509" t="s">
        <v>407</v>
      </c>
      <c r="M2" s="1528" t="s">
        <v>1856</v>
      </c>
      <c r="N2" s="1528" t="s">
        <v>1857</v>
      </c>
      <c r="O2" s="14"/>
      <c r="P2" s="17" t="s">
        <v>1929</v>
      </c>
    </row>
    <row r="3" spans="1:16">
      <c r="A3" s="1495" t="s">
        <v>1647</v>
      </c>
      <c r="B3" s="1471" t="s">
        <v>1648</v>
      </c>
      <c r="C3" s="1471" t="s">
        <v>42</v>
      </c>
      <c r="D3" s="1471">
        <v>2</v>
      </c>
      <c r="E3" s="1471">
        <v>41</v>
      </c>
      <c r="F3" s="1496">
        <v>161</v>
      </c>
      <c r="G3" s="1497" t="s">
        <v>354</v>
      </c>
      <c r="H3" s="1498" t="s">
        <v>434</v>
      </c>
      <c r="I3" s="1499" t="s">
        <v>45</v>
      </c>
      <c r="J3" s="1472">
        <v>420</v>
      </c>
      <c r="K3" s="1473">
        <f t="shared" ref="K3:K26" si="0">J3/1.1023-$K$1</f>
        <v>74.021500498956698</v>
      </c>
      <c r="L3" s="14">
        <f>F3/60*J3*1.2</f>
        <v>1352.3999999999999</v>
      </c>
      <c r="M3" s="344" t="s">
        <v>1892</v>
      </c>
      <c r="N3" s="344">
        <v>161</v>
      </c>
      <c r="O3" s="1505">
        <f>N3-F3</f>
        <v>0</v>
      </c>
      <c r="P3" t="s">
        <v>1927</v>
      </c>
    </row>
    <row r="4" spans="1:16">
      <c r="A4" s="1500" t="s">
        <v>1649</v>
      </c>
      <c r="B4" s="1390" t="s">
        <v>1650</v>
      </c>
      <c r="C4" s="1390" t="s">
        <v>42</v>
      </c>
      <c r="D4" s="1390">
        <v>3</v>
      </c>
      <c r="E4" s="1390">
        <v>30</v>
      </c>
      <c r="F4" s="1501">
        <v>210</v>
      </c>
      <c r="G4" s="1497" t="s">
        <v>354</v>
      </c>
      <c r="H4" s="1498" t="s">
        <v>434</v>
      </c>
      <c r="I4" s="1502" t="s">
        <v>45</v>
      </c>
      <c r="J4" s="1472">
        <v>420</v>
      </c>
      <c r="K4" s="1473">
        <f t="shared" si="0"/>
        <v>74.021500498956698</v>
      </c>
      <c r="L4" s="14">
        <f t="shared" ref="L4:L26" si="1">F4/60*J4*1.2</f>
        <v>1764</v>
      </c>
      <c r="M4" s="344" t="s">
        <v>1893</v>
      </c>
      <c r="N4" s="344">
        <v>210</v>
      </c>
      <c r="O4" s="1505">
        <f t="shared" ref="O4:O26" si="2">N4-F4</f>
        <v>0</v>
      </c>
      <c r="P4" t="s">
        <v>1927</v>
      </c>
    </row>
    <row r="5" spans="1:16">
      <c r="A5" s="1500" t="s">
        <v>1651</v>
      </c>
      <c r="B5" s="1390" t="s">
        <v>1652</v>
      </c>
      <c r="C5" s="1390" t="s">
        <v>42</v>
      </c>
      <c r="D5" s="1390">
        <v>5</v>
      </c>
      <c r="E5" s="1390">
        <v>59</v>
      </c>
      <c r="F5" s="1501">
        <v>359</v>
      </c>
      <c r="G5" s="1497" t="s">
        <v>354</v>
      </c>
      <c r="H5" s="1498" t="s">
        <v>434</v>
      </c>
      <c r="I5" s="1502" t="s">
        <v>45</v>
      </c>
      <c r="J5" s="1472">
        <v>420</v>
      </c>
      <c r="K5" s="1473">
        <f t="shared" si="0"/>
        <v>74.021500498956698</v>
      </c>
      <c r="L5" s="14">
        <f t="shared" si="1"/>
        <v>3015.6</v>
      </c>
      <c r="M5" s="344" t="s">
        <v>1894</v>
      </c>
      <c r="N5" s="344">
        <v>359</v>
      </c>
      <c r="O5" s="1505">
        <f t="shared" si="2"/>
        <v>0</v>
      </c>
      <c r="P5" t="s">
        <v>1927</v>
      </c>
    </row>
    <row r="6" spans="1:16">
      <c r="A6" s="1500" t="s">
        <v>1651</v>
      </c>
      <c r="B6" s="1390" t="s">
        <v>1653</v>
      </c>
      <c r="C6" s="1390" t="s">
        <v>42</v>
      </c>
      <c r="D6" s="1390">
        <v>1</v>
      </c>
      <c r="E6" s="1390">
        <v>49</v>
      </c>
      <c r="F6" s="1501">
        <v>109</v>
      </c>
      <c r="G6" s="1497" t="s">
        <v>354</v>
      </c>
      <c r="H6" s="1498" t="s">
        <v>434</v>
      </c>
      <c r="I6" s="1502" t="s">
        <v>45</v>
      </c>
      <c r="J6" s="1472">
        <v>420</v>
      </c>
      <c r="K6" s="1473">
        <f t="shared" si="0"/>
        <v>74.021500498956698</v>
      </c>
      <c r="L6" s="14">
        <f t="shared" si="1"/>
        <v>915.6</v>
      </c>
      <c r="M6" s="344" t="s">
        <v>1895</v>
      </c>
      <c r="N6" s="344">
        <v>109</v>
      </c>
      <c r="O6" s="1505">
        <f t="shared" si="2"/>
        <v>0</v>
      </c>
      <c r="P6" t="s">
        <v>1927</v>
      </c>
    </row>
    <row r="7" spans="1:16">
      <c r="A7" s="1500" t="s">
        <v>1651</v>
      </c>
      <c r="B7" s="1390" t="s">
        <v>1654</v>
      </c>
      <c r="C7" s="1390" t="s">
        <v>42</v>
      </c>
      <c r="D7" s="1390">
        <v>3</v>
      </c>
      <c r="E7" s="1390">
        <v>48</v>
      </c>
      <c r="F7" s="1501">
        <v>228</v>
      </c>
      <c r="G7" s="1497" t="s">
        <v>354</v>
      </c>
      <c r="H7" s="1498" t="s">
        <v>434</v>
      </c>
      <c r="I7" s="1502" t="s">
        <v>45</v>
      </c>
      <c r="J7" s="1472">
        <v>420</v>
      </c>
      <c r="K7" s="1473">
        <f t="shared" si="0"/>
        <v>74.021500498956698</v>
      </c>
      <c r="L7" s="14">
        <f t="shared" si="1"/>
        <v>1915.1999999999998</v>
      </c>
      <c r="M7" s="344" t="s">
        <v>1896</v>
      </c>
      <c r="N7" s="344">
        <v>228</v>
      </c>
      <c r="O7" s="1505">
        <f t="shared" si="2"/>
        <v>0</v>
      </c>
      <c r="P7" t="s">
        <v>1927</v>
      </c>
    </row>
    <row r="8" spans="1:16">
      <c r="A8" s="1500" t="s">
        <v>519</v>
      </c>
      <c r="B8" s="1390" t="s">
        <v>1712</v>
      </c>
      <c r="C8" s="1390" t="s">
        <v>46</v>
      </c>
      <c r="D8" s="1390">
        <v>11</v>
      </c>
      <c r="E8" s="1390">
        <v>35</v>
      </c>
      <c r="F8" s="1501">
        <v>695</v>
      </c>
      <c r="G8" s="1497" t="s">
        <v>354</v>
      </c>
      <c r="H8" s="1498" t="s">
        <v>749</v>
      </c>
      <c r="I8" s="1502" t="s">
        <v>57</v>
      </c>
      <c r="J8" s="1474">
        <v>290</v>
      </c>
      <c r="K8" s="1473">
        <f t="shared" si="0"/>
        <v>-43.913725845958481</v>
      </c>
      <c r="L8" s="14">
        <f t="shared" si="1"/>
        <v>4031</v>
      </c>
      <c r="M8" s="344" t="s">
        <v>1912</v>
      </c>
      <c r="N8" s="344">
        <v>684</v>
      </c>
      <c r="O8" s="1505">
        <f t="shared" si="2"/>
        <v>-11</v>
      </c>
      <c r="P8" t="s">
        <v>1927</v>
      </c>
    </row>
    <row r="9" spans="1:16">
      <c r="A9" s="1500" t="s">
        <v>1647</v>
      </c>
      <c r="B9" s="1390" t="s">
        <v>1648</v>
      </c>
      <c r="C9" s="1390" t="s">
        <v>44</v>
      </c>
      <c r="D9" s="1390">
        <v>2</v>
      </c>
      <c r="E9" s="1390">
        <v>29</v>
      </c>
      <c r="F9" s="1501">
        <v>149</v>
      </c>
      <c r="G9" s="1497" t="s">
        <v>354</v>
      </c>
      <c r="H9" s="1498" t="s">
        <v>697</v>
      </c>
      <c r="I9" s="1502" t="s">
        <v>45</v>
      </c>
      <c r="J9" s="1474">
        <v>390</v>
      </c>
      <c r="K9" s="1473">
        <f t="shared" si="0"/>
        <v>46.805679034745538</v>
      </c>
      <c r="L9" s="14">
        <f t="shared" si="1"/>
        <v>1162.2</v>
      </c>
      <c r="M9" s="344" t="s">
        <v>1902</v>
      </c>
      <c r="N9" s="344">
        <v>149</v>
      </c>
      <c r="O9" s="1505">
        <f t="shared" si="2"/>
        <v>0</v>
      </c>
      <c r="P9" t="s">
        <v>1927</v>
      </c>
    </row>
    <row r="10" spans="1:16">
      <c r="A10" s="1500" t="s">
        <v>1649</v>
      </c>
      <c r="B10" s="1390" t="s">
        <v>1650</v>
      </c>
      <c r="C10" s="1390" t="s">
        <v>44</v>
      </c>
      <c r="D10" s="1390">
        <v>4</v>
      </c>
      <c r="E10" s="1390">
        <v>0</v>
      </c>
      <c r="F10" s="1501">
        <v>240</v>
      </c>
      <c r="G10" s="1497" t="s">
        <v>354</v>
      </c>
      <c r="H10" s="1498" t="s">
        <v>697</v>
      </c>
      <c r="I10" s="1502" t="s">
        <v>45</v>
      </c>
      <c r="J10" s="1474">
        <v>390</v>
      </c>
      <c r="K10" s="1473">
        <f t="shared" si="0"/>
        <v>46.805679034745538</v>
      </c>
      <c r="L10" s="14">
        <f t="shared" si="1"/>
        <v>1872</v>
      </c>
      <c r="M10" s="344" t="s">
        <v>1903</v>
      </c>
      <c r="N10" s="344">
        <v>240</v>
      </c>
      <c r="O10" s="1505">
        <f t="shared" si="2"/>
        <v>0</v>
      </c>
      <c r="P10" t="s">
        <v>1927</v>
      </c>
    </row>
    <row r="11" spans="1:16">
      <c r="A11" s="1500" t="s">
        <v>1651</v>
      </c>
      <c r="B11" s="1390" t="s">
        <v>1652</v>
      </c>
      <c r="C11" s="1390" t="s">
        <v>44</v>
      </c>
      <c r="D11" s="1390">
        <v>5</v>
      </c>
      <c r="E11" s="1390">
        <v>24</v>
      </c>
      <c r="F11" s="1501">
        <v>324</v>
      </c>
      <c r="G11" s="1497" t="s">
        <v>354</v>
      </c>
      <c r="H11" s="1498" t="s">
        <v>697</v>
      </c>
      <c r="I11" s="1502" t="s">
        <v>45</v>
      </c>
      <c r="J11" s="1474">
        <v>390</v>
      </c>
      <c r="K11" s="1473">
        <f t="shared" si="0"/>
        <v>46.805679034745538</v>
      </c>
      <c r="L11" s="14">
        <f t="shared" si="1"/>
        <v>2527.1999999999998</v>
      </c>
      <c r="M11" s="344" t="s">
        <v>1904</v>
      </c>
      <c r="N11" s="344">
        <v>324</v>
      </c>
      <c r="O11" s="1505">
        <f t="shared" si="2"/>
        <v>0</v>
      </c>
      <c r="P11" t="s">
        <v>1927</v>
      </c>
    </row>
    <row r="12" spans="1:16">
      <c r="A12" s="1500" t="s">
        <v>1651</v>
      </c>
      <c r="B12" s="1390" t="s">
        <v>1653</v>
      </c>
      <c r="C12" s="1390" t="s">
        <v>44</v>
      </c>
      <c r="D12" s="1390">
        <v>1</v>
      </c>
      <c r="E12" s="1390">
        <v>55</v>
      </c>
      <c r="F12" s="1501">
        <v>115</v>
      </c>
      <c r="G12" s="1497" t="s">
        <v>354</v>
      </c>
      <c r="H12" s="1498" t="s">
        <v>697</v>
      </c>
      <c r="I12" s="1502" t="s">
        <v>45</v>
      </c>
      <c r="J12" s="1474">
        <v>390</v>
      </c>
      <c r="K12" s="1473">
        <f t="shared" si="0"/>
        <v>46.805679034745538</v>
      </c>
      <c r="L12" s="14">
        <f t="shared" si="1"/>
        <v>897</v>
      </c>
      <c r="M12" s="344" t="s">
        <v>1905</v>
      </c>
      <c r="N12" s="344">
        <v>115</v>
      </c>
      <c r="O12" s="1505">
        <f t="shared" si="2"/>
        <v>0</v>
      </c>
      <c r="P12" t="s">
        <v>1927</v>
      </c>
    </row>
    <row r="13" spans="1:16">
      <c r="A13" s="1500" t="s">
        <v>1651</v>
      </c>
      <c r="B13" s="1390" t="s">
        <v>1654</v>
      </c>
      <c r="C13" s="1390" t="s">
        <v>44</v>
      </c>
      <c r="D13" s="1390">
        <v>4</v>
      </c>
      <c r="E13" s="1390">
        <v>26</v>
      </c>
      <c r="F13" s="1501">
        <v>266</v>
      </c>
      <c r="G13" s="1497" t="s">
        <v>354</v>
      </c>
      <c r="H13" s="1498" t="s">
        <v>697</v>
      </c>
      <c r="I13" s="1502" t="s">
        <v>45</v>
      </c>
      <c r="J13" s="1474">
        <v>390</v>
      </c>
      <c r="K13" s="1473">
        <f t="shared" si="0"/>
        <v>46.805679034745538</v>
      </c>
      <c r="L13" s="14">
        <f t="shared" si="1"/>
        <v>2074.7999999999997</v>
      </c>
      <c r="M13" s="344" t="s">
        <v>1906</v>
      </c>
      <c r="N13" s="344">
        <v>266</v>
      </c>
      <c r="O13" s="1505">
        <f t="shared" si="2"/>
        <v>0</v>
      </c>
      <c r="P13" t="s">
        <v>1927</v>
      </c>
    </row>
    <row r="14" spans="1:16">
      <c r="A14" s="1500"/>
      <c r="B14" s="1390"/>
      <c r="C14" s="1390"/>
      <c r="D14" s="1522">
        <f>F14/60</f>
        <v>47.6</v>
      </c>
      <c r="E14" s="1390"/>
      <c r="F14" s="1502">
        <f>SUM(F3:F13)</f>
        <v>2856</v>
      </c>
      <c r="G14" s="1498"/>
      <c r="H14" s="1498"/>
      <c r="I14" s="1502"/>
      <c r="J14" s="1521">
        <f>L14/F14*50</f>
        <v>376.87324929971993</v>
      </c>
      <c r="K14" s="1473"/>
      <c r="L14" s="14">
        <f>SUM(L3:L13)</f>
        <v>21527</v>
      </c>
      <c r="M14" s="344"/>
      <c r="N14" s="344"/>
      <c r="O14" s="1505"/>
    </row>
    <row r="15" spans="1:16">
      <c r="A15" s="1500"/>
      <c r="B15" s="1390"/>
      <c r="C15" s="1390"/>
      <c r="D15" s="1390"/>
      <c r="E15" s="1390"/>
      <c r="F15" s="1501"/>
      <c r="G15" s="1498"/>
      <c r="H15" s="1498"/>
      <c r="I15" s="1502"/>
      <c r="J15" s="1474"/>
      <c r="K15" s="1473"/>
      <c r="L15" s="14"/>
      <c r="M15" s="344"/>
      <c r="N15" s="344"/>
      <c r="O15" s="1505">
        <f t="shared" si="2"/>
        <v>0</v>
      </c>
    </row>
    <row r="16" spans="1:16">
      <c r="A16" s="1500"/>
      <c r="B16" s="1390"/>
      <c r="C16" s="1390"/>
      <c r="D16" s="1390"/>
      <c r="E16" s="1390"/>
      <c r="F16" s="1501"/>
      <c r="G16" s="1498"/>
      <c r="H16" s="1498"/>
      <c r="I16" s="1502"/>
      <c r="J16" s="1474"/>
      <c r="K16" s="1473"/>
      <c r="L16" s="14"/>
      <c r="M16" s="1528" t="s">
        <v>1931</v>
      </c>
      <c r="N16" s="344"/>
      <c r="O16" s="1505">
        <f t="shared" si="2"/>
        <v>0</v>
      </c>
      <c r="P16" s="17" t="s">
        <v>1929</v>
      </c>
    </row>
    <row r="17" spans="1:16">
      <c r="A17" s="1500" t="s">
        <v>1647</v>
      </c>
      <c r="B17" s="1390" t="s">
        <v>1648</v>
      </c>
      <c r="C17" s="1390" t="s">
        <v>47</v>
      </c>
      <c r="D17" s="1390">
        <v>1</v>
      </c>
      <c r="E17" s="1390">
        <v>49</v>
      </c>
      <c r="F17" s="1501">
        <v>109</v>
      </c>
      <c r="G17" s="1501" t="s">
        <v>418</v>
      </c>
      <c r="H17" s="1503" t="s">
        <v>418</v>
      </c>
      <c r="I17" s="1502" t="s">
        <v>63</v>
      </c>
      <c r="J17" s="1474">
        <v>265</v>
      </c>
      <c r="K17" s="1473">
        <f t="shared" si="0"/>
        <v>-66.593577066134458</v>
      </c>
      <c r="L17" s="14">
        <f t="shared" si="1"/>
        <v>577.70000000000005</v>
      </c>
      <c r="M17" s="344" t="s">
        <v>1907</v>
      </c>
      <c r="N17" s="344">
        <v>109</v>
      </c>
      <c r="O17" s="1505">
        <f t="shared" si="2"/>
        <v>0</v>
      </c>
      <c r="P17" t="s">
        <v>1927</v>
      </c>
    </row>
    <row r="18" spans="1:16">
      <c r="A18" s="1500" t="s">
        <v>1649</v>
      </c>
      <c r="B18" s="1390" t="s">
        <v>1650</v>
      </c>
      <c r="C18" s="1390" t="s">
        <v>47</v>
      </c>
      <c r="D18" s="1390">
        <v>2</v>
      </c>
      <c r="E18" s="1390">
        <v>35</v>
      </c>
      <c r="F18" s="1501">
        <v>155</v>
      </c>
      <c r="G18" s="1501" t="s">
        <v>418</v>
      </c>
      <c r="H18" s="1503" t="s">
        <v>418</v>
      </c>
      <c r="I18" s="1502" t="s">
        <v>59</v>
      </c>
      <c r="J18" s="1474">
        <v>265</v>
      </c>
      <c r="K18" s="1473">
        <f t="shared" si="0"/>
        <v>-66.593577066134458</v>
      </c>
      <c r="L18" s="14">
        <f t="shared" si="1"/>
        <v>821.5</v>
      </c>
      <c r="M18" s="344" t="s">
        <v>1908</v>
      </c>
      <c r="N18" s="344">
        <v>155</v>
      </c>
      <c r="O18" s="1505">
        <f t="shared" si="2"/>
        <v>0</v>
      </c>
      <c r="P18" t="s">
        <v>1927</v>
      </c>
    </row>
    <row r="19" spans="1:16">
      <c r="A19" s="1500" t="s">
        <v>1651</v>
      </c>
      <c r="B19" s="1390" t="s">
        <v>1652</v>
      </c>
      <c r="C19" s="1390" t="s">
        <v>47</v>
      </c>
      <c r="D19" s="1390">
        <v>2</v>
      </c>
      <c r="E19" s="1390">
        <v>51</v>
      </c>
      <c r="F19" s="1501">
        <v>171</v>
      </c>
      <c r="G19" s="1501" t="s">
        <v>418</v>
      </c>
      <c r="H19" s="1503" t="s">
        <v>418</v>
      </c>
      <c r="I19" s="1502" t="s">
        <v>63</v>
      </c>
      <c r="J19" s="1474">
        <v>265</v>
      </c>
      <c r="K19" s="1473">
        <f t="shared" si="0"/>
        <v>-66.593577066134458</v>
      </c>
      <c r="L19" s="14">
        <f t="shared" si="1"/>
        <v>906.3</v>
      </c>
      <c r="M19" s="344" t="s">
        <v>1909</v>
      </c>
      <c r="N19" s="344">
        <v>171</v>
      </c>
      <c r="O19" s="1505">
        <f t="shared" si="2"/>
        <v>0</v>
      </c>
      <c r="P19" t="s">
        <v>1927</v>
      </c>
    </row>
    <row r="20" spans="1:16">
      <c r="A20" s="1500" t="s">
        <v>1651</v>
      </c>
      <c r="B20" s="1390" t="s">
        <v>1653</v>
      </c>
      <c r="C20" s="1390" t="s">
        <v>47</v>
      </c>
      <c r="D20" s="1390">
        <v>0</v>
      </c>
      <c r="E20" s="1390">
        <v>54</v>
      </c>
      <c r="F20" s="1501">
        <v>54</v>
      </c>
      <c r="G20" s="1501" t="s">
        <v>418</v>
      </c>
      <c r="H20" s="1503" t="s">
        <v>418</v>
      </c>
      <c r="I20" s="1502" t="s">
        <v>63</v>
      </c>
      <c r="J20" s="1474">
        <v>265</v>
      </c>
      <c r="K20" s="1473">
        <f t="shared" si="0"/>
        <v>-66.593577066134458</v>
      </c>
      <c r="L20" s="14">
        <f t="shared" si="1"/>
        <v>286.2</v>
      </c>
      <c r="M20" s="344" t="s">
        <v>1910</v>
      </c>
      <c r="N20" s="344">
        <v>54</v>
      </c>
      <c r="O20" s="1505">
        <f t="shared" si="2"/>
        <v>0</v>
      </c>
      <c r="P20" t="s">
        <v>1927</v>
      </c>
    </row>
    <row r="21" spans="1:16">
      <c r="A21" s="1500" t="s">
        <v>1651</v>
      </c>
      <c r="B21" s="1390" t="s">
        <v>1654</v>
      </c>
      <c r="C21" s="1390" t="s">
        <v>47</v>
      </c>
      <c r="D21" s="1390">
        <v>2</v>
      </c>
      <c r="E21" s="1390">
        <v>11</v>
      </c>
      <c r="F21" s="1501">
        <v>131</v>
      </c>
      <c r="G21" s="1501" t="s">
        <v>418</v>
      </c>
      <c r="H21" s="1503" t="s">
        <v>418</v>
      </c>
      <c r="I21" s="1502" t="s">
        <v>63</v>
      </c>
      <c r="J21" s="1474">
        <v>265</v>
      </c>
      <c r="K21" s="1473">
        <f t="shared" si="0"/>
        <v>-66.593577066134458</v>
      </c>
      <c r="L21" s="14">
        <f t="shared" si="1"/>
        <v>694.29999999999984</v>
      </c>
      <c r="M21" s="344" t="s">
        <v>1911</v>
      </c>
      <c r="N21" s="344">
        <v>131</v>
      </c>
      <c r="O21" s="1505">
        <f t="shared" si="2"/>
        <v>0</v>
      </c>
      <c r="P21" t="s">
        <v>1927</v>
      </c>
    </row>
    <row r="22" spans="1:16">
      <c r="A22" s="1500" t="s">
        <v>1647</v>
      </c>
      <c r="B22" s="1390" t="s">
        <v>1648</v>
      </c>
      <c r="C22" s="1390" t="s">
        <v>48</v>
      </c>
      <c r="D22" s="1390">
        <v>0</v>
      </c>
      <c r="E22" s="1390">
        <v>20</v>
      </c>
      <c r="F22" s="1501">
        <v>20</v>
      </c>
      <c r="G22" s="1501" t="s">
        <v>418</v>
      </c>
      <c r="H22" s="1501" t="s">
        <v>418</v>
      </c>
      <c r="I22" s="1502" t="s">
        <v>60</v>
      </c>
      <c r="J22" s="1474">
        <v>200</v>
      </c>
      <c r="K22" s="1473">
        <f t="shared" si="0"/>
        <v>-125.56119023859205</v>
      </c>
      <c r="L22" s="14">
        <f t="shared" si="1"/>
        <v>79.999999999999986</v>
      </c>
      <c r="M22" s="344" t="s">
        <v>1897</v>
      </c>
      <c r="N22" s="344">
        <v>10</v>
      </c>
      <c r="O22" s="1505">
        <f t="shared" si="2"/>
        <v>-10</v>
      </c>
      <c r="P22" t="s">
        <v>1927</v>
      </c>
    </row>
    <row r="23" spans="1:16">
      <c r="A23" s="1500" t="s">
        <v>1649</v>
      </c>
      <c r="B23" s="1390" t="s">
        <v>1650</v>
      </c>
      <c r="C23" s="1390" t="s">
        <v>48</v>
      </c>
      <c r="D23" s="1390">
        <v>0</v>
      </c>
      <c r="E23" s="1390">
        <v>23</v>
      </c>
      <c r="F23" s="1501">
        <v>23</v>
      </c>
      <c r="G23" s="1501" t="s">
        <v>418</v>
      </c>
      <c r="H23" s="1501" t="s">
        <v>418</v>
      </c>
      <c r="I23" s="1502" t="s">
        <v>60</v>
      </c>
      <c r="J23" s="1474">
        <v>200</v>
      </c>
      <c r="K23" s="1473">
        <f t="shared" si="0"/>
        <v>-125.56119023859205</v>
      </c>
      <c r="L23" s="14">
        <f t="shared" si="1"/>
        <v>92</v>
      </c>
      <c r="M23" s="344" t="s">
        <v>1898</v>
      </c>
      <c r="N23" s="344">
        <v>23</v>
      </c>
      <c r="O23" s="1505">
        <f t="shared" si="2"/>
        <v>0</v>
      </c>
      <c r="P23" t="s">
        <v>1927</v>
      </c>
    </row>
    <row r="24" spans="1:16">
      <c r="A24" s="1500" t="s">
        <v>1651</v>
      </c>
      <c r="B24" s="1390" t="s">
        <v>1652</v>
      </c>
      <c r="C24" s="1390" t="s">
        <v>48</v>
      </c>
      <c r="D24" s="1390">
        <v>0</v>
      </c>
      <c r="E24" s="1390">
        <v>34</v>
      </c>
      <c r="F24" s="1501">
        <v>34</v>
      </c>
      <c r="G24" s="1501" t="s">
        <v>418</v>
      </c>
      <c r="H24" s="1501" t="s">
        <v>418</v>
      </c>
      <c r="I24" s="1502" t="s">
        <v>60</v>
      </c>
      <c r="J24" s="1474">
        <v>200</v>
      </c>
      <c r="K24" s="1473">
        <f t="shared" si="0"/>
        <v>-125.56119023859205</v>
      </c>
      <c r="L24" s="14">
        <f t="shared" si="1"/>
        <v>136</v>
      </c>
      <c r="M24" s="344" t="s">
        <v>1899</v>
      </c>
      <c r="N24" s="344">
        <v>34</v>
      </c>
      <c r="O24" s="1505">
        <f t="shared" si="2"/>
        <v>0</v>
      </c>
      <c r="P24" t="s">
        <v>1927</v>
      </c>
    </row>
    <row r="25" spans="1:16">
      <c r="A25" s="1500" t="s">
        <v>1651</v>
      </c>
      <c r="B25" s="1390" t="s">
        <v>1653</v>
      </c>
      <c r="C25" s="1390" t="s">
        <v>48</v>
      </c>
      <c r="D25" s="1390">
        <v>0</v>
      </c>
      <c r="E25" s="1390">
        <v>9</v>
      </c>
      <c r="F25" s="1501">
        <v>9</v>
      </c>
      <c r="G25" s="1501" t="s">
        <v>418</v>
      </c>
      <c r="H25" s="1501" t="s">
        <v>418</v>
      </c>
      <c r="I25" s="1502" t="s">
        <v>60</v>
      </c>
      <c r="J25" s="1474">
        <v>200</v>
      </c>
      <c r="K25" s="1473">
        <f t="shared" si="0"/>
        <v>-125.56119023859205</v>
      </c>
      <c r="L25" s="14">
        <f t="shared" si="1"/>
        <v>36</v>
      </c>
      <c r="M25" s="344" t="s">
        <v>1900</v>
      </c>
      <c r="N25" s="344">
        <v>9</v>
      </c>
      <c r="O25" s="1505">
        <f t="shared" si="2"/>
        <v>0</v>
      </c>
      <c r="P25" t="s">
        <v>1927</v>
      </c>
    </row>
    <row r="26" spans="1:16">
      <c r="A26" s="1500" t="s">
        <v>1651</v>
      </c>
      <c r="B26" s="1390" t="s">
        <v>1654</v>
      </c>
      <c r="C26" s="1390" t="s">
        <v>48</v>
      </c>
      <c r="D26" s="1390">
        <v>0</v>
      </c>
      <c r="E26" s="1390">
        <v>20</v>
      </c>
      <c r="F26" s="1501">
        <v>20</v>
      </c>
      <c r="G26" s="1501" t="s">
        <v>418</v>
      </c>
      <c r="H26" s="1501" t="s">
        <v>418</v>
      </c>
      <c r="I26" s="1502" t="s">
        <v>60</v>
      </c>
      <c r="J26" s="1474">
        <v>200</v>
      </c>
      <c r="K26" s="1473">
        <f t="shared" si="0"/>
        <v>-125.56119023859205</v>
      </c>
      <c r="L26" s="14">
        <f t="shared" si="1"/>
        <v>79.999999999999986</v>
      </c>
      <c r="M26" s="344" t="s">
        <v>1901</v>
      </c>
      <c r="N26" s="344">
        <v>20</v>
      </c>
      <c r="O26" s="1505">
        <f t="shared" si="2"/>
        <v>0</v>
      </c>
      <c r="P26" t="s">
        <v>1927</v>
      </c>
    </row>
    <row r="27" spans="1:16">
      <c r="D27" s="323">
        <f>F27/60</f>
        <v>12.1</v>
      </c>
      <c r="F27" s="336">
        <f>SUM(F17:F26)</f>
        <v>726</v>
      </c>
      <c r="G27" s="17"/>
      <c r="H27" s="17"/>
      <c r="J27" s="323">
        <f>L27/F27*50</f>
        <v>255.50964187327821</v>
      </c>
      <c r="L27" s="17">
        <f>SUM(L17:L26)</f>
        <v>3709.9999999999995</v>
      </c>
    </row>
  </sheetData>
  <pageMargins left="0.7" right="0.7" top="0.75" bottom="0.75" header="0.3" footer="0.3"/>
  <pageSetup paperSize="9" scale="7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BB69-A39B-4C09-8A45-B10DE788924B}">
  <dimension ref="A1:V28"/>
  <sheetViews>
    <sheetView workbookViewId="0">
      <selection activeCell="B36" sqref="B36"/>
    </sheetView>
  </sheetViews>
  <sheetFormatPr defaultRowHeight="14.5"/>
  <cols>
    <col min="1" max="1" width="14.6328125" bestFit="1" customWidth="1"/>
    <col min="2" max="2" width="13.90625" customWidth="1"/>
    <col min="3" max="3" width="20" customWidth="1"/>
    <col min="7" max="7" width="9.90625" bestFit="1" customWidth="1"/>
    <col min="8" max="8" width="14" bestFit="1" customWidth="1"/>
    <col min="9" max="9" width="8.81640625" style="17"/>
    <col min="11" max="11" width="8.81640625" style="16"/>
    <col min="12" max="12" width="12.08984375" customWidth="1"/>
    <col min="13" max="13" width="10.6328125" customWidth="1"/>
    <col min="15" max="15" width="11.81640625" customWidth="1"/>
    <col min="16" max="17" width="18.1796875" customWidth="1"/>
    <col min="18" max="18" width="15.81640625" bestFit="1" customWidth="1"/>
    <col min="19" max="20" width="15.81640625" customWidth="1"/>
  </cols>
  <sheetData>
    <row r="1" spans="1:22" ht="15.5">
      <c r="A1" s="1478"/>
      <c r="B1" s="1478"/>
      <c r="C1" s="1752" t="s">
        <v>1718</v>
      </c>
      <c r="D1" s="1752"/>
      <c r="E1" s="1752"/>
      <c r="F1" s="1752"/>
      <c r="G1" s="1752"/>
      <c r="K1" s="16" t="s">
        <v>134</v>
      </c>
      <c r="L1">
        <v>315.39999999999998</v>
      </c>
    </row>
    <row r="2" spans="1:22">
      <c r="A2" s="1479" t="s">
        <v>1719</v>
      </c>
      <c r="B2" s="1479" t="s">
        <v>22</v>
      </c>
      <c r="C2" s="1479" t="s">
        <v>21</v>
      </c>
      <c r="D2" s="1479" t="s">
        <v>23</v>
      </c>
      <c r="E2" s="1479" t="s">
        <v>24</v>
      </c>
      <c r="F2" s="1479" t="s">
        <v>1573</v>
      </c>
      <c r="G2" s="1479" t="s">
        <v>812</v>
      </c>
      <c r="H2" s="1479" t="s">
        <v>1448</v>
      </c>
      <c r="I2" s="1480" t="s">
        <v>1720</v>
      </c>
      <c r="J2" s="1479" t="s">
        <v>541</v>
      </c>
      <c r="K2" s="1481" t="s">
        <v>396</v>
      </c>
      <c r="L2" s="1479" t="s">
        <v>1129</v>
      </c>
      <c r="M2" s="1479" t="s">
        <v>679</v>
      </c>
      <c r="N2" s="1479" t="s">
        <v>1128</v>
      </c>
      <c r="O2" s="1544" t="s">
        <v>1641</v>
      </c>
      <c r="P2" s="520" t="s">
        <v>1572</v>
      </c>
      <c r="Q2" s="520"/>
      <c r="R2" s="14" t="s">
        <v>1733</v>
      </c>
      <c r="U2" s="17"/>
      <c r="V2" s="17" t="s">
        <v>678</v>
      </c>
    </row>
    <row r="3" spans="1:22">
      <c r="A3" s="1482" t="s">
        <v>1721</v>
      </c>
      <c r="B3" s="1482" t="s">
        <v>1723</v>
      </c>
      <c r="C3" s="1482" t="s">
        <v>1724</v>
      </c>
      <c r="D3" s="1482" t="s">
        <v>42</v>
      </c>
      <c r="E3" s="1482">
        <v>4</v>
      </c>
      <c r="F3" s="1482">
        <v>13</v>
      </c>
      <c r="G3" s="1482">
        <f t="shared" ref="G3:G23" si="0">E3*60+F3</f>
        <v>253</v>
      </c>
      <c r="H3" s="14" t="s">
        <v>621</v>
      </c>
      <c r="I3" s="1483" t="s">
        <v>54</v>
      </c>
      <c r="J3" s="1482">
        <v>420</v>
      </c>
      <c r="K3" s="1484">
        <f t="shared" ref="K3:K23" si="1">J3/1.1023-$L$1</f>
        <v>65.621500498956721</v>
      </c>
      <c r="L3" s="14" t="s">
        <v>354</v>
      </c>
      <c r="M3" s="14" t="s">
        <v>434</v>
      </c>
      <c r="N3" s="14">
        <f t="shared" ref="N3:N23" si="2">G3/60*J3*1.2</f>
        <v>2125.1999999999998</v>
      </c>
      <c r="O3" s="520">
        <v>38013</v>
      </c>
      <c r="P3" s="520">
        <v>245</v>
      </c>
      <c r="Q3" s="520" t="str">
        <f t="shared" ref="Q3:Q23" si="3">CONCATENATE(B3,D3)</f>
        <v>43KN0032AA</v>
      </c>
      <c r="R3" s="32"/>
      <c r="S3" s="130">
        <v>244.5</v>
      </c>
      <c r="T3" s="14"/>
      <c r="U3" s="520">
        <v>245</v>
      </c>
      <c r="V3">
        <f>R3/60*J3*1.2</f>
        <v>0</v>
      </c>
    </row>
    <row r="4" spans="1:22">
      <c r="A4" s="1482" t="s">
        <v>1721</v>
      </c>
      <c r="B4" s="1482" t="s">
        <v>1725</v>
      </c>
      <c r="C4" s="1482" t="s">
        <v>519</v>
      </c>
      <c r="D4" s="1482" t="s">
        <v>42</v>
      </c>
      <c r="E4" s="1482">
        <v>9</v>
      </c>
      <c r="F4" s="1482">
        <v>47</v>
      </c>
      <c r="G4" s="1482">
        <f t="shared" si="0"/>
        <v>587</v>
      </c>
      <c r="H4" s="14" t="s">
        <v>621</v>
      </c>
      <c r="I4" s="1483" t="s">
        <v>45</v>
      </c>
      <c r="J4" s="1482">
        <v>420</v>
      </c>
      <c r="K4" s="1484">
        <f t="shared" si="1"/>
        <v>65.621500498956721</v>
      </c>
      <c r="L4" s="14" t="s">
        <v>354</v>
      </c>
      <c r="M4" s="14" t="s">
        <v>434</v>
      </c>
      <c r="N4" s="14">
        <f t="shared" si="2"/>
        <v>4930.8</v>
      </c>
      <c r="O4" s="520">
        <v>38014</v>
      </c>
      <c r="P4" s="520">
        <v>578.9</v>
      </c>
      <c r="Q4" s="520" t="str">
        <f t="shared" si="3"/>
        <v>45KN2007AA</v>
      </c>
      <c r="R4" s="32"/>
      <c r="S4" s="130">
        <v>577</v>
      </c>
      <c r="T4" s="14"/>
      <c r="U4" s="520">
        <v>578.9</v>
      </c>
      <c r="V4">
        <f t="shared" ref="V4:V23" si="4">R4/60*J4*1.2</f>
        <v>0</v>
      </c>
    </row>
    <row r="5" spans="1:22">
      <c r="A5" s="1482" t="s">
        <v>1721</v>
      </c>
      <c r="B5" s="1482" t="s">
        <v>1726</v>
      </c>
      <c r="C5" s="1482" t="s">
        <v>239</v>
      </c>
      <c r="D5" s="1482" t="s">
        <v>42</v>
      </c>
      <c r="E5" s="1482">
        <v>3</v>
      </c>
      <c r="F5" s="1482">
        <v>35</v>
      </c>
      <c r="G5" s="1482">
        <f t="shared" si="0"/>
        <v>215</v>
      </c>
      <c r="H5" s="14" t="s">
        <v>621</v>
      </c>
      <c r="I5" s="1483" t="s">
        <v>94</v>
      </c>
      <c r="J5" s="1482">
        <v>420</v>
      </c>
      <c r="K5" s="1484">
        <f t="shared" si="1"/>
        <v>65.621500498956721</v>
      </c>
      <c r="L5" s="14" t="s">
        <v>354</v>
      </c>
      <c r="M5" s="14" t="s">
        <v>434</v>
      </c>
      <c r="N5" s="14">
        <f t="shared" si="2"/>
        <v>1806</v>
      </c>
      <c r="O5" s="520">
        <v>38015</v>
      </c>
      <c r="P5" s="520">
        <v>205.9</v>
      </c>
      <c r="Q5" s="520" t="str">
        <f t="shared" si="3"/>
        <v>43KN0036AA</v>
      </c>
      <c r="R5" s="32"/>
      <c r="S5" s="130">
        <v>207.4</v>
      </c>
      <c r="T5" s="14"/>
      <c r="U5" s="520">
        <v>205.9</v>
      </c>
      <c r="V5">
        <f t="shared" si="4"/>
        <v>0</v>
      </c>
    </row>
    <row r="6" spans="1:22">
      <c r="A6" s="1482" t="s">
        <v>1721</v>
      </c>
      <c r="B6" s="1482" t="s">
        <v>1723</v>
      </c>
      <c r="C6" s="1482" t="s">
        <v>1724</v>
      </c>
      <c r="D6" s="1482" t="s">
        <v>43</v>
      </c>
      <c r="E6" s="1482">
        <v>37</v>
      </c>
      <c r="F6" s="1482">
        <v>53</v>
      </c>
      <c r="G6" s="1482">
        <f t="shared" si="0"/>
        <v>2273</v>
      </c>
      <c r="H6" s="14" t="s">
        <v>621</v>
      </c>
      <c r="I6" s="1483" t="s">
        <v>54</v>
      </c>
      <c r="J6" s="1482">
        <v>390</v>
      </c>
      <c r="K6" s="1484">
        <f t="shared" si="1"/>
        <v>38.40567903474556</v>
      </c>
      <c r="L6" s="14" t="s">
        <v>354</v>
      </c>
      <c r="M6" s="14" t="s">
        <v>697</v>
      </c>
      <c r="N6" s="14">
        <f t="shared" si="2"/>
        <v>17729.399999999998</v>
      </c>
      <c r="O6" s="520">
        <v>38017</v>
      </c>
      <c r="P6" s="520">
        <v>2270.1</v>
      </c>
      <c r="Q6" s="520" t="str">
        <f t="shared" si="3"/>
        <v>43KN0032AB</v>
      </c>
      <c r="R6" s="32"/>
      <c r="S6" s="130">
        <v>2267.8000000000002</v>
      </c>
      <c r="T6" s="14"/>
      <c r="U6" s="520">
        <v>2270.1</v>
      </c>
      <c r="V6">
        <f t="shared" si="4"/>
        <v>0</v>
      </c>
    </row>
    <row r="7" spans="1:22">
      <c r="A7" s="1482" t="s">
        <v>1721</v>
      </c>
      <c r="B7" s="1482" t="s">
        <v>1727</v>
      </c>
      <c r="C7" s="1482" t="s">
        <v>241</v>
      </c>
      <c r="D7" s="1482" t="s">
        <v>43</v>
      </c>
      <c r="E7" s="1482">
        <v>7</v>
      </c>
      <c r="F7" s="1482">
        <v>23</v>
      </c>
      <c r="G7" s="1482">
        <f t="shared" si="0"/>
        <v>443</v>
      </c>
      <c r="H7" s="14" t="s">
        <v>621</v>
      </c>
      <c r="I7" s="1483" t="s">
        <v>45</v>
      </c>
      <c r="J7" s="1482">
        <v>390</v>
      </c>
      <c r="K7" s="1484">
        <f t="shared" si="1"/>
        <v>38.40567903474556</v>
      </c>
      <c r="L7" s="14" t="s">
        <v>354</v>
      </c>
      <c r="M7" s="14" t="s">
        <v>697</v>
      </c>
      <c r="N7" s="14">
        <f t="shared" si="2"/>
        <v>3455.4</v>
      </c>
      <c r="O7" s="520">
        <v>38018</v>
      </c>
      <c r="P7" s="520">
        <v>434.9</v>
      </c>
      <c r="Q7" s="520" t="str">
        <f t="shared" si="3"/>
        <v>43KN0033AB</v>
      </c>
      <c r="R7" s="32"/>
      <c r="S7" s="130">
        <v>434.8</v>
      </c>
      <c r="T7" s="14"/>
      <c r="U7" s="520">
        <v>434.9</v>
      </c>
      <c r="V7">
        <f t="shared" si="4"/>
        <v>0</v>
      </c>
    </row>
    <row r="8" spans="1:22">
      <c r="A8" s="1482" t="s">
        <v>1721</v>
      </c>
      <c r="B8" s="1482" t="s">
        <v>1728</v>
      </c>
      <c r="C8" s="1482" t="s">
        <v>241</v>
      </c>
      <c r="D8" s="1482" t="s">
        <v>43</v>
      </c>
      <c r="E8" s="1482">
        <v>15</v>
      </c>
      <c r="F8" s="1482">
        <v>55</v>
      </c>
      <c r="G8" s="1482">
        <f t="shared" si="0"/>
        <v>955</v>
      </c>
      <c r="H8" s="14" t="s">
        <v>621</v>
      </c>
      <c r="I8" s="1483" t="s">
        <v>54</v>
      </c>
      <c r="J8" s="1482">
        <v>390</v>
      </c>
      <c r="K8" s="1484">
        <f t="shared" si="1"/>
        <v>38.40567903474556</v>
      </c>
      <c r="L8" s="14" t="s">
        <v>354</v>
      </c>
      <c r="M8" s="14" t="s">
        <v>697</v>
      </c>
      <c r="N8" s="14">
        <f t="shared" si="2"/>
        <v>7449</v>
      </c>
      <c r="O8" s="520">
        <v>38019</v>
      </c>
      <c r="P8" s="520">
        <v>944.9</v>
      </c>
      <c r="Q8" s="520" t="str">
        <f t="shared" si="3"/>
        <v>43KN0034AB</v>
      </c>
      <c r="R8" s="32"/>
      <c r="S8" s="130">
        <v>941.6</v>
      </c>
      <c r="T8" s="14"/>
      <c r="U8" s="520">
        <v>944.9</v>
      </c>
      <c r="V8">
        <f t="shared" si="4"/>
        <v>0</v>
      </c>
    </row>
    <row r="9" spans="1:22">
      <c r="A9" s="1482" t="s">
        <v>1721</v>
      </c>
      <c r="B9" s="1482" t="s">
        <v>1726</v>
      </c>
      <c r="C9" s="1482" t="s">
        <v>239</v>
      </c>
      <c r="D9" s="1482" t="s">
        <v>43</v>
      </c>
      <c r="E9" s="1482">
        <v>31</v>
      </c>
      <c r="F9" s="1482">
        <v>12</v>
      </c>
      <c r="G9" s="1482">
        <f t="shared" si="0"/>
        <v>1872</v>
      </c>
      <c r="H9" s="14" t="s">
        <v>621</v>
      </c>
      <c r="I9" s="1483" t="s">
        <v>94</v>
      </c>
      <c r="J9" s="1482">
        <v>390</v>
      </c>
      <c r="K9" s="1484">
        <f t="shared" si="1"/>
        <v>38.40567903474556</v>
      </c>
      <c r="L9" s="14" t="s">
        <v>354</v>
      </c>
      <c r="M9" s="14" t="s">
        <v>697</v>
      </c>
      <c r="N9" s="14">
        <f t="shared" si="2"/>
        <v>14601.6</v>
      </c>
      <c r="O9" s="520">
        <v>38020</v>
      </c>
      <c r="P9" s="520">
        <v>1862.5</v>
      </c>
      <c r="Q9" s="520" t="str">
        <f t="shared" si="3"/>
        <v>43KN0036AB</v>
      </c>
      <c r="R9" s="32"/>
      <c r="S9" s="130">
        <v>1863.2</v>
      </c>
      <c r="T9" s="14"/>
      <c r="U9" s="520">
        <v>1862.5</v>
      </c>
      <c r="V9">
        <f t="shared" si="4"/>
        <v>0</v>
      </c>
    </row>
    <row r="10" spans="1:22">
      <c r="A10" s="1482" t="s">
        <v>1721</v>
      </c>
      <c r="B10" s="1482" t="s">
        <v>1729</v>
      </c>
      <c r="C10" s="1482" t="s">
        <v>233</v>
      </c>
      <c r="D10" s="1482" t="s">
        <v>43</v>
      </c>
      <c r="E10" s="1482">
        <v>18</v>
      </c>
      <c r="F10" s="1482">
        <v>46</v>
      </c>
      <c r="G10" s="1482">
        <f t="shared" si="0"/>
        <v>1126</v>
      </c>
      <c r="H10" s="14" t="s">
        <v>621</v>
      </c>
      <c r="I10" s="1483" t="s">
        <v>45</v>
      </c>
      <c r="J10" s="1482">
        <v>390</v>
      </c>
      <c r="K10" s="1484">
        <f t="shared" si="1"/>
        <v>38.40567903474556</v>
      </c>
      <c r="L10" s="14" t="s">
        <v>354</v>
      </c>
      <c r="M10" s="14" t="s">
        <v>697</v>
      </c>
      <c r="N10" s="14">
        <f t="shared" si="2"/>
        <v>8782.7999999999993</v>
      </c>
      <c r="O10" s="520">
        <v>38021</v>
      </c>
      <c r="P10" s="520">
        <v>1116.8</v>
      </c>
      <c r="Q10" s="520" t="str">
        <f t="shared" si="3"/>
        <v>43KN0037AB</v>
      </c>
      <c r="R10" s="32"/>
      <c r="S10" s="130">
        <v>1118.9000000000001</v>
      </c>
      <c r="T10" s="14"/>
      <c r="U10" s="520">
        <v>1116.8</v>
      </c>
      <c r="V10">
        <f t="shared" si="4"/>
        <v>0</v>
      </c>
    </row>
    <row r="11" spans="1:22">
      <c r="A11" s="1482" t="s">
        <v>1721</v>
      </c>
      <c r="B11" s="1482" t="s">
        <v>1730</v>
      </c>
      <c r="C11" s="1482" t="s">
        <v>989</v>
      </c>
      <c r="D11" s="1482" t="s">
        <v>43</v>
      </c>
      <c r="E11" s="1482">
        <v>10</v>
      </c>
      <c r="F11" s="1482">
        <v>50</v>
      </c>
      <c r="G11" s="1482">
        <f t="shared" si="0"/>
        <v>650</v>
      </c>
      <c r="H11" s="14" t="s">
        <v>621</v>
      </c>
      <c r="I11" s="1483" t="s">
        <v>54</v>
      </c>
      <c r="J11" s="1482">
        <v>390</v>
      </c>
      <c r="K11" s="1484">
        <f t="shared" si="1"/>
        <v>38.40567903474556</v>
      </c>
      <c r="L11" s="14" t="s">
        <v>354</v>
      </c>
      <c r="M11" s="14" t="s">
        <v>697</v>
      </c>
      <c r="N11" s="14">
        <f t="shared" si="2"/>
        <v>5070</v>
      </c>
      <c r="O11" s="520">
        <v>38032</v>
      </c>
      <c r="P11" s="520">
        <v>640.6</v>
      </c>
      <c r="Q11" s="520" t="str">
        <f t="shared" si="3"/>
        <v>43KN0054AB</v>
      </c>
      <c r="R11" s="32"/>
      <c r="S11" s="130">
        <v>643.1</v>
      </c>
      <c r="T11" s="14"/>
      <c r="U11" s="520">
        <v>640.6</v>
      </c>
      <c r="V11">
        <f t="shared" si="4"/>
        <v>0</v>
      </c>
    </row>
    <row r="12" spans="1:22">
      <c r="A12" s="1482" t="s">
        <v>1721</v>
      </c>
      <c r="B12" s="1482" t="s">
        <v>1722</v>
      </c>
      <c r="C12" s="1482" t="s">
        <v>243</v>
      </c>
      <c r="D12" s="1482" t="s">
        <v>45</v>
      </c>
      <c r="E12" s="1482">
        <v>52</v>
      </c>
      <c r="F12" s="1482">
        <v>39</v>
      </c>
      <c r="G12" s="1482">
        <f t="shared" si="0"/>
        <v>3159</v>
      </c>
      <c r="H12" s="14" t="s">
        <v>621</v>
      </c>
      <c r="I12" s="1483" t="s">
        <v>54</v>
      </c>
      <c r="J12" s="1482">
        <v>360</v>
      </c>
      <c r="K12" s="1484">
        <f t="shared" si="1"/>
        <v>11.189857570534343</v>
      </c>
      <c r="L12" s="14" t="s">
        <v>354</v>
      </c>
      <c r="M12" s="14" t="s">
        <v>435</v>
      </c>
      <c r="N12" s="14">
        <f t="shared" si="2"/>
        <v>22744.799999999999</v>
      </c>
      <c r="O12" s="520">
        <v>38022</v>
      </c>
      <c r="P12" s="520">
        <v>3155.2</v>
      </c>
      <c r="Q12" s="520" t="str">
        <f t="shared" si="3"/>
        <v>43KN0031C</v>
      </c>
      <c r="R12" s="32"/>
      <c r="S12" s="130">
        <v>3147.3</v>
      </c>
      <c r="T12" s="14"/>
      <c r="U12" s="520">
        <v>3155.2</v>
      </c>
      <c r="V12">
        <f t="shared" si="4"/>
        <v>0</v>
      </c>
    </row>
    <row r="13" spans="1:22">
      <c r="A13" s="1482" t="s">
        <v>1721</v>
      </c>
      <c r="B13" s="1482" t="s">
        <v>1723</v>
      </c>
      <c r="C13" s="1482" t="s">
        <v>1724</v>
      </c>
      <c r="D13" s="1482" t="s">
        <v>45</v>
      </c>
      <c r="E13" s="1482">
        <v>45</v>
      </c>
      <c r="F13" s="1482">
        <v>58</v>
      </c>
      <c r="G13" s="1482">
        <f t="shared" si="0"/>
        <v>2758</v>
      </c>
      <c r="H13" s="14" t="s">
        <v>621</v>
      </c>
      <c r="I13" s="1483" t="s">
        <v>54</v>
      </c>
      <c r="J13" s="1482">
        <v>360</v>
      </c>
      <c r="K13" s="1484">
        <f t="shared" si="1"/>
        <v>11.189857570534343</v>
      </c>
      <c r="L13" s="14" t="s">
        <v>354</v>
      </c>
      <c r="M13" s="14" t="s">
        <v>435</v>
      </c>
      <c r="N13" s="14">
        <f t="shared" si="2"/>
        <v>19857.599999999999</v>
      </c>
      <c r="O13" s="520">
        <v>38023</v>
      </c>
      <c r="P13" s="520">
        <v>2752.5</v>
      </c>
      <c r="Q13" s="520" t="str">
        <f t="shared" si="3"/>
        <v>43KN0032C</v>
      </c>
      <c r="R13" s="32"/>
      <c r="S13" s="130">
        <v>2752.6</v>
      </c>
      <c r="T13" s="14"/>
      <c r="U13" s="520">
        <v>2752.5</v>
      </c>
      <c r="V13">
        <f t="shared" si="4"/>
        <v>0</v>
      </c>
    </row>
    <row r="14" spans="1:22">
      <c r="A14" s="1482" t="s">
        <v>1721</v>
      </c>
      <c r="B14" s="1482" t="s">
        <v>1727</v>
      </c>
      <c r="C14" s="1482" t="s">
        <v>241</v>
      </c>
      <c r="D14" s="1482" t="s">
        <v>45</v>
      </c>
      <c r="E14" s="1482">
        <v>17</v>
      </c>
      <c r="F14" s="1482">
        <v>62</v>
      </c>
      <c r="G14" s="1482">
        <f t="shared" si="0"/>
        <v>1082</v>
      </c>
      <c r="H14" s="14" t="s">
        <v>621</v>
      </c>
      <c r="I14" s="1483" t="s">
        <v>54</v>
      </c>
      <c r="J14" s="1482">
        <v>360</v>
      </c>
      <c r="K14" s="1484">
        <f t="shared" si="1"/>
        <v>11.189857570534343</v>
      </c>
      <c r="L14" s="14" t="s">
        <v>354</v>
      </c>
      <c r="M14" s="14" t="s">
        <v>435</v>
      </c>
      <c r="N14" s="14">
        <f t="shared" si="2"/>
        <v>7790.4000000000005</v>
      </c>
      <c r="O14" s="520">
        <v>38024</v>
      </c>
      <c r="P14" s="520">
        <v>1075.9000000000001</v>
      </c>
      <c r="Q14" s="520" t="str">
        <f t="shared" si="3"/>
        <v>43KN0033C</v>
      </c>
      <c r="R14" s="32"/>
      <c r="S14" s="130">
        <v>1074.8</v>
      </c>
      <c r="T14" s="14"/>
      <c r="U14" s="520">
        <v>1075.9000000000001</v>
      </c>
      <c r="V14">
        <f t="shared" si="4"/>
        <v>0</v>
      </c>
    </row>
    <row r="15" spans="1:22">
      <c r="A15" s="1482" t="s">
        <v>1721</v>
      </c>
      <c r="B15" s="1482" t="s">
        <v>1728</v>
      </c>
      <c r="C15" s="1482" t="s">
        <v>241</v>
      </c>
      <c r="D15" s="1482" t="s">
        <v>45</v>
      </c>
      <c r="E15" s="1482">
        <v>18</v>
      </c>
      <c r="F15" s="1482">
        <v>27</v>
      </c>
      <c r="G15" s="1482">
        <f t="shared" si="0"/>
        <v>1107</v>
      </c>
      <c r="H15" s="14" t="s">
        <v>621</v>
      </c>
      <c r="I15" s="1483" t="s">
        <v>56</v>
      </c>
      <c r="J15" s="1482">
        <v>360</v>
      </c>
      <c r="K15" s="1484">
        <f t="shared" si="1"/>
        <v>11.189857570534343</v>
      </c>
      <c r="L15" s="14" t="s">
        <v>354</v>
      </c>
      <c r="M15" s="14" t="s">
        <v>435</v>
      </c>
      <c r="N15" s="14">
        <f t="shared" si="2"/>
        <v>7970.4</v>
      </c>
      <c r="O15" s="520">
        <v>38025</v>
      </c>
      <c r="P15" s="520">
        <v>1095.8</v>
      </c>
      <c r="Q15" s="520" t="str">
        <f t="shared" si="3"/>
        <v>43KN0034C</v>
      </c>
      <c r="R15" s="32"/>
      <c r="S15" s="130">
        <v>1095.9000000000001</v>
      </c>
      <c r="T15" s="14"/>
      <c r="U15" s="520">
        <v>1095.8</v>
      </c>
      <c r="V15">
        <f t="shared" si="4"/>
        <v>0</v>
      </c>
    </row>
    <row r="16" spans="1:22">
      <c r="A16" s="1482" t="s">
        <v>1721</v>
      </c>
      <c r="B16" s="1482" t="s">
        <v>1726</v>
      </c>
      <c r="C16" s="1482" t="s">
        <v>239</v>
      </c>
      <c r="D16" s="1482" t="s">
        <v>45</v>
      </c>
      <c r="E16" s="1482">
        <v>25</v>
      </c>
      <c r="F16" s="1482">
        <v>50</v>
      </c>
      <c r="G16" s="1482">
        <f t="shared" si="0"/>
        <v>1550</v>
      </c>
      <c r="H16" s="14" t="s">
        <v>621</v>
      </c>
      <c r="I16" s="1483" t="s">
        <v>54</v>
      </c>
      <c r="J16" s="1482">
        <v>360</v>
      </c>
      <c r="K16" s="1484">
        <f t="shared" si="1"/>
        <v>11.189857570534343</v>
      </c>
      <c r="L16" s="14" t="s">
        <v>354</v>
      </c>
      <c r="M16" s="14" t="s">
        <v>435</v>
      </c>
      <c r="N16" s="14">
        <f t="shared" si="2"/>
        <v>11160</v>
      </c>
      <c r="O16" s="520">
        <v>38026</v>
      </c>
      <c r="P16" s="520">
        <v>1539.3</v>
      </c>
      <c r="Q16" s="520" t="str">
        <f t="shared" si="3"/>
        <v>43KN0036C</v>
      </c>
      <c r="R16" s="32"/>
      <c r="S16" s="130">
        <v>1543.6</v>
      </c>
      <c r="T16" s="14"/>
      <c r="U16" s="520">
        <v>1539.3</v>
      </c>
      <c r="V16">
        <f t="shared" si="4"/>
        <v>0</v>
      </c>
    </row>
    <row r="17" spans="1:22">
      <c r="A17" s="1482" t="s">
        <v>1721</v>
      </c>
      <c r="B17" s="1482" t="s">
        <v>1729</v>
      </c>
      <c r="C17" s="1482" t="s">
        <v>233</v>
      </c>
      <c r="D17" s="1482" t="s">
        <v>45</v>
      </c>
      <c r="E17" s="1482">
        <v>19</v>
      </c>
      <c r="F17" s="1482">
        <v>25</v>
      </c>
      <c r="G17" s="1482">
        <f t="shared" si="0"/>
        <v>1165</v>
      </c>
      <c r="H17" s="14" t="s">
        <v>621</v>
      </c>
      <c r="I17" s="1483" t="s">
        <v>54</v>
      </c>
      <c r="J17" s="1482">
        <v>360</v>
      </c>
      <c r="K17" s="1484">
        <f t="shared" si="1"/>
        <v>11.189857570534343</v>
      </c>
      <c r="L17" s="14" t="s">
        <v>354</v>
      </c>
      <c r="M17" s="14" t="s">
        <v>435</v>
      </c>
      <c r="N17" s="14">
        <f t="shared" si="2"/>
        <v>8388</v>
      </c>
      <c r="O17" s="520">
        <v>38027</v>
      </c>
      <c r="P17" s="520">
        <v>1156.9000000000001</v>
      </c>
      <c r="Q17" s="520" t="str">
        <f t="shared" si="3"/>
        <v>43KN0037C</v>
      </c>
      <c r="R17" s="32"/>
      <c r="S17" s="130">
        <v>1160</v>
      </c>
      <c r="T17" s="14"/>
      <c r="U17" s="520">
        <v>1156.9000000000001</v>
      </c>
      <c r="V17">
        <f t="shared" si="4"/>
        <v>0</v>
      </c>
    </row>
    <row r="18" spans="1:22">
      <c r="A18" s="1482" t="s">
        <v>1721</v>
      </c>
      <c r="B18" s="1482" t="s">
        <v>1730</v>
      </c>
      <c r="C18" s="1482" t="s">
        <v>989</v>
      </c>
      <c r="D18" s="1482" t="s">
        <v>45</v>
      </c>
      <c r="E18" s="1482">
        <v>20</v>
      </c>
      <c r="F18" s="1482">
        <v>52</v>
      </c>
      <c r="G18" s="1482">
        <f t="shared" si="0"/>
        <v>1252</v>
      </c>
      <c r="H18" s="14" t="s">
        <v>621</v>
      </c>
      <c r="I18" s="1483" t="s">
        <v>54</v>
      </c>
      <c r="J18" s="1482">
        <v>360</v>
      </c>
      <c r="K18" s="1484">
        <f t="shared" si="1"/>
        <v>11.189857570534343</v>
      </c>
      <c r="L18" s="14" t="s">
        <v>354</v>
      </c>
      <c r="M18" s="14" t="s">
        <v>435</v>
      </c>
      <c r="N18" s="14">
        <f t="shared" si="2"/>
        <v>9014.4</v>
      </c>
      <c r="O18" s="520">
        <v>38028</v>
      </c>
      <c r="P18" s="520">
        <v>1242.4000000000001</v>
      </c>
      <c r="Q18" s="520" t="str">
        <f t="shared" si="3"/>
        <v>43KN0054C</v>
      </c>
      <c r="R18" s="32"/>
      <c r="S18" s="130">
        <v>1247.0999999999999</v>
      </c>
      <c r="T18" s="14"/>
      <c r="U18" s="520">
        <v>1242.4000000000001</v>
      </c>
      <c r="V18">
        <f t="shared" si="4"/>
        <v>0</v>
      </c>
    </row>
    <row r="19" spans="1:22">
      <c r="A19" s="1482" t="s">
        <v>1721</v>
      </c>
      <c r="B19" s="1482" t="s">
        <v>1723</v>
      </c>
      <c r="C19" s="1482" t="s">
        <v>1724</v>
      </c>
      <c r="D19" s="1482" t="s">
        <v>44</v>
      </c>
      <c r="E19" s="1482">
        <v>4</v>
      </c>
      <c r="F19" s="1482">
        <v>30</v>
      </c>
      <c r="G19" s="1482">
        <f t="shared" si="0"/>
        <v>270</v>
      </c>
      <c r="H19" s="14" t="s">
        <v>621</v>
      </c>
      <c r="I19" s="1483" t="s">
        <v>54</v>
      </c>
      <c r="J19" s="1482">
        <v>371</v>
      </c>
      <c r="K19" s="1484">
        <f t="shared" si="1"/>
        <v>21.168992107411782</v>
      </c>
      <c r="L19" s="14" t="s">
        <v>354</v>
      </c>
      <c r="M19" s="14" t="s">
        <v>697</v>
      </c>
      <c r="N19" s="14">
        <f t="shared" si="2"/>
        <v>2003.3999999999999</v>
      </c>
      <c r="O19" s="520">
        <v>38030</v>
      </c>
      <c r="P19" s="520">
        <v>262</v>
      </c>
      <c r="Q19" s="520" t="str">
        <f t="shared" si="3"/>
        <v>43KN0032PB</v>
      </c>
      <c r="R19" s="32"/>
      <c r="S19" s="130">
        <v>261.5</v>
      </c>
      <c r="T19" s="14"/>
      <c r="U19" s="520">
        <v>262</v>
      </c>
      <c r="V19">
        <f t="shared" si="4"/>
        <v>0</v>
      </c>
    </row>
    <row r="20" spans="1:22">
      <c r="A20" s="1482" t="s">
        <v>1721</v>
      </c>
      <c r="B20" s="1482" t="s">
        <v>1731</v>
      </c>
      <c r="C20" s="1482" t="s">
        <v>519</v>
      </c>
      <c r="D20" s="1482" t="s">
        <v>44</v>
      </c>
      <c r="E20" s="1482">
        <v>8</v>
      </c>
      <c r="F20" s="1482">
        <v>14</v>
      </c>
      <c r="G20" s="1482">
        <f t="shared" si="0"/>
        <v>494</v>
      </c>
      <c r="H20" s="14" t="s">
        <v>621</v>
      </c>
      <c r="I20" s="1483" t="s">
        <v>45</v>
      </c>
      <c r="J20" s="1482">
        <v>371</v>
      </c>
      <c r="K20" s="1484">
        <f t="shared" si="1"/>
        <v>21.168992107411782</v>
      </c>
      <c r="L20" s="14" t="s">
        <v>354</v>
      </c>
      <c r="M20" s="14" t="s">
        <v>697</v>
      </c>
      <c r="N20" s="14">
        <f t="shared" si="2"/>
        <v>3665.4799999999991</v>
      </c>
      <c r="O20" s="520">
        <v>38031</v>
      </c>
      <c r="P20" s="520">
        <v>486</v>
      </c>
      <c r="Q20" s="520" t="str">
        <f t="shared" si="3"/>
        <v>45KN2001PB</v>
      </c>
      <c r="R20" s="32"/>
      <c r="S20" s="130">
        <v>486.8</v>
      </c>
      <c r="T20" s="14"/>
      <c r="U20" s="520">
        <v>486</v>
      </c>
      <c r="V20">
        <f t="shared" si="4"/>
        <v>0</v>
      </c>
    </row>
    <row r="21" spans="1:22">
      <c r="A21" s="1628" t="s">
        <v>1721</v>
      </c>
      <c r="B21" s="1628" t="s">
        <v>1722</v>
      </c>
      <c r="C21" s="1628" t="s">
        <v>243</v>
      </c>
      <c r="D21" s="1628" t="s">
        <v>42</v>
      </c>
      <c r="E21" s="1628">
        <v>5</v>
      </c>
      <c r="F21" s="1628">
        <v>22</v>
      </c>
      <c r="G21" s="1628">
        <f t="shared" si="0"/>
        <v>322</v>
      </c>
      <c r="H21" s="32" t="s">
        <v>621</v>
      </c>
      <c r="I21" s="1629" t="s">
        <v>89</v>
      </c>
      <c r="J21" s="1628">
        <v>420</v>
      </c>
      <c r="K21" s="1630">
        <f t="shared" si="1"/>
        <v>65.621500498956721</v>
      </c>
      <c r="L21" s="32" t="s">
        <v>351</v>
      </c>
      <c r="M21" s="32" t="s">
        <v>633</v>
      </c>
      <c r="N21" s="32">
        <f t="shared" si="2"/>
        <v>2704.7999999999997</v>
      </c>
      <c r="O21" s="32">
        <v>38012</v>
      </c>
      <c r="P21" s="32">
        <v>312.89999999999998</v>
      </c>
      <c r="Q21" s="32" t="str">
        <f t="shared" si="3"/>
        <v>43KN0031AA</v>
      </c>
      <c r="R21" s="130">
        <v>311.60000000000002</v>
      </c>
      <c r="S21" s="32"/>
      <c r="T21" s="32"/>
      <c r="U21" s="520">
        <v>312.89999999999998</v>
      </c>
      <c r="V21">
        <f t="shared" si="4"/>
        <v>2617.4399999999996</v>
      </c>
    </row>
    <row r="22" spans="1:22">
      <c r="A22" s="1628" t="s">
        <v>1721</v>
      </c>
      <c r="B22" s="1628" t="s">
        <v>1722</v>
      </c>
      <c r="C22" s="1628" t="s">
        <v>243</v>
      </c>
      <c r="D22" s="1628" t="s">
        <v>43</v>
      </c>
      <c r="E22" s="1628">
        <v>45</v>
      </c>
      <c r="F22" s="1628">
        <v>55</v>
      </c>
      <c r="G22" s="1628">
        <f t="shared" si="0"/>
        <v>2755</v>
      </c>
      <c r="H22" s="32" t="s">
        <v>621</v>
      </c>
      <c r="I22" s="1629" t="s">
        <v>89</v>
      </c>
      <c r="J22" s="1628">
        <v>390</v>
      </c>
      <c r="K22" s="1630">
        <f t="shared" si="1"/>
        <v>38.40567903474556</v>
      </c>
      <c r="L22" s="32" t="s">
        <v>351</v>
      </c>
      <c r="M22" s="32" t="s">
        <v>697</v>
      </c>
      <c r="N22" s="32">
        <f t="shared" si="2"/>
        <v>21489</v>
      </c>
      <c r="O22" s="32">
        <v>38016</v>
      </c>
      <c r="P22" s="32">
        <v>2749.3</v>
      </c>
      <c r="Q22" s="32" t="str">
        <f t="shared" si="3"/>
        <v>43KN0031AB</v>
      </c>
      <c r="R22" s="130">
        <v>2741.6</v>
      </c>
      <c r="S22" s="32"/>
      <c r="T22" s="32"/>
      <c r="U22" s="520">
        <v>2749.3</v>
      </c>
      <c r="V22">
        <f t="shared" si="4"/>
        <v>21384.48</v>
      </c>
    </row>
    <row r="23" spans="1:22" ht="15" thickBot="1">
      <c r="A23" s="1628" t="s">
        <v>1721</v>
      </c>
      <c r="B23" s="1628" t="s">
        <v>1722</v>
      </c>
      <c r="C23" s="1628" t="s">
        <v>243</v>
      </c>
      <c r="D23" s="1628" t="s">
        <v>44</v>
      </c>
      <c r="E23" s="1628">
        <v>5</v>
      </c>
      <c r="F23" s="1628">
        <v>44</v>
      </c>
      <c r="G23" s="1628">
        <f t="shared" si="0"/>
        <v>344</v>
      </c>
      <c r="H23" s="32" t="s">
        <v>621</v>
      </c>
      <c r="I23" s="1629" t="s">
        <v>89</v>
      </c>
      <c r="J23" s="1628">
        <v>371</v>
      </c>
      <c r="K23" s="1630">
        <f t="shared" si="1"/>
        <v>21.168992107411782</v>
      </c>
      <c r="L23" s="32" t="s">
        <v>351</v>
      </c>
      <c r="M23" s="32" t="s">
        <v>1060</v>
      </c>
      <c r="N23" s="32">
        <f t="shared" si="2"/>
        <v>2552.48</v>
      </c>
      <c r="O23" s="32">
        <v>38029</v>
      </c>
      <c r="P23" s="32">
        <v>334.9</v>
      </c>
      <c r="Q23" s="32" t="str">
        <f t="shared" si="3"/>
        <v>43KN0031PB</v>
      </c>
      <c r="R23" s="1703">
        <v>333.6</v>
      </c>
      <c r="S23" s="38"/>
      <c r="T23" s="32"/>
      <c r="U23" s="520">
        <v>334.9</v>
      </c>
      <c r="V23">
        <f t="shared" si="4"/>
        <v>2475.3120000000004</v>
      </c>
    </row>
    <row r="24" spans="1:22" ht="15" thickBot="1">
      <c r="E24">
        <f t="shared" ref="E24:F24" si="5">SUM(E3:E23)</f>
        <v>397</v>
      </c>
      <c r="F24">
        <f t="shared" si="5"/>
        <v>812</v>
      </c>
      <c r="G24">
        <f>SUM(G3:G23)</f>
        <v>24632</v>
      </c>
      <c r="N24">
        <f>SUM(N3:N23)</f>
        <v>185290.96</v>
      </c>
      <c r="R24" s="1704">
        <f>SUM(R3:R23)</f>
        <v>3386.7999999999997</v>
      </c>
      <c r="S24" s="1705">
        <f>SUM(S3:S23)</f>
        <v>21067.899999999998</v>
      </c>
      <c r="T24" s="1486"/>
      <c r="V24" s="17">
        <f>SUM(V3:V23)</f>
        <v>26477.232</v>
      </c>
    </row>
    <row r="25" spans="1:22">
      <c r="E25" s="773">
        <f>G24/60</f>
        <v>410.53333333333336</v>
      </c>
      <c r="R25" s="111">
        <f>R24/60</f>
        <v>56.446666666666665</v>
      </c>
      <c r="S25" s="111">
        <f>S24/60</f>
        <v>351.1316666666666</v>
      </c>
      <c r="T25" s="111"/>
      <c r="V25" s="111"/>
    </row>
    <row r="26" spans="1:22">
      <c r="R26" s="1673">
        <v>90579</v>
      </c>
      <c r="S26">
        <v>90575</v>
      </c>
    </row>
    <row r="27" spans="1:22" ht="15" thickBot="1"/>
    <row r="28" spans="1:22" ht="15" thickBot="1">
      <c r="Q28" s="1702" t="s">
        <v>29</v>
      </c>
      <c r="R28" s="1706">
        <f>SUMPRODUCT(J21:J23,R21:R23)/R24</f>
        <v>390.88862643203032</v>
      </c>
      <c r="S28" s="1707">
        <f>SUMPRODUCT(J3:J20,S3:S20)/S24</f>
        <v>373.67233089202057</v>
      </c>
    </row>
  </sheetData>
  <sortState xmlns:xlrd2="http://schemas.microsoft.com/office/spreadsheetml/2017/richdata2" ref="A3:U23">
    <sortCondition ref="L3:L23"/>
  </sortState>
  <mergeCells count="1">
    <mergeCell ref="C1:G1"/>
  </mergeCells>
  <pageMargins left="0.7" right="0.7" top="0.75" bottom="0.75" header="0.3" footer="0.3"/>
  <pageSetup paperSize="9" orientation="portrait" r:id="rId1"/>
  <ignoredErrors>
    <ignoredError sqref="R28:S28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E4CD-2391-481E-97A7-0D5BC46687C1}">
  <dimension ref="A1:L7"/>
  <sheetViews>
    <sheetView workbookViewId="0">
      <selection activeCell="I15" sqref="I15"/>
    </sheetView>
  </sheetViews>
  <sheetFormatPr defaultRowHeight="14.5"/>
  <cols>
    <col min="1" max="1" width="14.453125" bestFit="1" customWidth="1"/>
    <col min="2" max="2" width="13.1796875" bestFit="1" customWidth="1"/>
    <col min="3" max="3" width="6.81640625" bestFit="1" customWidth="1"/>
    <col min="4" max="4" width="5.54296875" bestFit="1" customWidth="1"/>
    <col min="5" max="5" width="7.6328125" bestFit="1" customWidth="1"/>
    <col min="6" max="6" width="9.90625" bestFit="1" customWidth="1"/>
    <col min="7" max="7" width="9.54296875" bestFit="1" customWidth="1"/>
    <col min="8" max="8" width="13.81640625" bestFit="1" customWidth="1"/>
    <col min="9" max="9" width="8.453125" bestFit="1" customWidth="1"/>
    <col min="10" max="10" width="15.54296875" customWidth="1"/>
    <col min="11" max="11" width="14.08984375" bestFit="1" customWidth="1"/>
    <col min="12" max="12" width="16.1796875" customWidth="1"/>
  </cols>
  <sheetData>
    <row r="1" spans="1:12" ht="15" thickBot="1">
      <c r="J1" s="1537" t="s">
        <v>1</v>
      </c>
      <c r="K1" s="1538">
        <v>90581</v>
      </c>
    </row>
    <row r="2" spans="1:12" ht="15" thickBot="1">
      <c r="A2" s="1529" t="s">
        <v>709</v>
      </c>
      <c r="B2" s="1530" t="s">
        <v>710</v>
      </c>
      <c r="C2" s="1530" t="s">
        <v>23</v>
      </c>
      <c r="D2" s="1530" t="s">
        <v>24</v>
      </c>
      <c r="E2" s="1530" t="s">
        <v>1573</v>
      </c>
      <c r="F2" s="1531" t="s">
        <v>112</v>
      </c>
      <c r="G2" s="1532" t="s">
        <v>1646</v>
      </c>
      <c r="H2" s="1532"/>
      <c r="I2" s="1531" t="s">
        <v>1914</v>
      </c>
      <c r="J2" s="1539" t="s">
        <v>1856</v>
      </c>
      <c r="K2" s="1540" t="s">
        <v>1857</v>
      </c>
      <c r="L2" s="14" t="s">
        <v>1925</v>
      </c>
    </row>
    <row r="3" spans="1:12" ht="15" thickBot="1">
      <c r="A3" s="1533" t="s">
        <v>1915</v>
      </c>
      <c r="B3" s="1534" t="s">
        <v>1916</v>
      </c>
      <c r="C3" s="1534" t="s">
        <v>51</v>
      </c>
      <c r="D3" s="1534">
        <v>45</v>
      </c>
      <c r="E3" s="1534">
        <v>3</v>
      </c>
      <c r="F3" s="1535" t="s">
        <v>1917</v>
      </c>
      <c r="G3" s="1536" t="s">
        <v>1918</v>
      </c>
      <c r="H3" s="1536" t="s">
        <v>1919</v>
      </c>
      <c r="I3" s="1535" t="s">
        <v>1920</v>
      </c>
      <c r="J3" s="1304" t="s">
        <v>1926</v>
      </c>
      <c r="K3">
        <v>2702</v>
      </c>
      <c r="L3" s="14" t="s">
        <v>1927</v>
      </c>
    </row>
    <row r="4" spans="1:12" ht="15" thickBot="1">
      <c r="A4" s="1533"/>
      <c r="B4" s="1534"/>
      <c r="C4" s="1534"/>
      <c r="D4" s="1534"/>
      <c r="E4" s="1534"/>
      <c r="F4" s="1535"/>
      <c r="G4" s="1536"/>
      <c r="H4" s="1536"/>
      <c r="I4" s="1535"/>
      <c r="J4" s="1304"/>
      <c r="L4" s="14"/>
    </row>
    <row r="5" spans="1:12" ht="15" thickBot="1">
      <c r="A5" s="1533"/>
      <c r="B5" s="1534"/>
      <c r="C5" s="1534"/>
      <c r="D5" s="1534"/>
      <c r="E5" s="1534"/>
      <c r="F5" s="1535"/>
      <c r="G5" s="1536"/>
      <c r="H5" s="1536"/>
      <c r="I5" s="1535"/>
      <c r="J5" s="1537" t="s">
        <v>1</v>
      </c>
      <c r="K5" s="1541">
        <v>90582</v>
      </c>
      <c r="L5" s="14"/>
    </row>
    <row r="6" spans="1:12" ht="15" thickBot="1">
      <c r="A6" s="1533"/>
      <c r="B6" s="1534"/>
      <c r="C6" s="1534"/>
      <c r="D6" s="1534"/>
      <c r="E6" s="1534"/>
      <c r="F6" s="1535"/>
      <c r="G6" s="1536"/>
      <c r="H6" s="1536"/>
      <c r="I6" s="1535"/>
      <c r="J6" s="1539" t="s">
        <v>1856</v>
      </c>
      <c r="K6" s="1540" t="s">
        <v>1857</v>
      </c>
      <c r="L6" s="14"/>
    </row>
    <row r="7" spans="1:12" ht="15" thickBot="1">
      <c r="A7" s="1533" t="s">
        <v>1915</v>
      </c>
      <c r="B7" s="1534" t="s">
        <v>1916</v>
      </c>
      <c r="C7" s="1534" t="s">
        <v>52</v>
      </c>
      <c r="D7" s="1534">
        <v>88</v>
      </c>
      <c r="E7" s="1534">
        <v>14</v>
      </c>
      <c r="F7" s="1535" t="s">
        <v>1921</v>
      </c>
      <c r="G7" s="1536" t="s">
        <v>1922</v>
      </c>
      <c r="H7" s="1536" t="s">
        <v>1923</v>
      </c>
      <c r="I7" s="1535" t="s">
        <v>1924</v>
      </c>
      <c r="J7" s="1306" t="s">
        <v>1928</v>
      </c>
      <c r="K7" s="1307">
        <v>5294</v>
      </c>
      <c r="L7" s="14" t="s">
        <v>1927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3324-6E2C-41FA-A6B3-F99B9335FE63}">
  <dimension ref="A1:T22"/>
  <sheetViews>
    <sheetView topLeftCell="B1" workbookViewId="0">
      <selection activeCell="T16" sqref="T16"/>
    </sheetView>
  </sheetViews>
  <sheetFormatPr defaultRowHeight="14.5"/>
  <cols>
    <col min="1" max="1" width="14.6328125" bestFit="1" customWidth="1"/>
    <col min="2" max="2" width="10.1796875" customWidth="1"/>
    <col min="3" max="3" width="20" customWidth="1"/>
    <col min="8" max="8" width="9.90625" bestFit="1" customWidth="1"/>
    <col min="9" max="9" width="6.453125" customWidth="1"/>
    <col min="12" max="12" width="11.81640625" customWidth="1"/>
    <col min="14" max="14" width="9.81640625" customWidth="1"/>
    <col min="15" max="15" width="12.453125" bestFit="1" customWidth="1"/>
    <col min="16" max="16" width="15.81640625" bestFit="1" customWidth="1"/>
    <col min="17" max="17" width="15.54296875" bestFit="1" customWidth="1"/>
  </cols>
  <sheetData>
    <row r="1" spans="1:20" ht="16" thickBot="1">
      <c r="A1" s="1478"/>
      <c r="B1" s="1478"/>
      <c r="C1" s="1752" t="s">
        <v>1848</v>
      </c>
      <c r="D1" s="1752"/>
      <c r="E1" s="1752"/>
      <c r="F1" s="1752"/>
      <c r="G1" s="1752"/>
      <c r="H1" s="1752"/>
      <c r="J1" t="s">
        <v>158</v>
      </c>
      <c r="K1">
        <v>316.5</v>
      </c>
    </row>
    <row r="2" spans="1:20">
      <c r="A2" s="1479" t="s">
        <v>1719</v>
      </c>
      <c r="B2" s="1479" t="s">
        <v>22</v>
      </c>
      <c r="C2" s="1479" t="s">
        <v>21</v>
      </c>
      <c r="D2" s="1479" t="s">
        <v>23</v>
      </c>
      <c r="E2" s="1479"/>
      <c r="F2" s="1479" t="s">
        <v>24</v>
      </c>
      <c r="G2" s="1479" t="s">
        <v>1573</v>
      </c>
      <c r="H2" s="1479" t="s">
        <v>812</v>
      </c>
      <c r="I2" s="1479" t="s">
        <v>1448</v>
      </c>
      <c r="J2" s="1479" t="s">
        <v>541</v>
      </c>
      <c r="K2" s="1479" t="s">
        <v>814</v>
      </c>
      <c r="L2" s="1479" t="s">
        <v>679</v>
      </c>
      <c r="M2" s="14" t="s">
        <v>396</v>
      </c>
      <c r="N2" s="14" t="s">
        <v>407</v>
      </c>
      <c r="O2" s="999" t="s">
        <v>1884</v>
      </c>
      <c r="P2" s="1675" t="s">
        <v>406</v>
      </c>
      <c r="Q2" s="1301" t="s">
        <v>1867</v>
      </c>
    </row>
    <row r="3" spans="1:20">
      <c r="A3" s="1482" t="s">
        <v>1721</v>
      </c>
      <c r="B3" s="1482" t="s">
        <v>1849</v>
      </c>
      <c r="C3" s="1482" t="s">
        <v>1850</v>
      </c>
      <c r="D3" s="1482" t="s">
        <v>42</v>
      </c>
      <c r="E3" s="1482"/>
      <c r="F3" s="1482">
        <v>13</v>
      </c>
      <c r="G3" s="1482">
        <v>12</v>
      </c>
      <c r="H3" s="1482">
        <v>783</v>
      </c>
      <c r="I3" s="14" t="s">
        <v>89</v>
      </c>
      <c r="J3" s="14">
        <v>420</v>
      </c>
      <c r="K3" s="14" t="s">
        <v>354</v>
      </c>
      <c r="L3" s="14" t="s">
        <v>434</v>
      </c>
      <c r="M3" s="258">
        <f>J3/1.1023-$K$1</f>
        <v>64.521500498956698</v>
      </c>
      <c r="N3" s="14">
        <f>H3/60*J3*1.2</f>
        <v>6577.2</v>
      </c>
      <c r="O3" s="999" t="s">
        <v>1969</v>
      </c>
      <c r="P3" s="1676">
        <v>783</v>
      </c>
      <c r="Q3" s="1303">
        <v>774.4</v>
      </c>
    </row>
    <row r="4" spans="1:20">
      <c r="A4" s="1482" t="s">
        <v>1721</v>
      </c>
      <c r="B4" s="1482" t="s">
        <v>1851</v>
      </c>
      <c r="C4" s="1482" t="s">
        <v>1852</v>
      </c>
      <c r="D4" s="1482" t="s">
        <v>42</v>
      </c>
      <c r="E4" s="1482"/>
      <c r="F4" s="1482">
        <v>5</v>
      </c>
      <c r="G4" s="1482">
        <v>51</v>
      </c>
      <c r="H4" s="1482">
        <v>342</v>
      </c>
      <c r="I4" s="14" t="s">
        <v>54</v>
      </c>
      <c r="J4" s="14">
        <v>420</v>
      </c>
      <c r="K4" s="14" t="s">
        <v>354</v>
      </c>
      <c r="L4" s="14" t="s">
        <v>434</v>
      </c>
      <c r="M4" s="258">
        <f t="shared" ref="M4:M14" si="0">J4/1.1023-$K$1</f>
        <v>64.521500498956698</v>
      </c>
      <c r="N4" s="14">
        <f t="shared" ref="N4:N14" si="1">H4/60*J4*1.2</f>
        <v>2872.7999999999997</v>
      </c>
      <c r="O4" s="999" t="s">
        <v>1967</v>
      </c>
      <c r="P4" s="1676">
        <v>342</v>
      </c>
      <c r="Q4" s="1303">
        <v>338.6</v>
      </c>
    </row>
    <row r="5" spans="1:20">
      <c r="A5" s="1482" t="s">
        <v>1721</v>
      </c>
      <c r="B5" s="1482" t="s">
        <v>1853</v>
      </c>
      <c r="C5" s="1482" t="s">
        <v>1854</v>
      </c>
      <c r="D5" s="1482" t="s">
        <v>42</v>
      </c>
      <c r="E5" s="1482"/>
      <c r="F5" s="1482">
        <v>3</v>
      </c>
      <c r="G5" s="1482">
        <v>57</v>
      </c>
      <c r="H5" s="1482">
        <v>219</v>
      </c>
      <c r="I5" s="14" t="s">
        <v>54</v>
      </c>
      <c r="J5" s="14">
        <v>420</v>
      </c>
      <c r="K5" s="14" t="s">
        <v>354</v>
      </c>
      <c r="L5" s="14" t="s">
        <v>434</v>
      </c>
      <c r="M5" s="258">
        <f t="shared" si="0"/>
        <v>64.521500498956698</v>
      </c>
      <c r="N5" s="14">
        <f t="shared" si="1"/>
        <v>1839.6</v>
      </c>
      <c r="O5" s="999" t="s">
        <v>1968</v>
      </c>
      <c r="P5" s="1676">
        <v>219</v>
      </c>
      <c r="Q5" s="1303">
        <v>216.4</v>
      </c>
    </row>
    <row r="6" spans="1:20">
      <c r="A6" s="1482" t="s">
        <v>1721</v>
      </c>
      <c r="B6" s="1482" t="s">
        <v>1970</v>
      </c>
      <c r="C6" s="1482" t="s">
        <v>1855</v>
      </c>
      <c r="D6" s="1482" t="s">
        <v>42</v>
      </c>
      <c r="E6" s="1482"/>
      <c r="F6" s="1482">
        <v>4</v>
      </c>
      <c r="G6" s="1482">
        <v>49</v>
      </c>
      <c r="H6" s="1482">
        <v>289</v>
      </c>
      <c r="I6" s="14" t="s">
        <v>54</v>
      </c>
      <c r="J6" s="14">
        <v>420</v>
      </c>
      <c r="K6" s="14" t="s">
        <v>354</v>
      </c>
      <c r="L6" s="14" t="s">
        <v>434</v>
      </c>
      <c r="M6" s="258">
        <f t="shared" si="0"/>
        <v>64.521500498956698</v>
      </c>
      <c r="N6" s="14">
        <f t="shared" si="1"/>
        <v>2427.6</v>
      </c>
      <c r="O6" s="999" t="s">
        <v>1973</v>
      </c>
      <c r="P6" s="1676">
        <v>280</v>
      </c>
      <c r="Q6" s="1303">
        <v>277.5</v>
      </c>
    </row>
    <row r="7" spans="1:20">
      <c r="A7" s="1482" t="s">
        <v>1721</v>
      </c>
      <c r="B7" s="1482" t="s">
        <v>1849</v>
      </c>
      <c r="C7" s="1482" t="s">
        <v>1850</v>
      </c>
      <c r="D7" s="1482" t="s">
        <v>43</v>
      </c>
      <c r="E7" s="1482"/>
      <c r="F7" s="1482">
        <v>70</v>
      </c>
      <c r="G7" s="1482">
        <v>57</v>
      </c>
      <c r="H7" s="1506">
        <v>4248</v>
      </c>
      <c r="I7" s="14" t="s">
        <v>89</v>
      </c>
      <c r="J7" s="14">
        <v>390</v>
      </c>
      <c r="K7" s="14" t="s">
        <v>354</v>
      </c>
      <c r="L7" s="14" t="s">
        <v>697</v>
      </c>
      <c r="M7" s="258">
        <f t="shared" si="0"/>
        <v>37.305679034745538</v>
      </c>
      <c r="N7" s="14">
        <f t="shared" si="1"/>
        <v>33134.400000000001</v>
      </c>
      <c r="O7" s="999" t="s">
        <v>1963</v>
      </c>
      <c r="P7" s="1676">
        <v>4248</v>
      </c>
      <c r="Q7" s="1303">
        <v>4248.1000000000004</v>
      </c>
    </row>
    <row r="8" spans="1:20">
      <c r="A8" s="1482" t="s">
        <v>1721</v>
      </c>
      <c r="B8" s="1482" t="s">
        <v>1851</v>
      </c>
      <c r="C8" s="1482" t="s">
        <v>1852</v>
      </c>
      <c r="D8" s="1482" t="s">
        <v>43</v>
      </c>
      <c r="E8" s="1482"/>
      <c r="F8" s="1482">
        <v>28</v>
      </c>
      <c r="G8" s="1482">
        <v>45</v>
      </c>
      <c r="H8" s="1506">
        <v>1716</v>
      </c>
      <c r="I8" s="14" t="s">
        <v>54</v>
      </c>
      <c r="J8" s="14">
        <v>390</v>
      </c>
      <c r="K8" s="14" t="s">
        <v>354</v>
      </c>
      <c r="L8" s="14" t="s">
        <v>697</v>
      </c>
      <c r="M8" s="258">
        <f t="shared" si="0"/>
        <v>37.305679034745538</v>
      </c>
      <c r="N8" s="14">
        <f t="shared" si="1"/>
        <v>13384.8</v>
      </c>
      <c r="O8" s="999" t="s">
        <v>1961</v>
      </c>
      <c r="P8" s="1676">
        <v>1716</v>
      </c>
      <c r="Q8" s="1303">
        <v>1701.9</v>
      </c>
    </row>
    <row r="9" spans="1:20">
      <c r="A9" s="1482" t="s">
        <v>1721</v>
      </c>
      <c r="B9" s="1482" t="s">
        <v>1853</v>
      </c>
      <c r="C9" s="1482" t="s">
        <v>1854</v>
      </c>
      <c r="D9" s="1482" t="s">
        <v>43</v>
      </c>
      <c r="E9" s="1482"/>
      <c r="F9" s="1482">
        <v>37</v>
      </c>
      <c r="G9" s="1482">
        <v>41</v>
      </c>
      <c r="H9" s="1506">
        <v>2244</v>
      </c>
      <c r="I9" s="14" t="s">
        <v>54</v>
      </c>
      <c r="J9" s="14">
        <v>390</v>
      </c>
      <c r="K9" s="14" t="s">
        <v>354</v>
      </c>
      <c r="L9" s="14" t="s">
        <v>697</v>
      </c>
      <c r="M9" s="258">
        <f t="shared" si="0"/>
        <v>37.305679034745538</v>
      </c>
      <c r="N9" s="14">
        <f t="shared" si="1"/>
        <v>17503.2</v>
      </c>
      <c r="O9" s="999" t="s">
        <v>1962</v>
      </c>
      <c r="P9" s="1676">
        <v>2244</v>
      </c>
      <c r="Q9" s="1303">
        <v>2228.8000000000002</v>
      </c>
    </row>
    <row r="10" spans="1:20">
      <c r="A10" s="1482" t="s">
        <v>1721</v>
      </c>
      <c r="B10" s="1482" t="s">
        <v>1970</v>
      </c>
      <c r="C10" s="1482" t="s">
        <v>1855</v>
      </c>
      <c r="D10" s="1482" t="s">
        <v>43</v>
      </c>
      <c r="E10" s="1482"/>
      <c r="F10" s="1482">
        <v>33</v>
      </c>
      <c r="G10" s="1482">
        <v>43</v>
      </c>
      <c r="H10" s="1506">
        <f t="shared" ref="H10" si="2">F10*60+G10</f>
        <v>2023</v>
      </c>
      <c r="I10" s="14" t="s">
        <v>54</v>
      </c>
      <c r="J10" s="14">
        <v>390</v>
      </c>
      <c r="K10" s="14" t="s">
        <v>354</v>
      </c>
      <c r="L10" s="14" t="s">
        <v>697</v>
      </c>
      <c r="M10" s="258">
        <f t="shared" si="0"/>
        <v>37.305679034745538</v>
      </c>
      <c r="N10" s="14">
        <f t="shared" si="1"/>
        <v>15779.4</v>
      </c>
      <c r="O10" s="999" t="s">
        <v>1972</v>
      </c>
      <c r="P10" s="1676">
        <v>2013</v>
      </c>
      <c r="Q10" s="1303">
        <v>2002.4</v>
      </c>
    </row>
    <row r="11" spans="1:20">
      <c r="A11" s="1482" t="s">
        <v>1721</v>
      </c>
      <c r="B11" s="1482" t="s">
        <v>1970</v>
      </c>
      <c r="C11" s="1482" t="s">
        <v>1855</v>
      </c>
      <c r="D11" s="1482" t="s">
        <v>44</v>
      </c>
      <c r="E11" s="1482"/>
      <c r="F11" s="1482">
        <v>4</v>
      </c>
      <c r="G11" s="1482">
        <v>16</v>
      </c>
      <c r="H11" s="1506">
        <v>247</v>
      </c>
      <c r="I11" s="14" t="s">
        <v>54</v>
      </c>
      <c r="J11" s="14">
        <v>390</v>
      </c>
      <c r="K11" s="14" t="s">
        <v>354</v>
      </c>
      <c r="L11" s="14" t="s">
        <v>697</v>
      </c>
      <c r="M11" s="258">
        <f t="shared" si="0"/>
        <v>37.305679034745538</v>
      </c>
      <c r="N11" s="14">
        <f t="shared" si="1"/>
        <v>1926.5999999999997</v>
      </c>
      <c r="O11" s="999" t="s">
        <v>1971</v>
      </c>
      <c r="P11" s="1676">
        <v>247</v>
      </c>
      <c r="Q11" s="1303">
        <v>245.5</v>
      </c>
    </row>
    <row r="12" spans="1:20">
      <c r="A12" s="1482" t="s">
        <v>1721</v>
      </c>
      <c r="B12" s="1482" t="s">
        <v>1849</v>
      </c>
      <c r="C12" s="1482" t="s">
        <v>1850</v>
      </c>
      <c r="D12" s="1482" t="s">
        <v>44</v>
      </c>
      <c r="E12" s="1482"/>
      <c r="F12" s="1482">
        <v>6</v>
      </c>
      <c r="G12" s="1482">
        <v>53</v>
      </c>
      <c r="H12" s="1482">
        <v>404</v>
      </c>
      <c r="I12" s="14" t="s">
        <v>89</v>
      </c>
      <c r="J12" s="14">
        <v>390</v>
      </c>
      <c r="K12" s="14" t="s">
        <v>354</v>
      </c>
      <c r="L12" s="14" t="s">
        <v>697</v>
      </c>
      <c r="M12" s="258">
        <f t="shared" si="0"/>
        <v>37.305679034745538</v>
      </c>
      <c r="N12" s="14">
        <f t="shared" si="1"/>
        <v>3151.2</v>
      </c>
      <c r="O12" s="999" t="s">
        <v>1966</v>
      </c>
      <c r="P12" s="1676">
        <v>404</v>
      </c>
      <c r="Q12" s="1303">
        <v>397.7</v>
      </c>
    </row>
    <row r="13" spans="1:20">
      <c r="A13" s="1482" t="s">
        <v>1721</v>
      </c>
      <c r="B13" s="1482" t="s">
        <v>1851</v>
      </c>
      <c r="C13" s="1482" t="s">
        <v>1852</v>
      </c>
      <c r="D13" s="1482" t="s">
        <v>44</v>
      </c>
      <c r="E13" s="1482"/>
      <c r="F13" s="1482">
        <v>4</v>
      </c>
      <c r="G13" s="1482">
        <v>30</v>
      </c>
      <c r="H13" s="1482">
        <v>261</v>
      </c>
      <c r="I13" s="14" t="s">
        <v>54</v>
      </c>
      <c r="J13" s="14">
        <v>390</v>
      </c>
      <c r="K13" s="14" t="s">
        <v>354</v>
      </c>
      <c r="L13" s="14" t="s">
        <v>697</v>
      </c>
      <c r="M13" s="258">
        <f t="shared" si="0"/>
        <v>37.305679034745538</v>
      </c>
      <c r="N13" s="14">
        <f t="shared" si="1"/>
        <v>2035.7999999999997</v>
      </c>
      <c r="O13" s="999" t="s">
        <v>1964</v>
      </c>
      <c r="P13" s="1676">
        <v>261</v>
      </c>
      <c r="Q13" s="1303">
        <v>257.5</v>
      </c>
    </row>
    <row r="14" spans="1:20" ht="12" customHeight="1" thickBot="1">
      <c r="A14" s="1482" t="s">
        <v>1721</v>
      </c>
      <c r="B14" s="1482" t="s">
        <v>1853</v>
      </c>
      <c r="C14" s="1482" t="s">
        <v>1854</v>
      </c>
      <c r="D14" s="1482" t="s">
        <v>44</v>
      </c>
      <c r="E14" s="1482"/>
      <c r="F14" s="1482">
        <v>4</v>
      </c>
      <c r="G14" s="1482">
        <v>49</v>
      </c>
      <c r="H14" s="1482">
        <v>271</v>
      </c>
      <c r="I14" s="14" t="s">
        <v>54</v>
      </c>
      <c r="J14" s="14">
        <v>390</v>
      </c>
      <c r="K14" s="14" t="s">
        <v>354</v>
      </c>
      <c r="L14" s="14" t="s">
        <v>697</v>
      </c>
      <c r="M14" s="258">
        <f t="shared" si="0"/>
        <v>37.305679034745538</v>
      </c>
      <c r="N14" s="14">
        <f t="shared" si="1"/>
        <v>2113.7999999999997</v>
      </c>
      <c r="O14" s="999" t="s">
        <v>1965</v>
      </c>
      <c r="P14" s="1677">
        <v>271</v>
      </c>
      <c r="Q14" s="1308">
        <v>267.5</v>
      </c>
    </row>
    <row r="15" spans="1:20">
      <c r="A15" s="14"/>
      <c r="B15" s="14"/>
      <c r="C15" s="14"/>
      <c r="D15" s="14"/>
      <c r="E15" s="14"/>
      <c r="F15" s="14">
        <f>H15/60</f>
        <v>217.45</v>
      </c>
      <c r="G15" s="14"/>
      <c r="H15" s="14">
        <f>SUM(H3:H14)</f>
        <v>13047</v>
      </c>
      <c r="I15" s="14"/>
      <c r="J15" s="14"/>
      <c r="K15" s="14"/>
      <c r="L15" s="14"/>
      <c r="M15" s="14"/>
      <c r="N15" s="14">
        <f>SUM(N3:N14)</f>
        <v>102746.40000000001</v>
      </c>
      <c r="P15">
        <f>SUM(P3:P14)</f>
        <v>13028</v>
      </c>
      <c r="Q15" s="1674">
        <f>SUM(Q3:Q14)</f>
        <v>12956.300000000001</v>
      </c>
      <c r="S15" t="s">
        <v>1375</v>
      </c>
      <c r="T15" s="1666">
        <f>SUMPRODUCT(Q3:Q14,J3:J14)/Q15</f>
        <v>393.72073817370699</v>
      </c>
    </row>
    <row r="16" spans="1:20">
      <c r="A16" s="14"/>
      <c r="B16" s="14" t="s">
        <v>487</v>
      </c>
      <c r="C16" s="14"/>
      <c r="D16" s="14"/>
      <c r="E16" s="14"/>
      <c r="F16" s="14"/>
      <c r="G16" s="14"/>
      <c r="H16" s="14"/>
      <c r="I16" s="14"/>
      <c r="P16" s="111">
        <f>P15/60</f>
        <v>217.13333333333333</v>
      </c>
    </row>
    <row r="17" spans="1:14">
      <c r="A17" s="14"/>
      <c r="B17" s="14"/>
      <c r="C17" s="14"/>
      <c r="D17" s="14"/>
      <c r="E17" s="14"/>
      <c r="F17" s="14"/>
      <c r="G17" s="14"/>
      <c r="H17" s="14"/>
      <c r="I17" s="14"/>
      <c r="M17" s="17" t="s">
        <v>541</v>
      </c>
      <c r="N17" s="111">
        <f>N15/H15*50</f>
        <v>393.75488618073121</v>
      </c>
    </row>
    <row r="22" spans="1:14">
      <c r="D22">
        <v>1</v>
      </c>
    </row>
  </sheetData>
  <mergeCells count="1">
    <mergeCell ref="C1:H1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B49A-D257-4133-A741-EA219F006A36}">
  <dimension ref="A1:U4"/>
  <sheetViews>
    <sheetView workbookViewId="0">
      <selection sqref="A1:U2"/>
    </sheetView>
  </sheetViews>
  <sheetFormatPr defaultRowHeight="14.5"/>
  <cols>
    <col min="1" max="1" width="12.36328125" style="16" customWidth="1"/>
    <col min="2" max="2" width="13.1796875" style="16" customWidth="1"/>
    <col min="3" max="3" width="23.90625" style="16" customWidth="1"/>
    <col min="4" max="7" width="8.90625" style="16"/>
    <col min="8" max="8" width="8.81640625" style="16"/>
    <col min="9" max="9" width="11.81640625" style="16" customWidth="1"/>
    <col min="10" max="10" width="12.90625" style="16" customWidth="1"/>
    <col min="11" max="11" width="8.90625" style="16"/>
    <col min="12" max="13" width="12.81640625" style="16" customWidth="1"/>
    <col min="14" max="14" width="14.54296875" style="16" customWidth="1"/>
    <col min="15" max="15" width="17.81640625" style="16" customWidth="1"/>
    <col min="16" max="18" width="8.90625" style="16"/>
    <col min="19" max="19" width="17.81640625" style="16" bestFit="1" customWidth="1"/>
    <col min="20" max="20" width="13.1796875" style="16" bestFit="1" customWidth="1"/>
    <col min="21" max="21" width="12.81640625" style="16" customWidth="1"/>
  </cols>
  <sheetData>
    <row r="1" spans="1:21">
      <c r="L1" s="16">
        <v>329</v>
      </c>
    </row>
    <row r="2" spans="1:21">
      <c r="A2" s="22" t="s">
        <v>20</v>
      </c>
      <c r="B2" s="22" t="s">
        <v>21</v>
      </c>
      <c r="C2" s="22" t="s">
        <v>22</v>
      </c>
      <c r="D2" s="22" t="s">
        <v>23</v>
      </c>
      <c r="E2" s="22" t="s">
        <v>24</v>
      </c>
      <c r="F2" s="22" t="s">
        <v>39</v>
      </c>
      <c r="G2" s="22" t="s">
        <v>25</v>
      </c>
      <c r="H2" s="22" t="s">
        <v>674</v>
      </c>
      <c r="I2" s="22" t="s">
        <v>27</v>
      </c>
      <c r="J2" s="22" t="s">
        <v>1206</v>
      </c>
      <c r="K2" s="22" t="s">
        <v>29</v>
      </c>
      <c r="L2" s="22" t="s">
        <v>30</v>
      </c>
      <c r="M2" s="22" t="s">
        <v>407</v>
      </c>
      <c r="N2" s="22" t="s">
        <v>31</v>
      </c>
      <c r="O2" s="22" t="s">
        <v>32</v>
      </c>
      <c r="P2" s="22" t="s">
        <v>33</v>
      </c>
      <c r="Q2" s="22" t="s">
        <v>34</v>
      </c>
      <c r="R2" s="22" t="s">
        <v>35</v>
      </c>
      <c r="S2" s="22" t="s">
        <v>36</v>
      </c>
      <c r="T2" s="22" t="s">
        <v>37</v>
      </c>
      <c r="U2" s="22"/>
    </row>
    <row r="3" spans="1:21">
      <c r="A3" s="8" t="s">
        <v>1890</v>
      </c>
      <c r="B3" s="1525" t="s">
        <v>907</v>
      </c>
      <c r="C3" s="1525" t="s">
        <v>279</v>
      </c>
      <c r="D3" s="1525" t="s">
        <v>42</v>
      </c>
      <c r="E3" s="1525">
        <v>53</v>
      </c>
      <c r="F3" s="1525">
        <v>42</v>
      </c>
      <c r="G3" s="1526">
        <v>3222</v>
      </c>
      <c r="H3" s="1526" t="s">
        <v>530</v>
      </c>
      <c r="I3" s="1526" t="s">
        <v>89</v>
      </c>
      <c r="J3" s="8"/>
      <c r="K3" s="8">
        <v>430</v>
      </c>
      <c r="L3" s="15">
        <f>K3/1.1023-L1</f>
        <v>61.093440987027122</v>
      </c>
      <c r="M3" s="15">
        <f>G3/60*K3*1.2</f>
        <v>27709.200000000001</v>
      </c>
      <c r="N3" s="8" t="s">
        <v>351</v>
      </c>
      <c r="O3" s="8" t="s">
        <v>633</v>
      </c>
      <c r="P3" s="8"/>
      <c r="Q3" s="8"/>
      <c r="R3" s="8"/>
      <c r="S3" s="8">
        <v>3222.2840000000001</v>
      </c>
      <c r="T3" s="8">
        <v>70786</v>
      </c>
      <c r="U3" s="8" t="s">
        <v>909</v>
      </c>
    </row>
    <row r="4" spans="1:21">
      <c r="A4" s="8" t="s">
        <v>1890</v>
      </c>
      <c r="B4" s="1525" t="s">
        <v>1385</v>
      </c>
      <c r="C4" s="1525" t="s">
        <v>262</v>
      </c>
      <c r="D4" s="1525" t="s">
        <v>42</v>
      </c>
      <c r="E4" s="1525">
        <v>3</v>
      </c>
      <c r="F4" s="1525">
        <v>26</v>
      </c>
      <c r="G4" s="1527">
        <v>205</v>
      </c>
      <c r="H4" s="1527" t="s">
        <v>530</v>
      </c>
      <c r="I4" s="1527" t="s">
        <v>1891</v>
      </c>
      <c r="J4" s="8"/>
      <c r="K4" s="8">
        <v>430</v>
      </c>
      <c r="L4" s="15">
        <f>K4/1.1023-L1</f>
        <v>61.093440987027122</v>
      </c>
      <c r="M4" s="15">
        <f>G4/60*K4*1.2</f>
        <v>1762.9999999999998</v>
      </c>
      <c r="N4" s="8" t="s">
        <v>351</v>
      </c>
      <c r="O4" s="8" t="s">
        <v>633</v>
      </c>
      <c r="P4" s="8"/>
      <c r="Q4" s="8"/>
      <c r="R4" s="8"/>
      <c r="S4" s="8">
        <v>205.7</v>
      </c>
      <c r="T4" s="8">
        <v>70787</v>
      </c>
      <c r="U4" s="8" t="s">
        <v>909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BCF1-96B4-4130-8588-E8F17EDBE1D2}">
  <dimension ref="A1:R33"/>
  <sheetViews>
    <sheetView workbookViewId="0">
      <selection activeCell="H13" sqref="H13"/>
    </sheetView>
  </sheetViews>
  <sheetFormatPr defaultColWidth="8.81640625" defaultRowHeight="14.5"/>
  <cols>
    <col min="1" max="1" width="14.81640625" style="1519" customWidth="1"/>
    <col min="2" max="2" width="20" style="1456" customWidth="1"/>
    <col min="3" max="3" width="15.54296875" style="1456" customWidth="1"/>
    <col min="4" max="9" width="8.81640625" style="1456"/>
    <col min="10" max="10" width="13.81640625" style="1456" customWidth="1"/>
    <col min="11" max="11" width="12" style="1456" customWidth="1"/>
    <col min="12" max="12" width="12.1796875" style="1456" customWidth="1"/>
    <col min="13" max="14" width="12" style="1456" customWidth="1"/>
    <col min="15" max="15" width="13.81640625" style="1456" customWidth="1"/>
    <col min="16" max="16" width="15.453125" style="1456" customWidth="1"/>
    <col min="17" max="16384" width="8.81640625" style="1456"/>
  </cols>
  <sheetData>
    <row r="1" spans="1:18" s="297" customFormat="1">
      <c r="A1" s="1542" t="s">
        <v>411</v>
      </c>
      <c r="H1" s="911" t="s">
        <v>134</v>
      </c>
      <c r="I1" s="911">
        <v>329.8</v>
      </c>
    </row>
    <row r="2" spans="1:18">
      <c r="A2" s="1545" t="s">
        <v>1868</v>
      </c>
      <c r="B2" s="1546" t="s">
        <v>709</v>
      </c>
      <c r="C2" s="1547" t="s">
        <v>710</v>
      </c>
      <c r="D2" s="1547" t="s">
        <v>23</v>
      </c>
      <c r="E2" s="1547" t="s">
        <v>24</v>
      </c>
      <c r="F2" s="1547" t="s">
        <v>1573</v>
      </c>
      <c r="G2" s="1548" t="s">
        <v>112</v>
      </c>
      <c r="H2" s="1549" t="s">
        <v>142</v>
      </c>
      <c r="I2" s="1550" t="s">
        <v>30</v>
      </c>
      <c r="J2" s="1550" t="s">
        <v>407</v>
      </c>
      <c r="K2" s="1551" t="s">
        <v>1221</v>
      </c>
      <c r="L2" s="1550" t="s">
        <v>248</v>
      </c>
      <c r="M2" s="1550" t="s">
        <v>1869</v>
      </c>
      <c r="N2" s="1550" t="s">
        <v>1887</v>
      </c>
      <c r="O2" s="1550" t="s">
        <v>1884</v>
      </c>
      <c r="P2" s="1550" t="s">
        <v>1885</v>
      </c>
      <c r="Q2" s="1550" t="s">
        <v>1886</v>
      </c>
      <c r="R2" s="297"/>
    </row>
    <row r="3" spans="1:18">
      <c r="A3" s="1552">
        <v>46252</v>
      </c>
      <c r="B3" s="1553" t="s">
        <v>1870</v>
      </c>
      <c r="C3" s="1554" t="s">
        <v>1871</v>
      </c>
      <c r="D3" s="1554" t="s">
        <v>42</v>
      </c>
      <c r="E3" s="1554">
        <v>17</v>
      </c>
      <c r="F3" s="1554">
        <v>28</v>
      </c>
      <c r="G3" s="1555">
        <v>1048</v>
      </c>
      <c r="H3" s="1555">
        <v>395</v>
      </c>
      <c r="I3" s="1556">
        <f t="shared" ref="I3:I24" si="0">H3/1.1023-$I$1</f>
        <v>28.54164927878071</v>
      </c>
      <c r="J3" s="1556">
        <f t="shared" ref="J3:J24" si="1">G3/60*H3*1.2</f>
        <v>8279.1999999999989</v>
      </c>
      <c r="K3" s="1557" t="s">
        <v>342</v>
      </c>
      <c r="L3" s="114" t="s">
        <v>354</v>
      </c>
      <c r="M3" s="114" t="s">
        <v>434</v>
      </c>
      <c r="N3" s="114"/>
      <c r="O3" s="114"/>
      <c r="P3" s="114"/>
      <c r="Q3" s="114"/>
      <c r="R3" s="297"/>
    </row>
    <row r="4" spans="1:18">
      <c r="A4" s="1552">
        <v>46252</v>
      </c>
      <c r="B4" s="1558" t="s">
        <v>1870</v>
      </c>
      <c r="C4" s="1559" t="s">
        <v>1872</v>
      </c>
      <c r="D4" s="1559" t="s">
        <v>42</v>
      </c>
      <c r="E4" s="1559">
        <v>3</v>
      </c>
      <c r="F4" s="1559">
        <v>0</v>
      </c>
      <c r="G4" s="1558">
        <v>180</v>
      </c>
      <c r="H4" s="1558">
        <v>395</v>
      </c>
      <c r="I4" s="1556">
        <f t="shared" si="0"/>
        <v>28.54164927878071</v>
      </c>
      <c r="J4" s="1556">
        <f t="shared" si="1"/>
        <v>1422</v>
      </c>
      <c r="K4" s="1557" t="s">
        <v>54</v>
      </c>
      <c r="L4" s="114" t="s">
        <v>354</v>
      </c>
      <c r="M4" s="114" t="s">
        <v>434</v>
      </c>
      <c r="N4" s="114"/>
      <c r="O4" s="114"/>
      <c r="P4" s="114"/>
      <c r="Q4" s="114"/>
      <c r="R4" s="297"/>
    </row>
    <row r="5" spans="1:18">
      <c r="A5" s="1552">
        <v>46252</v>
      </c>
      <c r="B5" s="1553" t="s">
        <v>1870</v>
      </c>
      <c r="C5" s="1554" t="s">
        <v>1873</v>
      </c>
      <c r="D5" s="1554" t="s">
        <v>42</v>
      </c>
      <c r="E5" s="1554">
        <v>5</v>
      </c>
      <c r="F5" s="1554">
        <v>53</v>
      </c>
      <c r="G5" s="1555">
        <v>353</v>
      </c>
      <c r="H5" s="1555">
        <v>395</v>
      </c>
      <c r="I5" s="1556">
        <f t="shared" si="0"/>
        <v>28.54164927878071</v>
      </c>
      <c r="J5" s="1556">
        <f t="shared" si="1"/>
        <v>2788.7000000000003</v>
      </c>
      <c r="K5" s="1557" t="s">
        <v>45</v>
      </c>
      <c r="L5" s="114" t="s">
        <v>354</v>
      </c>
      <c r="M5" s="114" t="s">
        <v>434</v>
      </c>
      <c r="N5" s="114"/>
      <c r="O5" s="114"/>
      <c r="P5" s="114"/>
      <c r="Q5" s="114"/>
      <c r="R5" s="297"/>
    </row>
    <row r="6" spans="1:18">
      <c r="A6" s="1552">
        <v>46252</v>
      </c>
      <c r="B6" s="1553" t="s">
        <v>1874</v>
      </c>
      <c r="C6" s="1554" t="s">
        <v>1875</v>
      </c>
      <c r="D6" s="1554" t="s">
        <v>42</v>
      </c>
      <c r="E6" s="1554">
        <v>14</v>
      </c>
      <c r="F6" s="1554">
        <v>18</v>
      </c>
      <c r="G6" s="1555">
        <v>858</v>
      </c>
      <c r="H6" s="1555">
        <v>395</v>
      </c>
      <c r="I6" s="1556">
        <f t="shared" si="0"/>
        <v>28.54164927878071</v>
      </c>
      <c r="J6" s="1556">
        <f t="shared" si="1"/>
        <v>6778.2</v>
      </c>
      <c r="K6" s="1557" t="s">
        <v>45</v>
      </c>
      <c r="L6" s="114" t="s">
        <v>354</v>
      </c>
      <c r="M6" s="114" t="s">
        <v>434</v>
      </c>
      <c r="N6" s="114"/>
      <c r="O6" s="114"/>
      <c r="P6" s="114"/>
      <c r="Q6" s="114"/>
      <c r="R6" s="297"/>
    </row>
    <row r="7" spans="1:18">
      <c r="A7" s="1552">
        <v>46252</v>
      </c>
      <c r="B7" s="1553" t="s">
        <v>1870</v>
      </c>
      <c r="C7" s="1554" t="s">
        <v>1871</v>
      </c>
      <c r="D7" s="1554" t="s">
        <v>43</v>
      </c>
      <c r="E7" s="1554">
        <v>66</v>
      </c>
      <c r="F7" s="1554">
        <v>29</v>
      </c>
      <c r="G7" s="1555">
        <v>3989</v>
      </c>
      <c r="H7" s="1555">
        <v>375</v>
      </c>
      <c r="I7" s="1556">
        <f t="shared" si="0"/>
        <v>10.397768302639918</v>
      </c>
      <c r="J7" s="1556">
        <f t="shared" si="1"/>
        <v>29917.5</v>
      </c>
      <c r="K7" s="1557" t="s">
        <v>45</v>
      </c>
      <c r="L7" s="114" t="s">
        <v>354</v>
      </c>
      <c r="M7" s="114" t="s">
        <v>697</v>
      </c>
      <c r="N7" s="114"/>
      <c r="O7" s="114"/>
      <c r="P7" s="114"/>
      <c r="Q7" s="114"/>
      <c r="R7" s="297"/>
    </row>
    <row r="8" spans="1:18">
      <c r="A8" s="1552">
        <v>46252</v>
      </c>
      <c r="B8" s="1553" t="s">
        <v>1870</v>
      </c>
      <c r="C8" s="1554" t="s">
        <v>1872</v>
      </c>
      <c r="D8" s="1554" t="s">
        <v>43</v>
      </c>
      <c r="E8" s="1554">
        <v>8</v>
      </c>
      <c r="F8" s="1554">
        <v>15</v>
      </c>
      <c r="G8" s="1555">
        <v>495</v>
      </c>
      <c r="H8" s="1555">
        <v>375</v>
      </c>
      <c r="I8" s="1556">
        <f t="shared" si="0"/>
        <v>10.397768302639918</v>
      </c>
      <c r="J8" s="1556">
        <f t="shared" si="1"/>
        <v>3712.5</v>
      </c>
      <c r="K8" s="1557" t="s">
        <v>54</v>
      </c>
      <c r="L8" s="114" t="s">
        <v>354</v>
      </c>
      <c r="M8" s="114" t="s">
        <v>697</v>
      </c>
      <c r="N8" s="114"/>
      <c r="O8" s="114"/>
      <c r="P8" s="114"/>
      <c r="Q8" s="114"/>
      <c r="R8" s="297"/>
    </row>
    <row r="9" spans="1:18">
      <c r="A9" s="1552">
        <v>46252</v>
      </c>
      <c r="B9" s="1553" t="s">
        <v>1870</v>
      </c>
      <c r="C9" s="1554" t="s">
        <v>1873</v>
      </c>
      <c r="D9" s="1554" t="s">
        <v>43</v>
      </c>
      <c r="E9" s="1554">
        <v>21</v>
      </c>
      <c r="F9" s="1554">
        <v>50</v>
      </c>
      <c r="G9" s="1555">
        <v>1310</v>
      </c>
      <c r="H9" s="1555">
        <v>375</v>
      </c>
      <c r="I9" s="1556">
        <f t="shared" si="0"/>
        <v>10.397768302639918</v>
      </c>
      <c r="J9" s="1556">
        <f t="shared" si="1"/>
        <v>9825</v>
      </c>
      <c r="K9" s="1557" t="s">
        <v>45</v>
      </c>
      <c r="L9" s="114" t="s">
        <v>354</v>
      </c>
      <c r="M9" s="114" t="s">
        <v>697</v>
      </c>
      <c r="N9" s="114"/>
      <c r="O9" s="114"/>
      <c r="P9" s="114"/>
      <c r="Q9" s="114"/>
      <c r="R9" s="297"/>
    </row>
    <row r="10" spans="1:18">
      <c r="A10" s="1552">
        <v>46252</v>
      </c>
      <c r="B10" s="1553" t="s">
        <v>1874</v>
      </c>
      <c r="C10" s="1554" t="s">
        <v>1875</v>
      </c>
      <c r="D10" s="1554" t="s">
        <v>43</v>
      </c>
      <c r="E10" s="1554">
        <v>54</v>
      </c>
      <c r="F10" s="1554">
        <v>27</v>
      </c>
      <c r="G10" s="1555">
        <v>3267</v>
      </c>
      <c r="H10" s="1555">
        <v>375</v>
      </c>
      <c r="I10" s="1556">
        <f t="shared" si="0"/>
        <v>10.397768302639918</v>
      </c>
      <c r="J10" s="1556">
        <f t="shared" si="1"/>
        <v>24502.5</v>
      </c>
      <c r="K10" s="1557" t="s">
        <v>45</v>
      </c>
      <c r="L10" s="114" t="s">
        <v>354</v>
      </c>
      <c r="M10" s="114" t="s">
        <v>697</v>
      </c>
      <c r="N10" s="114"/>
      <c r="O10" s="114"/>
      <c r="P10" s="114"/>
      <c r="Q10" s="114"/>
      <c r="R10" s="297"/>
    </row>
    <row r="11" spans="1:18">
      <c r="A11" s="1552">
        <v>46252</v>
      </c>
      <c r="B11" s="1553" t="s">
        <v>1870</v>
      </c>
      <c r="C11" s="1554" t="s">
        <v>1871</v>
      </c>
      <c r="D11" s="1554" t="s">
        <v>45</v>
      </c>
      <c r="E11" s="1554">
        <v>32</v>
      </c>
      <c r="F11" s="1554">
        <v>48</v>
      </c>
      <c r="G11" s="1555">
        <v>1968</v>
      </c>
      <c r="H11" s="1555">
        <v>350</v>
      </c>
      <c r="I11" s="1556">
        <f t="shared" si="0"/>
        <v>-12.282082917536115</v>
      </c>
      <c r="J11" s="1556">
        <f t="shared" si="1"/>
        <v>13775.999999999998</v>
      </c>
      <c r="K11" s="1557" t="s">
        <v>54</v>
      </c>
      <c r="L11" s="114" t="s">
        <v>354</v>
      </c>
      <c r="M11" s="114" t="s">
        <v>435</v>
      </c>
      <c r="N11" s="114"/>
      <c r="O11" s="114"/>
      <c r="P11" s="114"/>
      <c r="Q11" s="114"/>
      <c r="R11" s="297"/>
    </row>
    <row r="12" spans="1:18">
      <c r="A12" s="1552">
        <v>46252</v>
      </c>
      <c r="B12" s="1553" t="s">
        <v>1870</v>
      </c>
      <c r="C12" s="1554" t="s">
        <v>1872</v>
      </c>
      <c r="D12" s="1554" t="s">
        <v>45</v>
      </c>
      <c r="E12" s="1554">
        <v>4</v>
      </c>
      <c r="F12" s="1554">
        <v>25</v>
      </c>
      <c r="G12" s="1555">
        <v>265</v>
      </c>
      <c r="H12" s="1555">
        <v>350</v>
      </c>
      <c r="I12" s="1556">
        <f t="shared" si="0"/>
        <v>-12.282082917536115</v>
      </c>
      <c r="J12" s="1556">
        <f t="shared" si="1"/>
        <v>1855</v>
      </c>
      <c r="K12" s="1557" t="s">
        <v>54</v>
      </c>
      <c r="L12" s="114" t="s">
        <v>354</v>
      </c>
      <c r="M12" s="114" t="s">
        <v>435</v>
      </c>
      <c r="N12" s="114"/>
      <c r="O12" s="114"/>
      <c r="P12" s="114"/>
      <c r="Q12" s="114"/>
      <c r="R12" s="297"/>
    </row>
    <row r="13" spans="1:18">
      <c r="A13" s="1552">
        <v>46252</v>
      </c>
      <c r="B13" s="1553" t="s">
        <v>1870</v>
      </c>
      <c r="C13" s="1554" t="s">
        <v>1873</v>
      </c>
      <c r="D13" s="1554" t="s">
        <v>45</v>
      </c>
      <c r="E13" s="1554">
        <v>14</v>
      </c>
      <c r="F13" s="1554">
        <v>15</v>
      </c>
      <c r="G13" s="1555">
        <v>855</v>
      </c>
      <c r="H13" s="1555">
        <v>350</v>
      </c>
      <c r="I13" s="1556">
        <f t="shared" si="0"/>
        <v>-12.282082917536115</v>
      </c>
      <c r="J13" s="1556">
        <f t="shared" si="1"/>
        <v>5985</v>
      </c>
      <c r="K13" s="1557" t="s">
        <v>54</v>
      </c>
      <c r="L13" s="114" t="s">
        <v>354</v>
      </c>
      <c r="M13" s="114" t="s">
        <v>435</v>
      </c>
      <c r="N13" s="114"/>
      <c r="O13" s="114"/>
      <c r="P13" s="114"/>
      <c r="Q13" s="114"/>
      <c r="R13" s="297"/>
    </row>
    <row r="14" spans="1:18">
      <c r="A14" s="1552">
        <v>46252</v>
      </c>
      <c r="B14" s="1553" t="s">
        <v>1874</v>
      </c>
      <c r="C14" s="1554" t="s">
        <v>1875</v>
      </c>
      <c r="D14" s="1554" t="s">
        <v>45</v>
      </c>
      <c r="E14" s="1554">
        <v>42</v>
      </c>
      <c r="F14" s="1554">
        <v>49</v>
      </c>
      <c r="G14" s="1555">
        <v>2569</v>
      </c>
      <c r="H14" s="1555">
        <v>350</v>
      </c>
      <c r="I14" s="1556">
        <f t="shared" si="0"/>
        <v>-12.282082917536115</v>
      </c>
      <c r="J14" s="1556">
        <f t="shared" si="1"/>
        <v>17983</v>
      </c>
      <c r="K14" s="1557" t="s">
        <v>54</v>
      </c>
      <c r="L14" s="114" t="s">
        <v>354</v>
      </c>
      <c r="M14" s="114" t="s">
        <v>435</v>
      </c>
      <c r="N14" s="114"/>
      <c r="O14" s="114"/>
      <c r="P14" s="114"/>
      <c r="Q14" s="114"/>
      <c r="R14" s="297"/>
    </row>
    <row r="15" spans="1:18">
      <c r="A15" s="1552">
        <v>46252</v>
      </c>
      <c r="B15" s="1560" t="s">
        <v>1870</v>
      </c>
      <c r="C15" s="1561" t="s">
        <v>1871</v>
      </c>
      <c r="D15" s="1561" t="s">
        <v>44</v>
      </c>
      <c r="E15" s="1561">
        <v>6</v>
      </c>
      <c r="F15" s="1561">
        <v>28</v>
      </c>
      <c r="G15" s="1562">
        <v>388</v>
      </c>
      <c r="H15" s="1562">
        <v>375</v>
      </c>
      <c r="I15" s="1556">
        <f t="shared" si="0"/>
        <v>10.397768302639918</v>
      </c>
      <c r="J15" s="1556">
        <f t="shared" si="1"/>
        <v>2910</v>
      </c>
      <c r="K15" s="1557" t="s">
        <v>45</v>
      </c>
      <c r="L15" s="114" t="s">
        <v>354</v>
      </c>
      <c r="M15" s="114" t="s">
        <v>697</v>
      </c>
      <c r="N15" s="114"/>
      <c r="O15" s="114"/>
      <c r="P15" s="114"/>
      <c r="Q15" s="114"/>
      <c r="R15" s="297"/>
    </row>
    <row r="16" spans="1:18">
      <c r="A16" s="1552">
        <v>46252</v>
      </c>
      <c r="B16" s="1553" t="s">
        <v>1874</v>
      </c>
      <c r="C16" s="1554" t="s">
        <v>1875</v>
      </c>
      <c r="D16" s="1554" t="s">
        <v>44</v>
      </c>
      <c r="E16" s="1554">
        <v>5</v>
      </c>
      <c r="F16" s="1554">
        <v>13</v>
      </c>
      <c r="G16" s="1555">
        <v>313</v>
      </c>
      <c r="H16" s="1555">
        <v>375</v>
      </c>
      <c r="I16" s="1556">
        <f t="shared" si="0"/>
        <v>10.397768302639918</v>
      </c>
      <c r="J16" s="1556">
        <f t="shared" si="1"/>
        <v>2347.5</v>
      </c>
      <c r="K16" s="1557" t="s">
        <v>45</v>
      </c>
      <c r="L16" s="114" t="s">
        <v>354</v>
      </c>
      <c r="M16" s="114" t="s">
        <v>697</v>
      </c>
      <c r="N16" s="114"/>
      <c r="O16" s="114"/>
      <c r="P16" s="114"/>
      <c r="Q16" s="114"/>
      <c r="R16" s="297"/>
    </row>
    <row r="17" spans="1:18">
      <c r="A17" s="1552">
        <v>46252</v>
      </c>
      <c r="B17" s="1553" t="s">
        <v>1876</v>
      </c>
      <c r="C17" s="1554" t="s">
        <v>1877</v>
      </c>
      <c r="D17" s="1554" t="s">
        <v>51</v>
      </c>
      <c r="E17" s="1554">
        <v>13</v>
      </c>
      <c r="F17" s="1554">
        <v>7</v>
      </c>
      <c r="G17" s="1555">
        <v>787</v>
      </c>
      <c r="H17" s="1555">
        <v>285</v>
      </c>
      <c r="I17" s="1556">
        <f t="shared" si="0"/>
        <v>-71.249696089993677</v>
      </c>
      <c r="J17" s="1556">
        <f t="shared" si="1"/>
        <v>4485.8999999999996</v>
      </c>
      <c r="K17" s="1557" t="s">
        <v>525</v>
      </c>
      <c r="L17" s="114" t="s">
        <v>354</v>
      </c>
      <c r="M17" s="114" t="s">
        <v>749</v>
      </c>
      <c r="N17" s="114"/>
      <c r="O17" s="114"/>
      <c r="P17" s="114"/>
      <c r="Q17" s="114"/>
      <c r="R17" s="297"/>
    </row>
    <row r="18" spans="1:18">
      <c r="A18" s="1552">
        <v>46252</v>
      </c>
      <c r="B18" s="1553" t="s">
        <v>1870</v>
      </c>
      <c r="C18" s="1554" t="s">
        <v>1881</v>
      </c>
      <c r="D18" s="1554" t="s">
        <v>51</v>
      </c>
      <c r="E18" s="1554">
        <v>16</v>
      </c>
      <c r="F18" s="1554">
        <v>57</v>
      </c>
      <c r="G18" s="1555">
        <v>1017</v>
      </c>
      <c r="H18" s="1555">
        <v>285</v>
      </c>
      <c r="I18" s="1556">
        <f>H18/1.1023-$I$1</f>
        <v>-71.249696089993677</v>
      </c>
      <c r="J18" s="1556">
        <f>G18/60*H18*1.2</f>
        <v>5796.9</v>
      </c>
      <c r="K18" s="1557" t="s">
        <v>525</v>
      </c>
      <c r="L18" s="114" t="s">
        <v>354</v>
      </c>
      <c r="M18" s="114" t="s">
        <v>749</v>
      </c>
      <c r="N18" s="114"/>
      <c r="O18" s="114"/>
      <c r="P18" s="114"/>
      <c r="Q18" s="114"/>
      <c r="R18" s="297"/>
    </row>
    <row r="19" spans="1:18">
      <c r="A19" s="1563"/>
      <c r="B19" s="297"/>
      <c r="C19" s="297"/>
      <c r="D19" s="297"/>
      <c r="E19" s="1564">
        <f>G19/60</f>
        <v>327.7</v>
      </c>
      <c r="F19" s="297"/>
      <c r="G19" s="1565">
        <f>SUM(G3:G18)</f>
        <v>19662</v>
      </c>
      <c r="H19" s="1566">
        <f>J19/G19*50</f>
        <v>362.03056657511951</v>
      </c>
      <c r="I19" s="911"/>
      <c r="J19" s="1564">
        <f>SUM(J3:J18)</f>
        <v>142364.9</v>
      </c>
      <c r="K19" s="297"/>
      <c r="L19" s="297"/>
      <c r="M19" s="297"/>
      <c r="N19" s="297"/>
      <c r="O19" s="297"/>
      <c r="P19" s="297"/>
      <c r="Q19" s="297"/>
      <c r="R19" s="297"/>
    </row>
    <row r="20" spans="1:18">
      <c r="A20" s="1563"/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</row>
    <row r="21" spans="1:18">
      <c r="A21" s="1552">
        <v>46252</v>
      </c>
      <c r="B21" s="1553" t="s">
        <v>1882</v>
      </c>
      <c r="C21" s="1554" t="s">
        <v>1883</v>
      </c>
      <c r="D21" s="1554" t="s">
        <v>52</v>
      </c>
      <c r="E21" s="1554">
        <v>3</v>
      </c>
      <c r="F21" s="1554">
        <v>2</v>
      </c>
      <c r="G21" s="1555">
        <v>182</v>
      </c>
      <c r="H21" s="1555">
        <v>285</v>
      </c>
      <c r="I21" s="1556">
        <f t="shared" si="0"/>
        <v>-71.249696089993677</v>
      </c>
      <c r="J21" s="1556">
        <f t="shared" si="1"/>
        <v>1037.3999999999999</v>
      </c>
      <c r="K21" s="1557" t="s">
        <v>62</v>
      </c>
      <c r="L21" s="114" t="s">
        <v>418</v>
      </c>
      <c r="M21" s="114" t="s">
        <v>418</v>
      </c>
      <c r="N21" s="114"/>
      <c r="O21" s="114"/>
      <c r="P21" s="114"/>
      <c r="Q21" s="114"/>
      <c r="R21" s="114"/>
    </row>
    <row r="22" spans="1:18">
      <c r="A22" s="1552">
        <v>46252</v>
      </c>
      <c r="B22" s="1553" t="s">
        <v>1878</v>
      </c>
      <c r="C22" s="1554" t="s">
        <v>1879</v>
      </c>
      <c r="D22" s="1554" t="s">
        <v>52</v>
      </c>
      <c r="E22" s="1554">
        <v>4</v>
      </c>
      <c r="F22" s="1554">
        <v>32</v>
      </c>
      <c r="G22" s="1555">
        <v>272</v>
      </c>
      <c r="H22" s="1555">
        <v>285</v>
      </c>
      <c r="I22" s="1556">
        <f t="shared" si="0"/>
        <v>-71.249696089993677</v>
      </c>
      <c r="J22" s="1556">
        <f t="shared" si="1"/>
        <v>1550.3999999999999</v>
      </c>
      <c r="K22" s="1557" t="s">
        <v>62</v>
      </c>
      <c r="L22" s="114" t="s">
        <v>418</v>
      </c>
      <c r="M22" s="114" t="s">
        <v>418</v>
      </c>
      <c r="N22" s="114"/>
      <c r="O22" s="114"/>
      <c r="P22" s="114"/>
      <c r="Q22" s="114"/>
      <c r="R22" s="114"/>
    </row>
    <row r="23" spans="1:18">
      <c r="A23" s="1552">
        <v>46252</v>
      </c>
      <c r="B23" s="1553" t="s">
        <v>1870</v>
      </c>
      <c r="C23" s="1554" t="s">
        <v>1880</v>
      </c>
      <c r="D23" s="1554" t="s">
        <v>52</v>
      </c>
      <c r="E23" s="1554">
        <v>4</v>
      </c>
      <c r="F23" s="1554">
        <v>21</v>
      </c>
      <c r="G23" s="1555">
        <v>261</v>
      </c>
      <c r="H23" s="1555">
        <v>285</v>
      </c>
      <c r="I23" s="1556">
        <f t="shared" si="0"/>
        <v>-71.249696089993677</v>
      </c>
      <c r="J23" s="1556">
        <f t="shared" si="1"/>
        <v>1487.7</v>
      </c>
      <c r="K23" s="1557" t="s">
        <v>62</v>
      </c>
      <c r="L23" s="114" t="s">
        <v>418</v>
      </c>
      <c r="M23" s="114" t="s">
        <v>418</v>
      </c>
      <c r="N23" s="114"/>
      <c r="O23" s="114"/>
      <c r="P23" s="114"/>
      <c r="Q23" s="114"/>
      <c r="R23" s="114"/>
    </row>
    <row r="24" spans="1:18">
      <c r="A24" s="1552">
        <v>46252</v>
      </c>
      <c r="B24" s="1553" t="s">
        <v>1882</v>
      </c>
      <c r="C24" s="1554" t="s">
        <v>1883</v>
      </c>
      <c r="D24" s="1554" t="s">
        <v>461</v>
      </c>
      <c r="E24" s="1554">
        <v>7</v>
      </c>
      <c r="F24" s="1554">
        <v>28</v>
      </c>
      <c r="G24" s="1555">
        <v>448</v>
      </c>
      <c r="H24" s="1555">
        <v>285</v>
      </c>
      <c r="I24" s="1556">
        <f t="shared" si="0"/>
        <v>-71.249696089993677</v>
      </c>
      <c r="J24" s="1556">
        <f t="shared" si="1"/>
        <v>2553.6</v>
      </c>
      <c r="K24" s="1557" t="s">
        <v>60</v>
      </c>
      <c r="L24" s="114" t="s">
        <v>418</v>
      </c>
      <c r="M24" s="114" t="s">
        <v>418</v>
      </c>
      <c r="N24" s="114"/>
      <c r="O24" s="114"/>
      <c r="P24" s="114"/>
      <c r="Q24" s="114"/>
      <c r="R24" s="114"/>
    </row>
    <row r="25" spans="1:18">
      <c r="A25" s="1552">
        <v>46252</v>
      </c>
      <c r="B25" s="1553" t="s">
        <v>1878</v>
      </c>
      <c r="C25" s="1554" t="s">
        <v>1879</v>
      </c>
      <c r="D25" s="1554" t="s">
        <v>51</v>
      </c>
      <c r="E25" s="1554">
        <v>7</v>
      </c>
      <c r="F25" s="1554">
        <v>33</v>
      </c>
      <c r="G25" s="1555">
        <v>453</v>
      </c>
      <c r="H25" s="1555">
        <v>285</v>
      </c>
      <c r="I25" s="1556">
        <f>H25/1.1023-$I$1</f>
        <v>-71.249696089993677</v>
      </c>
      <c r="J25" s="1556">
        <f>G25/60*H25*1.2</f>
        <v>2582.1</v>
      </c>
      <c r="K25" s="1557" t="s">
        <v>60</v>
      </c>
      <c r="L25" s="114" t="s">
        <v>418</v>
      </c>
      <c r="M25" s="114" t="s">
        <v>418</v>
      </c>
      <c r="N25" s="114"/>
      <c r="O25" s="114"/>
      <c r="P25" s="114"/>
      <c r="Q25" s="114"/>
      <c r="R25" s="114"/>
    </row>
    <row r="26" spans="1:18">
      <c r="A26" s="1552">
        <v>46252</v>
      </c>
      <c r="B26" s="1553" t="s">
        <v>1870</v>
      </c>
      <c r="C26" s="1554" t="s">
        <v>1880</v>
      </c>
      <c r="D26" s="1554" t="s">
        <v>51</v>
      </c>
      <c r="E26" s="1554">
        <v>14</v>
      </c>
      <c r="F26" s="1554">
        <v>13</v>
      </c>
      <c r="G26" s="1555">
        <v>853</v>
      </c>
      <c r="H26" s="1555">
        <v>285</v>
      </c>
      <c r="I26" s="1556">
        <f>H26/1.1023-$I$1</f>
        <v>-71.249696089993677</v>
      </c>
      <c r="J26" s="1556">
        <f>G26/60*H26*1.2</f>
        <v>4862.0999999999995</v>
      </c>
      <c r="K26" s="1557" t="s">
        <v>63</v>
      </c>
      <c r="L26" s="114" t="s">
        <v>418</v>
      </c>
      <c r="M26" s="114" t="s">
        <v>418</v>
      </c>
      <c r="N26" s="114"/>
      <c r="O26" s="114"/>
      <c r="P26" s="114"/>
      <c r="Q26" s="114"/>
      <c r="R26" s="114"/>
    </row>
    <row r="27" spans="1:18">
      <c r="A27" s="1563"/>
      <c r="B27" s="297"/>
      <c r="C27" s="297"/>
      <c r="D27" s="297"/>
      <c r="E27" s="1564">
        <f>G27/60</f>
        <v>41.15</v>
      </c>
      <c r="F27" s="297"/>
      <c r="G27" s="1565">
        <f>SUM(G21:G26)</f>
        <v>2469</v>
      </c>
      <c r="H27" s="911">
        <f>J27/G27*50</f>
        <v>284.99999999999994</v>
      </c>
      <c r="I27" s="911"/>
      <c r="J27" s="1564">
        <f>SUM(J21:J26)</f>
        <v>14073.3</v>
      </c>
      <c r="K27" s="1567"/>
      <c r="L27" s="297"/>
      <c r="M27" s="297"/>
      <c r="N27" s="297"/>
      <c r="O27" s="297"/>
      <c r="P27" s="297"/>
      <c r="Q27" s="297"/>
      <c r="R27" s="297"/>
    </row>
    <row r="28" spans="1:18">
      <c r="K28" s="1520"/>
    </row>
    <row r="29" spans="1:18">
      <c r="K29" s="1520"/>
    </row>
    <row r="30" spans="1:18">
      <c r="K30" s="1520"/>
    </row>
    <row r="31" spans="1:18">
      <c r="K31" s="1520"/>
    </row>
    <row r="32" spans="1:18">
      <c r="K32" s="1520"/>
    </row>
    <row r="33" spans="11:11">
      <c r="K33" s="1520"/>
    </row>
  </sheetData>
  <autoFilter ref="A2:M25" xr:uid="{73F1D8C8-A91B-400E-A8E1-360AE80A2A62}">
    <sortState xmlns:xlrd2="http://schemas.microsoft.com/office/spreadsheetml/2017/richdata2" ref="A3:M24">
      <sortCondition ref="D2"/>
    </sortState>
  </autoFilter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2F18-F7B4-4F0C-A938-4B8101C81B0D}">
  <dimension ref="A1:V15"/>
  <sheetViews>
    <sheetView zoomScale="80" zoomScaleNormal="80" workbookViewId="0">
      <selection sqref="A1:R2"/>
    </sheetView>
  </sheetViews>
  <sheetFormatPr defaultRowHeight="14.5"/>
  <cols>
    <col min="1" max="1" width="17.81640625" bestFit="1" customWidth="1"/>
    <col min="2" max="2" width="16.1796875" bestFit="1" customWidth="1"/>
    <col min="7" max="7" width="8.90625" hidden="1" customWidth="1"/>
    <col min="8" max="8" width="10.54296875" hidden="1" customWidth="1"/>
    <col min="10" max="10" width="12.54296875" hidden="1" customWidth="1"/>
    <col min="11" max="11" width="14.1796875" customWidth="1"/>
    <col min="13" max="13" width="0" hidden="1" customWidth="1"/>
    <col min="14" max="14" width="10.81640625" hidden="1" customWidth="1"/>
    <col min="15" max="15" width="14" customWidth="1"/>
    <col min="16" max="16" width="14.453125" customWidth="1"/>
    <col min="17" max="17" width="14.453125" style="16" customWidth="1"/>
    <col min="18" max="18" width="16.81640625" style="16" customWidth="1"/>
  </cols>
  <sheetData>
    <row r="1" spans="1:22">
      <c r="A1" s="17"/>
      <c r="B1" s="17"/>
      <c r="C1" s="17"/>
      <c r="D1" s="17"/>
      <c r="E1" s="17"/>
      <c r="F1" s="17" t="s">
        <v>1644</v>
      </c>
      <c r="G1" s="17" t="s">
        <v>1645</v>
      </c>
      <c r="H1" s="17"/>
      <c r="I1" s="17"/>
      <c r="J1" s="17"/>
      <c r="K1" s="17"/>
      <c r="L1" s="17">
        <v>308.39999999999998</v>
      </c>
      <c r="M1" s="17"/>
      <c r="R1" s="16" t="s">
        <v>1888</v>
      </c>
    </row>
    <row r="2" spans="1:22">
      <c r="A2" s="1444" t="s">
        <v>709</v>
      </c>
      <c r="B2" s="1445" t="s">
        <v>710</v>
      </c>
      <c r="C2" s="1445" t="s">
        <v>23</v>
      </c>
      <c r="D2" s="1445" t="s">
        <v>24</v>
      </c>
      <c r="E2" s="1445" t="s">
        <v>1573</v>
      </c>
      <c r="F2" s="1446" t="s">
        <v>112</v>
      </c>
      <c r="G2" s="1447" t="s">
        <v>1646</v>
      </c>
      <c r="H2" s="1448" t="s">
        <v>26</v>
      </c>
      <c r="I2" s="1448" t="s">
        <v>814</v>
      </c>
      <c r="J2" s="1448" t="s">
        <v>679</v>
      </c>
      <c r="K2" s="1448" t="s">
        <v>1863</v>
      </c>
      <c r="L2" s="1449" t="s">
        <v>541</v>
      </c>
      <c r="M2" s="1449" t="s">
        <v>30</v>
      </c>
      <c r="N2" s="2" t="s">
        <v>407</v>
      </c>
      <c r="O2" s="2" t="s">
        <v>1655</v>
      </c>
      <c r="P2" s="2" t="s">
        <v>406</v>
      </c>
      <c r="Q2" s="3" t="s">
        <v>1732</v>
      </c>
      <c r="R2" s="3" t="s">
        <v>1733</v>
      </c>
    </row>
    <row r="3" spans="1:22">
      <c r="A3" s="1511" t="s">
        <v>1647</v>
      </c>
      <c r="B3" s="1512" t="s">
        <v>1648</v>
      </c>
      <c r="C3" s="1512" t="s">
        <v>43</v>
      </c>
      <c r="D3" s="1512">
        <v>29</v>
      </c>
      <c r="E3" s="1512">
        <v>35</v>
      </c>
      <c r="F3" s="1513">
        <v>1775</v>
      </c>
      <c r="G3" s="1514" t="s">
        <v>45</v>
      </c>
      <c r="H3" s="1514" t="s">
        <v>45</v>
      </c>
      <c r="I3" s="1515" t="s">
        <v>354</v>
      </c>
      <c r="J3" s="1515" t="s">
        <v>697</v>
      </c>
      <c r="K3" s="1515" t="s">
        <v>1864</v>
      </c>
      <c r="L3" s="1516">
        <v>390</v>
      </c>
      <c r="M3" s="1517">
        <f>L3/1.1023-$L$1</f>
        <v>45.40567903474556</v>
      </c>
      <c r="N3" s="14">
        <f t="shared" ref="N3:N12" si="0">F3/60*L3*1.2</f>
        <v>13845</v>
      </c>
      <c r="O3" s="326" t="s">
        <v>1742</v>
      </c>
      <c r="P3" s="326">
        <v>1784</v>
      </c>
      <c r="Q3" s="325" t="str">
        <f>CONCATENATE(B3,C3)</f>
        <v>43CL0026AB</v>
      </c>
      <c r="R3" s="1413">
        <v>1796</v>
      </c>
    </row>
    <row r="4" spans="1:22">
      <c r="A4" s="1511" t="s">
        <v>1649</v>
      </c>
      <c r="B4" s="1512" t="s">
        <v>1650</v>
      </c>
      <c r="C4" s="1512" t="s">
        <v>43</v>
      </c>
      <c r="D4" s="1512">
        <v>42</v>
      </c>
      <c r="E4" s="1512">
        <v>45</v>
      </c>
      <c r="F4" s="1513">
        <v>2565</v>
      </c>
      <c r="G4" s="1514" t="s">
        <v>45</v>
      </c>
      <c r="H4" s="1514" t="s">
        <v>45</v>
      </c>
      <c r="I4" s="1515" t="s">
        <v>354</v>
      </c>
      <c r="J4" s="1515" t="s">
        <v>697</v>
      </c>
      <c r="K4" s="1515" t="s">
        <v>1864</v>
      </c>
      <c r="L4" s="1516">
        <v>390</v>
      </c>
      <c r="M4" s="1517">
        <f t="shared" ref="M4:M12" si="1">L4/1.1023-$L$1</f>
        <v>45.40567903474556</v>
      </c>
      <c r="N4" s="14">
        <f t="shared" si="0"/>
        <v>20007</v>
      </c>
      <c r="O4" s="326" t="s">
        <v>1738</v>
      </c>
      <c r="P4" s="326">
        <v>2574</v>
      </c>
      <c r="Q4" s="325" t="str">
        <f t="shared" ref="Q4:Q12" si="2">CONCATENATE(B4,C4)</f>
        <v>43CL0020AB</v>
      </c>
      <c r="R4" s="1413">
        <v>2584.3000000000002</v>
      </c>
    </row>
    <row r="5" spans="1:22">
      <c r="A5" s="1511" t="s">
        <v>1651</v>
      </c>
      <c r="B5" s="1512" t="s">
        <v>1652</v>
      </c>
      <c r="C5" s="1512" t="s">
        <v>43</v>
      </c>
      <c r="D5" s="1512">
        <v>56</v>
      </c>
      <c r="E5" s="1512">
        <v>57</v>
      </c>
      <c r="F5" s="1513">
        <v>3417</v>
      </c>
      <c r="G5" s="1514" t="s">
        <v>45</v>
      </c>
      <c r="H5" s="1514" t="s">
        <v>45</v>
      </c>
      <c r="I5" s="1515" t="s">
        <v>354</v>
      </c>
      <c r="J5" s="1515" t="s">
        <v>697</v>
      </c>
      <c r="K5" s="1515" t="s">
        <v>1864</v>
      </c>
      <c r="L5" s="1516">
        <v>390</v>
      </c>
      <c r="M5" s="1517">
        <f t="shared" si="1"/>
        <v>45.40567903474556</v>
      </c>
      <c r="N5" s="14">
        <f t="shared" si="0"/>
        <v>26652.6</v>
      </c>
      <c r="O5" s="326" t="s">
        <v>1736</v>
      </c>
      <c r="P5" s="326">
        <v>3426</v>
      </c>
      <c r="Q5" s="325" t="str">
        <f t="shared" si="2"/>
        <v>43CL0019AB</v>
      </c>
      <c r="R5" s="1413">
        <v>3453.7</v>
      </c>
    </row>
    <row r="6" spans="1:22">
      <c r="A6" s="1511" t="s">
        <v>1651</v>
      </c>
      <c r="B6" s="1512" t="s">
        <v>1653</v>
      </c>
      <c r="C6" s="1512" t="s">
        <v>43</v>
      </c>
      <c r="D6" s="1512">
        <v>26</v>
      </c>
      <c r="E6" s="1512">
        <v>41</v>
      </c>
      <c r="F6" s="1513">
        <v>1601</v>
      </c>
      <c r="G6" s="1514" t="s">
        <v>45</v>
      </c>
      <c r="H6" s="1514" t="s">
        <v>45</v>
      </c>
      <c r="I6" s="1515" t="s">
        <v>354</v>
      </c>
      <c r="J6" s="1515" t="s">
        <v>697</v>
      </c>
      <c r="K6" s="1515" t="s">
        <v>1864</v>
      </c>
      <c r="L6" s="1516">
        <v>390</v>
      </c>
      <c r="M6" s="1517">
        <f t="shared" si="1"/>
        <v>45.40567903474556</v>
      </c>
      <c r="N6" s="14">
        <f t="shared" si="0"/>
        <v>12487.8</v>
      </c>
      <c r="O6" s="326" t="s">
        <v>1744</v>
      </c>
      <c r="P6" s="326">
        <v>1610</v>
      </c>
      <c r="Q6" s="325" t="str">
        <f t="shared" si="2"/>
        <v>43CL0027AB</v>
      </c>
      <c r="R6" s="1413">
        <v>1623.7</v>
      </c>
    </row>
    <row r="7" spans="1:22">
      <c r="A7" s="1511" t="s">
        <v>1651</v>
      </c>
      <c r="B7" s="1512" t="s">
        <v>1654</v>
      </c>
      <c r="C7" s="1512" t="s">
        <v>43</v>
      </c>
      <c r="D7" s="1512">
        <v>46</v>
      </c>
      <c r="E7" s="1512">
        <v>20</v>
      </c>
      <c r="F7" s="1513">
        <v>2780</v>
      </c>
      <c r="G7" s="1514" t="s">
        <v>45</v>
      </c>
      <c r="H7" s="1514" t="s">
        <v>45</v>
      </c>
      <c r="I7" s="1515" t="s">
        <v>354</v>
      </c>
      <c r="J7" s="1515" t="s">
        <v>697</v>
      </c>
      <c r="K7" s="1515" t="s">
        <v>1864</v>
      </c>
      <c r="L7" s="1516">
        <v>390</v>
      </c>
      <c r="M7" s="1517">
        <f t="shared" si="1"/>
        <v>45.40567903474556</v>
      </c>
      <c r="N7" s="14">
        <f t="shared" si="0"/>
        <v>21684</v>
      </c>
      <c r="O7" s="326" t="s">
        <v>1740</v>
      </c>
      <c r="P7" s="326">
        <v>2789</v>
      </c>
      <c r="Q7" s="325" t="str">
        <f t="shared" si="2"/>
        <v>43CL0021AB</v>
      </c>
      <c r="R7" s="1413">
        <v>2807.7</v>
      </c>
    </row>
    <row r="8" spans="1:22">
      <c r="A8" s="1511" t="s">
        <v>1647</v>
      </c>
      <c r="B8" s="1512" t="s">
        <v>1648</v>
      </c>
      <c r="C8" s="1512" t="s">
        <v>45</v>
      </c>
      <c r="D8" s="1512">
        <v>44</v>
      </c>
      <c r="E8" s="1512">
        <v>38</v>
      </c>
      <c r="F8" s="1513">
        <v>2678</v>
      </c>
      <c r="G8" s="1514" t="s">
        <v>54</v>
      </c>
      <c r="H8" s="1514" t="s">
        <v>54</v>
      </c>
      <c r="I8" s="1515" t="s">
        <v>354</v>
      </c>
      <c r="J8" s="1515" t="s">
        <v>435</v>
      </c>
      <c r="K8" s="1515" t="s">
        <v>1864</v>
      </c>
      <c r="L8" s="1516">
        <v>360</v>
      </c>
      <c r="M8" s="1517">
        <f t="shared" si="1"/>
        <v>18.189857570534343</v>
      </c>
      <c r="N8" s="14">
        <f t="shared" si="0"/>
        <v>19281.599999999999</v>
      </c>
      <c r="O8" s="326" t="s">
        <v>1743</v>
      </c>
      <c r="P8" s="326">
        <v>2687</v>
      </c>
      <c r="Q8" s="325" t="str">
        <f t="shared" si="2"/>
        <v>43CL0026C</v>
      </c>
      <c r="R8" s="1413">
        <v>2704.5</v>
      </c>
    </row>
    <row r="9" spans="1:22">
      <c r="A9" s="1511" t="s">
        <v>1649</v>
      </c>
      <c r="B9" s="1512" t="s">
        <v>1650</v>
      </c>
      <c r="C9" s="1512" t="s">
        <v>45</v>
      </c>
      <c r="D9" s="1512">
        <v>55</v>
      </c>
      <c r="E9" s="1512">
        <v>18</v>
      </c>
      <c r="F9" s="1513">
        <v>3318</v>
      </c>
      <c r="G9" s="1514" t="s">
        <v>54</v>
      </c>
      <c r="H9" s="1514" t="s">
        <v>54</v>
      </c>
      <c r="I9" s="1515" t="s">
        <v>354</v>
      </c>
      <c r="J9" s="1515" t="s">
        <v>435</v>
      </c>
      <c r="K9" s="1515" t="s">
        <v>1864</v>
      </c>
      <c r="L9" s="1516">
        <v>360</v>
      </c>
      <c r="M9" s="1517">
        <f t="shared" si="1"/>
        <v>18.189857570534343</v>
      </c>
      <c r="N9" s="14">
        <f t="shared" si="0"/>
        <v>23889.599999999999</v>
      </c>
      <c r="O9" s="326" t="s">
        <v>1739</v>
      </c>
      <c r="P9" s="326">
        <v>3327</v>
      </c>
      <c r="Q9" s="325" t="str">
        <f t="shared" si="2"/>
        <v>43CL0020C</v>
      </c>
      <c r="R9" s="1413">
        <v>3342.6</v>
      </c>
    </row>
    <row r="10" spans="1:22">
      <c r="A10" s="1511" t="s">
        <v>1651</v>
      </c>
      <c r="B10" s="1512" t="s">
        <v>1652</v>
      </c>
      <c r="C10" s="1512" t="s">
        <v>45</v>
      </c>
      <c r="D10" s="1512">
        <v>62</v>
      </c>
      <c r="E10" s="1512">
        <v>58</v>
      </c>
      <c r="F10" s="1513">
        <v>3778</v>
      </c>
      <c r="G10" s="1514" t="s">
        <v>54</v>
      </c>
      <c r="H10" s="1514" t="s">
        <v>54</v>
      </c>
      <c r="I10" s="1515" t="s">
        <v>354</v>
      </c>
      <c r="J10" s="1515" t="s">
        <v>435</v>
      </c>
      <c r="K10" s="1515" t="s">
        <v>1864</v>
      </c>
      <c r="L10" s="1516">
        <v>360</v>
      </c>
      <c r="M10" s="1517">
        <f t="shared" si="1"/>
        <v>18.189857570534343</v>
      </c>
      <c r="N10" s="14">
        <f t="shared" si="0"/>
        <v>27201.599999999999</v>
      </c>
      <c r="O10" s="326" t="s">
        <v>1737</v>
      </c>
      <c r="P10" s="326">
        <v>3787</v>
      </c>
      <c r="Q10" s="325" t="str">
        <f t="shared" si="2"/>
        <v>43CL0019C</v>
      </c>
      <c r="R10" s="1413">
        <v>3817.3</v>
      </c>
    </row>
    <row r="11" spans="1:22">
      <c r="A11" s="1511" t="s">
        <v>1651</v>
      </c>
      <c r="B11" s="1512" t="s">
        <v>1653</v>
      </c>
      <c r="C11" s="1512" t="s">
        <v>45</v>
      </c>
      <c r="D11" s="1512">
        <v>36</v>
      </c>
      <c r="E11" s="1512">
        <v>44</v>
      </c>
      <c r="F11" s="1513">
        <v>2204</v>
      </c>
      <c r="G11" s="1514" t="s">
        <v>54</v>
      </c>
      <c r="H11" s="1514" t="s">
        <v>54</v>
      </c>
      <c r="I11" s="1515" t="s">
        <v>354</v>
      </c>
      <c r="J11" s="1515" t="s">
        <v>435</v>
      </c>
      <c r="K11" s="1515" t="s">
        <v>1864</v>
      </c>
      <c r="L11" s="1516">
        <v>360</v>
      </c>
      <c r="M11" s="1517">
        <f t="shared" si="1"/>
        <v>18.189857570534343</v>
      </c>
      <c r="N11" s="14">
        <f t="shared" si="0"/>
        <v>15868.8</v>
      </c>
      <c r="O11" s="326" t="s">
        <v>1745</v>
      </c>
      <c r="P11" s="326">
        <v>2213</v>
      </c>
      <c r="Q11" s="325" t="str">
        <f t="shared" si="2"/>
        <v>43CL0027C</v>
      </c>
      <c r="R11" s="1413">
        <v>2224.6999999999998</v>
      </c>
    </row>
    <row r="12" spans="1:22">
      <c r="A12" s="1511" t="s">
        <v>1651</v>
      </c>
      <c r="B12" s="1512" t="s">
        <v>1654</v>
      </c>
      <c r="C12" s="1512" t="s">
        <v>45</v>
      </c>
      <c r="D12" s="1512">
        <v>69</v>
      </c>
      <c r="E12" s="1512">
        <v>17</v>
      </c>
      <c r="F12" s="1513">
        <v>4157</v>
      </c>
      <c r="G12" s="1514" t="s">
        <v>54</v>
      </c>
      <c r="H12" s="1514" t="s">
        <v>54</v>
      </c>
      <c r="I12" s="1515" t="s">
        <v>354</v>
      </c>
      <c r="J12" s="1515" t="s">
        <v>435</v>
      </c>
      <c r="K12" s="1515" t="s">
        <v>1864</v>
      </c>
      <c r="L12" s="1516">
        <v>360</v>
      </c>
      <c r="M12" s="1517">
        <f t="shared" si="1"/>
        <v>18.189857570534343</v>
      </c>
      <c r="N12" s="14">
        <f t="shared" si="0"/>
        <v>29930.399999999998</v>
      </c>
      <c r="O12" s="326" t="s">
        <v>1741</v>
      </c>
      <c r="P12" s="326">
        <v>4166</v>
      </c>
      <c r="Q12" s="325" t="str">
        <f t="shared" si="2"/>
        <v>43CL0021C</v>
      </c>
      <c r="R12" s="1524">
        <v>4198</v>
      </c>
    </row>
    <row r="13" spans="1:22">
      <c r="A13" s="1450"/>
      <c r="F13" s="1451">
        <f>SUM(F3:F12)</f>
        <v>28273</v>
      </c>
      <c r="N13" s="369">
        <f>SUM(N3:N12)</f>
        <v>210848.4</v>
      </c>
      <c r="R13" s="37">
        <v>28552</v>
      </c>
      <c r="S13" s="2" t="s">
        <v>486</v>
      </c>
    </row>
    <row r="14" spans="1:22">
      <c r="R14" s="1523">
        <f>R13/60</f>
        <v>475.86666666666667</v>
      </c>
      <c r="S14" s="2" t="s">
        <v>1889</v>
      </c>
      <c r="U14" s="2" t="s">
        <v>29</v>
      </c>
      <c r="V14" s="327">
        <f>SUMPRODUCT(R3:R12,L3:L12)/R13</f>
        <v>372.89373774166432</v>
      </c>
    </row>
    <row r="15" spans="1:22">
      <c r="F15">
        <f>F13/60</f>
        <v>471.21666666666664</v>
      </c>
      <c r="N15" s="111">
        <f>N13/F13*50</f>
        <v>372.87942560039613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7064-C4F7-4CB4-B533-7CD0962E0908}">
  <dimension ref="A1:R10"/>
  <sheetViews>
    <sheetView topLeftCell="C1" workbookViewId="0">
      <selection activeCell="H21" sqref="H21"/>
    </sheetView>
  </sheetViews>
  <sheetFormatPr defaultRowHeight="14.5"/>
  <cols>
    <col min="1" max="1" width="15.1796875" customWidth="1"/>
    <col min="2" max="2" width="12.1796875" customWidth="1"/>
    <col min="3" max="4" width="12.453125" customWidth="1"/>
    <col min="9" max="9" width="11" customWidth="1"/>
    <col min="12" max="12" width="11.81640625" customWidth="1"/>
    <col min="13" max="13" width="13.08984375" customWidth="1"/>
    <col min="16" max="16" width="14.1796875" customWidth="1"/>
    <col min="17" max="17" width="14.90625" bestFit="1" customWidth="1"/>
  </cols>
  <sheetData>
    <row r="1" spans="1:18" ht="15.5">
      <c r="A1" s="1478"/>
      <c r="B1" s="1478"/>
      <c r="C1" s="1752" t="s">
        <v>1393</v>
      </c>
      <c r="D1" s="1752"/>
      <c r="E1" s="1752"/>
      <c r="F1" s="1752"/>
      <c r="G1" s="1752"/>
      <c r="J1" t="s">
        <v>158</v>
      </c>
      <c r="N1">
        <v>304.35000000000002</v>
      </c>
    </row>
    <row r="2" spans="1:18">
      <c r="A2" s="1479" t="s">
        <v>1719</v>
      </c>
      <c r="B2" s="1479" t="s">
        <v>22</v>
      </c>
      <c r="C2" s="1479" t="s">
        <v>21</v>
      </c>
      <c r="D2" s="1479" t="s">
        <v>23</v>
      </c>
      <c r="E2" s="1479" t="s">
        <v>24</v>
      </c>
      <c r="F2" s="1479" t="s">
        <v>1573</v>
      </c>
      <c r="G2" s="1479" t="s">
        <v>812</v>
      </c>
      <c r="H2" s="1479" t="s">
        <v>1448</v>
      </c>
      <c r="I2" s="1479" t="s">
        <v>1206</v>
      </c>
      <c r="J2" s="1479" t="s">
        <v>541</v>
      </c>
      <c r="K2" s="1479" t="s">
        <v>1128</v>
      </c>
      <c r="L2" s="1479" t="s">
        <v>814</v>
      </c>
      <c r="M2" s="1479" t="s">
        <v>679</v>
      </c>
      <c r="N2" s="14" t="s">
        <v>396</v>
      </c>
      <c r="O2" s="14" t="s">
        <v>407</v>
      </c>
      <c r="P2" s="14" t="s">
        <v>1856</v>
      </c>
      <c r="Q2" s="14" t="s">
        <v>1867</v>
      </c>
      <c r="R2" s="326" t="s">
        <v>244</v>
      </c>
    </row>
    <row r="3" spans="1:18">
      <c r="A3" s="14"/>
      <c r="B3" s="1597" t="s">
        <v>1947</v>
      </c>
      <c r="C3" s="1597" t="s">
        <v>1948</v>
      </c>
      <c r="D3" s="1597" t="s">
        <v>123</v>
      </c>
      <c r="E3" s="1597">
        <v>122</v>
      </c>
      <c r="F3" s="32"/>
      <c r="G3" s="1597">
        <v>7320</v>
      </c>
      <c r="H3" s="14"/>
      <c r="I3" s="14">
        <v>90587</v>
      </c>
      <c r="J3" s="14">
        <v>410</v>
      </c>
      <c r="K3" s="14"/>
      <c r="L3" s="14" t="s">
        <v>351</v>
      </c>
      <c r="M3" s="14" t="s">
        <v>1060</v>
      </c>
      <c r="N3" s="1517">
        <f>J3/1.1023-$N$1</f>
        <v>67.599560010886307</v>
      </c>
      <c r="O3" s="14"/>
      <c r="P3" s="14" t="s">
        <v>2080</v>
      </c>
      <c r="Q3" s="14">
        <v>7275.2</v>
      </c>
      <c r="R3" s="326">
        <f>Q3-G3</f>
        <v>-44.800000000000182</v>
      </c>
    </row>
    <row r="4" spans="1:18">
      <c r="A4" s="14"/>
      <c r="B4" s="32" t="s">
        <v>1424</v>
      </c>
      <c r="C4" s="32" t="s">
        <v>1948</v>
      </c>
      <c r="D4" s="32" t="s">
        <v>123</v>
      </c>
      <c r="E4" s="32">
        <v>62</v>
      </c>
      <c r="F4" s="32"/>
      <c r="G4" s="32">
        <v>3720</v>
      </c>
      <c r="H4" s="14"/>
      <c r="I4" s="14">
        <v>90587</v>
      </c>
      <c r="J4" s="14">
        <v>410</v>
      </c>
      <c r="K4" s="14"/>
      <c r="L4" s="14" t="s">
        <v>351</v>
      </c>
      <c r="M4" s="14" t="s">
        <v>1060</v>
      </c>
      <c r="N4" s="1517">
        <f>J4/1.1023-$N$1</f>
        <v>67.599560010886307</v>
      </c>
      <c r="O4" s="14"/>
      <c r="P4" s="14" t="s">
        <v>2081</v>
      </c>
      <c r="Q4" s="14">
        <v>3699.2</v>
      </c>
      <c r="R4" s="326">
        <f t="shared" ref="R4:R5" si="0">Q4-G4</f>
        <v>-20.800000000000182</v>
      </c>
    </row>
    <row r="5" spans="1:18" ht="15" thickBot="1">
      <c r="A5" s="14"/>
      <c r="B5" s="1597" t="s">
        <v>1423</v>
      </c>
      <c r="C5" s="1597" t="s">
        <v>1948</v>
      </c>
      <c r="D5" s="1597" t="s">
        <v>123</v>
      </c>
      <c r="E5" s="1597">
        <v>123</v>
      </c>
      <c r="F5" s="32"/>
      <c r="G5" s="1597">
        <v>7380</v>
      </c>
      <c r="H5" s="14"/>
      <c r="I5" s="14">
        <v>90587</v>
      </c>
      <c r="J5" s="14">
        <v>410</v>
      </c>
      <c r="K5" s="14"/>
      <c r="L5" s="14" t="s">
        <v>351</v>
      </c>
      <c r="M5" s="14" t="s">
        <v>1060</v>
      </c>
      <c r="N5" s="1517">
        <f>J5/1.1023-$N$1</f>
        <v>67.599560010886307</v>
      </c>
      <c r="O5" s="14"/>
      <c r="P5" s="14" t="s">
        <v>2082</v>
      </c>
      <c r="Q5" s="372">
        <v>7369.3</v>
      </c>
      <c r="R5" s="326">
        <f t="shared" si="0"/>
        <v>-10.699999999999818</v>
      </c>
    </row>
    <row r="6" spans="1:18">
      <c r="E6">
        <f>G6/60</f>
        <v>307</v>
      </c>
      <c r="G6">
        <f>SUM(G3:G5)</f>
        <v>18420</v>
      </c>
      <c r="Q6" s="75">
        <v>18343.7</v>
      </c>
    </row>
    <row r="7" spans="1:18" ht="15" thickBot="1">
      <c r="Q7" s="1681">
        <v>305.72833333333335</v>
      </c>
    </row>
    <row r="10" spans="1:18">
      <c r="Q10">
        <f>G6-Q6</f>
        <v>76.299999999999272</v>
      </c>
    </row>
  </sheetData>
  <mergeCells count="1">
    <mergeCell ref="C1:G1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6FC2-15AD-431C-A473-2B5494A12EDF}">
  <dimension ref="A2:P14"/>
  <sheetViews>
    <sheetView workbookViewId="0">
      <selection activeCell="M25" sqref="M25"/>
    </sheetView>
  </sheetViews>
  <sheetFormatPr defaultRowHeight="14.5"/>
  <cols>
    <col min="1" max="1" width="11.1796875" customWidth="1"/>
    <col min="2" max="2" width="11.90625" customWidth="1"/>
    <col min="4" max="4" width="7.453125" customWidth="1"/>
    <col min="5" max="5" width="7.1796875" customWidth="1"/>
    <col min="6" max="6" width="10.1796875" customWidth="1"/>
    <col min="7" max="8" width="10.90625" customWidth="1"/>
    <col min="9" max="9" width="15.1796875" customWidth="1"/>
    <col min="11" max="12" width="9.81640625" customWidth="1"/>
    <col min="13" max="13" width="9" bestFit="1" customWidth="1"/>
    <col min="16" max="16" width="19.08984375" customWidth="1"/>
  </cols>
  <sheetData>
    <row r="2" spans="1:16" ht="23">
      <c r="A2" s="1638" t="s">
        <v>2013</v>
      </c>
      <c r="B2" s="1639" t="s">
        <v>2014</v>
      </c>
      <c r="C2" s="1639" t="s">
        <v>2015</v>
      </c>
      <c r="D2" s="1640" t="s">
        <v>2016</v>
      </c>
      <c r="E2" s="1641" t="s">
        <v>2017</v>
      </c>
      <c r="F2" s="1641" t="s">
        <v>2018</v>
      </c>
      <c r="G2" s="1642" t="s">
        <v>814</v>
      </c>
      <c r="H2" s="1642" t="s">
        <v>1212</v>
      </c>
      <c r="I2" s="1642" t="s">
        <v>1124</v>
      </c>
      <c r="J2" s="1643" t="s">
        <v>1720</v>
      </c>
      <c r="K2" s="1643" t="s">
        <v>28</v>
      </c>
      <c r="L2" s="2" t="s">
        <v>541</v>
      </c>
      <c r="M2" s="2" t="s">
        <v>396</v>
      </c>
      <c r="N2" s="2">
        <v>298.35000000000002</v>
      </c>
      <c r="O2" s="2" t="s">
        <v>407</v>
      </c>
      <c r="P2" s="2" t="s">
        <v>1426</v>
      </c>
    </row>
    <row r="3" spans="1:16">
      <c r="A3" s="1644">
        <v>46274</v>
      </c>
      <c r="B3" s="1645" t="s">
        <v>2021</v>
      </c>
      <c r="C3" s="1645" t="s">
        <v>2022</v>
      </c>
      <c r="D3" s="1646">
        <v>42</v>
      </c>
      <c r="E3" s="1650" t="s">
        <v>2023</v>
      </c>
      <c r="F3" s="1651">
        <v>2520</v>
      </c>
      <c r="G3" s="1652" t="s">
        <v>354</v>
      </c>
      <c r="H3" s="1652" t="s">
        <v>2100</v>
      </c>
      <c r="I3" s="1652" t="s">
        <v>697</v>
      </c>
      <c r="J3" s="1653" t="s">
        <v>54</v>
      </c>
      <c r="K3" s="1653"/>
      <c r="L3" s="14">
        <v>335</v>
      </c>
      <c r="M3" s="258">
        <f t="shared" ref="M3:M11" si="0">L3/1.1023-$N$2</f>
        <v>5.5600063503583215</v>
      </c>
      <c r="N3" s="14"/>
      <c r="O3" s="14">
        <f t="shared" ref="O3:O11" si="1">F3/60*L3*1.2</f>
        <v>16884</v>
      </c>
      <c r="P3" s="14"/>
    </row>
    <row r="4" spans="1:16">
      <c r="A4" s="1644">
        <v>46274</v>
      </c>
      <c r="B4" s="1645" t="s">
        <v>2021</v>
      </c>
      <c r="C4" s="1645" t="s">
        <v>2027</v>
      </c>
      <c r="D4" s="1646">
        <v>66</v>
      </c>
      <c r="E4" s="1650" t="s">
        <v>2023</v>
      </c>
      <c r="F4" s="1651">
        <v>3960</v>
      </c>
      <c r="G4" s="1652" t="s">
        <v>354</v>
      </c>
      <c r="H4" s="1652" t="s">
        <v>2100</v>
      </c>
      <c r="I4" s="1652" t="s">
        <v>435</v>
      </c>
      <c r="J4" s="1653" t="s">
        <v>54</v>
      </c>
      <c r="K4" s="1653" t="s">
        <v>2028</v>
      </c>
      <c r="L4" s="14">
        <v>325</v>
      </c>
      <c r="M4" s="258">
        <f t="shared" si="0"/>
        <v>-3.5119341377121032</v>
      </c>
      <c r="N4" s="14"/>
      <c r="O4" s="14">
        <f t="shared" si="1"/>
        <v>25740</v>
      </c>
      <c r="P4" s="14"/>
    </row>
    <row r="5" spans="1:16">
      <c r="A5" s="1644">
        <v>46274</v>
      </c>
      <c r="B5" s="1645" t="s">
        <v>2021</v>
      </c>
      <c r="C5" s="1645" t="s">
        <v>2029</v>
      </c>
      <c r="D5" s="1646">
        <v>61</v>
      </c>
      <c r="E5" s="1650" t="s">
        <v>2023</v>
      </c>
      <c r="F5" s="1651">
        <v>3660</v>
      </c>
      <c r="G5" s="1652" t="s">
        <v>354</v>
      </c>
      <c r="H5" s="1652" t="s">
        <v>2100</v>
      </c>
      <c r="I5" s="1652" t="s">
        <v>2030</v>
      </c>
      <c r="J5" s="1654" t="s">
        <v>356</v>
      </c>
      <c r="K5" s="1654"/>
      <c r="L5" s="14">
        <v>275</v>
      </c>
      <c r="M5" s="258">
        <f t="shared" si="0"/>
        <v>-48.871636578064084</v>
      </c>
      <c r="N5" s="14"/>
      <c r="O5" s="14">
        <f t="shared" si="1"/>
        <v>20130</v>
      </c>
      <c r="P5" s="14"/>
    </row>
    <row r="6" spans="1:16">
      <c r="A6" s="1644">
        <v>46274</v>
      </c>
      <c r="B6" s="1645" t="s">
        <v>2032</v>
      </c>
      <c r="C6" s="1645" t="s">
        <v>2033</v>
      </c>
      <c r="D6" s="1646">
        <v>55</v>
      </c>
      <c r="E6" s="1650" t="s">
        <v>2023</v>
      </c>
      <c r="F6" s="1651">
        <v>3300</v>
      </c>
      <c r="G6" s="1652" t="s">
        <v>354</v>
      </c>
      <c r="H6" s="1652" t="s">
        <v>2100</v>
      </c>
      <c r="I6" s="1652" t="s">
        <v>426</v>
      </c>
      <c r="J6" s="1649" t="s">
        <v>57</v>
      </c>
      <c r="K6" s="1649" t="s">
        <v>2034</v>
      </c>
      <c r="L6" s="14">
        <v>345</v>
      </c>
      <c r="M6" s="258">
        <f t="shared" si="0"/>
        <v>14.631946838428689</v>
      </c>
      <c r="N6" s="14"/>
      <c r="O6" s="14">
        <f t="shared" si="1"/>
        <v>22770</v>
      </c>
      <c r="P6" s="14"/>
    </row>
    <row r="7" spans="1:16">
      <c r="A7" s="1644">
        <v>46274</v>
      </c>
      <c r="B7" s="1645" t="s">
        <v>2032</v>
      </c>
      <c r="C7" s="1645" t="s">
        <v>2035</v>
      </c>
      <c r="D7" s="1646">
        <v>113</v>
      </c>
      <c r="E7" s="1650" t="s">
        <v>2023</v>
      </c>
      <c r="F7" s="1651">
        <v>6780</v>
      </c>
      <c r="G7" s="1652" t="s">
        <v>354</v>
      </c>
      <c r="H7" s="1652" t="s">
        <v>2100</v>
      </c>
      <c r="I7" s="1652" t="s">
        <v>749</v>
      </c>
      <c r="J7" s="1653" t="s">
        <v>57</v>
      </c>
      <c r="K7" s="1653" t="s">
        <v>2036</v>
      </c>
      <c r="L7" s="14">
        <v>335</v>
      </c>
      <c r="M7" s="258">
        <f t="shared" si="0"/>
        <v>5.5600063503583215</v>
      </c>
      <c r="N7" s="14"/>
      <c r="O7" s="14">
        <f t="shared" si="1"/>
        <v>45426</v>
      </c>
      <c r="P7" s="14"/>
    </row>
    <row r="8" spans="1:16">
      <c r="A8" s="1644">
        <v>46274</v>
      </c>
      <c r="B8" s="1645" t="s">
        <v>2019</v>
      </c>
      <c r="C8" s="1645" t="s">
        <v>2020</v>
      </c>
      <c r="D8" s="1646">
        <v>68</v>
      </c>
      <c r="E8" s="1641"/>
      <c r="F8" s="1647">
        <v>4080</v>
      </c>
      <c r="G8" s="1648" t="s">
        <v>418</v>
      </c>
      <c r="H8" s="1652" t="s">
        <v>2101</v>
      </c>
      <c r="I8" s="1648" t="s">
        <v>1057</v>
      </c>
      <c r="J8" s="1649" t="s">
        <v>440</v>
      </c>
      <c r="K8" s="1649"/>
      <c r="L8" s="14">
        <v>235</v>
      </c>
      <c r="M8" s="258">
        <f t="shared" si="0"/>
        <v>-85.159398530345669</v>
      </c>
      <c r="N8" s="14"/>
      <c r="O8" s="14">
        <f t="shared" si="1"/>
        <v>19176</v>
      </c>
      <c r="P8" s="14"/>
    </row>
    <row r="9" spans="1:16">
      <c r="A9" s="1644">
        <v>46274</v>
      </c>
      <c r="B9" s="1645" t="s">
        <v>2021</v>
      </c>
      <c r="C9" s="1645" t="s">
        <v>2024</v>
      </c>
      <c r="D9" s="1646">
        <v>30</v>
      </c>
      <c r="E9" s="1650" t="s">
        <v>2023</v>
      </c>
      <c r="F9" s="1651">
        <v>1800</v>
      </c>
      <c r="G9" s="1652" t="s">
        <v>418</v>
      </c>
      <c r="H9" s="1652" t="s">
        <v>2101</v>
      </c>
      <c r="I9" s="1652" t="s">
        <v>418</v>
      </c>
      <c r="J9" s="1654" t="s">
        <v>60</v>
      </c>
      <c r="K9" s="1654" t="s">
        <v>2025</v>
      </c>
      <c r="L9" s="14">
        <v>225</v>
      </c>
      <c r="M9" s="258">
        <f t="shared" si="0"/>
        <v>-94.231339018416065</v>
      </c>
      <c r="N9" s="14"/>
      <c r="O9" s="14">
        <f t="shared" si="1"/>
        <v>8100</v>
      </c>
      <c r="P9" s="14"/>
    </row>
    <row r="10" spans="1:16">
      <c r="A10" s="1644">
        <v>46274</v>
      </c>
      <c r="B10" s="1645" t="s">
        <v>2021</v>
      </c>
      <c r="C10" s="1645" t="s">
        <v>2026</v>
      </c>
      <c r="D10" s="1646">
        <v>11</v>
      </c>
      <c r="E10" s="1650" t="s">
        <v>2023</v>
      </c>
      <c r="F10" s="1646">
        <v>660</v>
      </c>
      <c r="G10" s="1652" t="s">
        <v>418</v>
      </c>
      <c r="H10" s="1652" t="s">
        <v>2101</v>
      </c>
      <c r="I10" s="1652" t="s">
        <v>419</v>
      </c>
      <c r="J10" s="1649" t="s">
        <v>62</v>
      </c>
      <c r="K10" s="1649"/>
      <c r="L10" s="14">
        <v>225</v>
      </c>
      <c r="M10" s="258">
        <f t="shared" si="0"/>
        <v>-94.231339018416065</v>
      </c>
      <c r="N10" s="14"/>
      <c r="O10" s="14">
        <f t="shared" si="1"/>
        <v>2970</v>
      </c>
      <c r="P10" s="14"/>
    </row>
    <row r="11" spans="1:16">
      <c r="A11" s="1644">
        <v>46274</v>
      </c>
      <c r="B11" s="1645" t="s">
        <v>2021</v>
      </c>
      <c r="C11" s="1645" t="s">
        <v>2031</v>
      </c>
      <c r="D11" s="1646">
        <v>22</v>
      </c>
      <c r="E11" s="1650" t="s">
        <v>2023</v>
      </c>
      <c r="F11" s="1651">
        <v>1320</v>
      </c>
      <c r="G11" s="1652" t="s">
        <v>418</v>
      </c>
      <c r="H11" s="1652" t="s">
        <v>2101</v>
      </c>
      <c r="I11" s="1652" t="s">
        <v>418</v>
      </c>
      <c r="J11" s="1654" t="s">
        <v>63</v>
      </c>
      <c r="K11" s="1654"/>
      <c r="L11" s="14">
        <v>225</v>
      </c>
      <c r="M11" s="258">
        <f t="shared" si="0"/>
        <v>-94.231339018416065</v>
      </c>
      <c r="N11" s="14"/>
      <c r="O11" s="14">
        <f t="shared" si="1"/>
        <v>5940</v>
      </c>
      <c r="P11" s="14"/>
    </row>
    <row r="12" spans="1:16">
      <c r="A12" s="14"/>
      <c r="B12" s="14"/>
      <c r="C12" s="14"/>
      <c r="D12" s="14"/>
      <c r="E12" s="14"/>
      <c r="F12" s="1655">
        <f>SUM(F3:F11)</f>
        <v>28080</v>
      </c>
      <c r="G12" s="14"/>
      <c r="H12" s="14"/>
      <c r="I12" s="14"/>
      <c r="J12" s="14"/>
      <c r="K12" s="14"/>
      <c r="L12" s="14"/>
      <c r="M12" s="14"/>
      <c r="N12" s="14"/>
      <c r="O12" s="14">
        <f>SUM(O3:O11)</f>
        <v>167136</v>
      </c>
    </row>
    <row r="14" spans="1:16">
      <c r="F14">
        <f>F12/60</f>
        <v>468</v>
      </c>
    </row>
  </sheetData>
  <autoFilter ref="A2:P12" xr:uid="{DE396FC2-15AD-431C-A473-2B5494A12EDF}"/>
  <sortState xmlns:xlrd2="http://schemas.microsoft.com/office/spreadsheetml/2017/richdata2" ref="A3:O12">
    <sortCondition ref="G3:G12"/>
  </sortState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9CB0-C2EE-412A-9824-7D6BE4D4951C}">
  <dimension ref="A1:T15"/>
  <sheetViews>
    <sheetView workbookViewId="0">
      <selection activeCell="J25" sqref="J24:J25"/>
    </sheetView>
  </sheetViews>
  <sheetFormatPr defaultRowHeight="14.5"/>
  <cols>
    <col min="1" max="1" width="10.453125" customWidth="1"/>
    <col min="2" max="2" width="14.81640625" customWidth="1"/>
    <col min="3" max="3" width="13.90625" customWidth="1"/>
    <col min="4" max="4" width="13.90625" style="928" customWidth="1"/>
    <col min="5" max="5" width="10.81640625" customWidth="1"/>
    <col min="8" max="8" width="10.90625" customWidth="1"/>
    <col min="9" max="10" width="11.90625" customWidth="1"/>
    <col min="11" max="11" width="9.453125" customWidth="1"/>
    <col min="12" max="12" width="16.90625" customWidth="1"/>
    <col min="14" max="14" width="11.90625" customWidth="1"/>
    <col min="16" max="16" width="12.90625" customWidth="1"/>
    <col min="17" max="17" width="13.36328125" customWidth="1"/>
    <col min="18" max="18" width="15.08984375" customWidth="1"/>
  </cols>
  <sheetData>
    <row r="1" spans="1:20">
      <c r="A1" s="16"/>
      <c r="B1" s="16"/>
      <c r="C1" s="16"/>
      <c r="E1" s="16"/>
      <c r="F1" s="16"/>
      <c r="G1" s="16"/>
      <c r="H1" s="16"/>
      <c r="I1" s="16"/>
      <c r="J1" s="16"/>
      <c r="K1" s="16"/>
      <c r="L1" s="16" t="s">
        <v>134</v>
      </c>
      <c r="M1" s="16">
        <v>284.85000000000002</v>
      </c>
      <c r="N1" s="16"/>
      <c r="O1" s="16"/>
      <c r="P1" s="16"/>
      <c r="Q1" s="16"/>
      <c r="R1" s="16"/>
      <c r="S1" s="16"/>
      <c r="T1" s="16"/>
    </row>
    <row r="2" spans="1:20">
      <c r="A2" s="3" t="s">
        <v>20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39</v>
      </c>
      <c r="G2" s="3" t="s">
        <v>25</v>
      </c>
      <c r="H2" s="3" t="s">
        <v>541</v>
      </c>
      <c r="I2" s="3" t="s">
        <v>1206</v>
      </c>
      <c r="J2" s="3" t="s">
        <v>1720</v>
      </c>
      <c r="K2" s="3" t="s">
        <v>814</v>
      </c>
      <c r="L2" s="3" t="s">
        <v>679</v>
      </c>
      <c r="M2" s="3" t="s">
        <v>30</v>
      </c>
      <c r="N2" s="3" t="s">
        <v>407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1699"/>
    </row>
    <row r="3" spans="1:20">
      <c r="A3" s="14"/>
      <c r="B3" s="14" t="s">
        <v>2091</v>
      </c>
      <c r="C3" s="14" t="s">
        <v>2093</v>
      </c>
      <c r="D3" s="20" t="s">
        <v>42</v>
      </c>
      <c r="E3" s="14">
        <v>215</v>
      </c>
      <c r="F3" s="14">
        <v>0</v>
      </c>
      <c r="G3" s="14">
        <v>12900</v>
      </c>
      <c r="H3" s="1700">
        <v>360</v>
      </c>
      <c r="I3" s="8">
        <v>90595</v>
      </c>
      <c r="J3" s="8" t="s">
        <v>54</v>
      </c>
      <c r="K3" s="14" t="s">
        <v>354</v>
      </c>
      <c r="L3" s="14" t="s">
        <v>434</v>
      </c>
      <c r="M3" s="332">
        <f>H3/1.1023-$M$1</f>
        <v>41.739857570534298</v>
      </c>
      <c r="N3" s="1701">
        <f>G3/60*H3*1.2</f>
        <v>92880</v>
      </c>
      <c r="O3" s="14"/>
      <c r="P3" s="14"/>
      <c r="Q3" s="14"/>
      <c r="R3" s="14"/>
      <c r="S3" s="14"/>
    </row>
    <row r="4" spans="1:20">
      <c r="A4" s="14"/>
      <c r="B4" s="14" t="s">
        <v>2091</v>
      </c>
      <c r="C4" s="14" t="s">
        <v>2093</v>
      </c>
      <c r="D4" s="20" t="s">
        <v>43</v>
      </c>
      <c r="E4" s="14">
        <v>488</v>
      </c>
      <c r="F4" s="14">
        <v>44</v>
      </c>
      <c r="G4" s="14">
        <v>29324</v>
      </c>
      <c r="H4" s="1700">
        <v>350</v>
      </c>
      <c r="I4" s="8">
        <v>90595</v>
      </c>
      <c r="J4" s="8" t="s">
        <v>54</v>
      </c>
      <c r="K4" s="14" t="s">
        <v>354</v>
      </c>
      <c r="L4" s="14" t="s">
        <v>697</v>
      </c>
      <c r="M4" s="332">
        <f t="shared" ref="M4:M13" si="0">H4/1.1023-$M$1</f>
        <v>32.667917082463873</v>
      </c>
      <c r="N4" s="1701">
        <f t="shared" ref="N4:N13" si="1">G4/60*H4*1.2</f>
        <v>205268.00000000003</v>
      </c>
      <c r="O4" s="14"/>
      <c r="P4" s="14"/>
      <c r="Q4" s="14"/>
      <c r="R4" s="14"/>
      <c r="S4" s="14"/>
    </row>
    <row r="5" spans="1:20">
      <c r="A5" s="14"/>
      <c r="B5" s="14" t="s">
        <v>2091</v>
      </c>
      <c r="C5" s="14" t="s">
        <v>2093</v>
      </c>
      <c r="D5" s="20" t="s">
        <v>45</v>
      </c>
      <c r="E5" s="14">
        <v>90</v>
      </c>
      <c r="F5" s="14">
        <v>15</v>
      </c>
      <c r="G5" s="14">
        <v>5415</v>
      </c>
      <c r="H5" s="1700">
        <v>310</v>
      </c>
      <c r="I5" s="8">
        <v>90595</v>
      </c>
      <c r="J5" s="8" t="s">
        <v>54</v>
      </c>
      <c r="K5" s="14" t="s">
        <v>354</v>
      </c>
      <c r="L5" s="14" t="s">
        <v>2108</v>
      </c>
      <c r="M5" s="332">
        <f t="shared" si="0"/>
        <v>-3.6198448698177117</v>
      </c>
      <c r="N5" s="1701">
        <f t="shared" si="1"/>
        <v>33573</v>
      </c>
      <c r="O5" s="14"/>
      <c r="P5" s="14"/>
      <c r="Q5" s="14"/>
      <c r="R5" s="14"/>
      <c r="S5" s="14"/>
    </row>
    <row r="6" spans="1:20">
      <c r="A6" s="14"/>
      <c r="B6" s="14" t="s">
        <v>2091</v>
      </c>
      <c r="C6" s="14" t="s">
        <v>2093</v>
      </c>
      <c r="D6" s="20" t="s">
        <v>44</v>
      </c>
      <c r="E6" s="14">
        <v>33</v>
      </c>
      <c r="F6" s="14">
        <v>16</v>
      </c>
      <c r="G6" s="14">
        <v>1996</v>
      </c>
      <c r="H6" s="1700">
        <v>346</v>
      </c>
      <c r="I6" s="8">
        <v>90595</v>
      </c>
      <c r="J6" s="8" t="s">
        <v>45</v>
      </c>
      <c r="K6" s="14" t="s">
        <v>354</v>
      </c>
      <c r="L6" s="14" t="s">
        <v>697</v>
      </c>
      <c r="M6" s="332">
        <f t="shared" si="0"/>
        <v>29.03914088723576</v>
      </c>
      <c r="N6" s="1701">
        <f t="shared" si="1"/>
        <v>13812.32</v>
      </c>
      <c r="O6" s="14"/>
      <c r="P6" s="14"/>
      <c r="Q6" s="14"/>
      <c r="R6" s="14"/>
      <c r="S6" s="14"/>
    </row>
    <row r="7" spans="1:20">
      <c r="A7" s="14"/>
      <c r="B7" s="14" t="s">
        <v>2091</v>
      </c>
      <c r="C7" s="14" t="s">
        <v>2093</v>
      </c>
      <c r="D7" s="20" t="s">
        <v>46</v>
      </c>
      <c r="E7" s="14">
        <v>40</v>
      </c>
      <c r="F7" s="14">
        <v>13</v>
      </c>
      <c r="G7" s="14">
        <v>2413</v>
      </c>
      <c r="H7" s="1700">
        <v>290</v>
      </c>
      <c r="I7" s="8">
        <v>90595</v>
      </c>
      <c r="J7" s="8"/>
      <c r="K7" s="14" t="s">
        <v>354</v>
      </c>
      <c r="L7" s="14" t="s">
        <v>749</v>
      </c>
      <c r="M7" s="332">
        <f t="shared" si="0"/>
        <v>-21.763725845958504</v>
      </c>
      <c r="N7" s="1701">
        <f t="shared" si="1"/>
        <v>13995.4</v>
      </c>
      <c r="O7" s="14"/>
      <c r="P7" s="14"/>
      <c r="Q7" s="14"/>
      <c r="R7" s="14"/>
      <c r="S7" s="14"/>
    </row>
    <row r="8" spans="1:20">
      <c r="A8" s="14"/>
      <c r="B8" s="14" t="s">
        <v>2091</v>
      </c>
      <c r="C8" s="14" t="s">
        <v>2093</v>
      </c>
      <c r="D8" s="20" t="s">
        <v>47</v>
      </c>
      <c r="E8" s="14">
        <v>18</v>
      </c>
      <c r="F8" s="14">
        <v>0</v>
      </c>
      <c r="G8" s="14">
        <v>1080</v>
      </c>
      <c r="H8" s="1700">
        <v>220</v>
      </c>
      <c r="I8" s="8">
        <v>90596</v>
      </c>
      <c r="J8" s="8"/>
      <c r="K8" s="14" t="s">
        <v>2092</v>
      </c>
      <c r="L8" s="14" t="s">
        <v>418</v>
      </c>
      <c r="M8" s="332">
        <f t="shared" si="0"/>
        <v>-85.267309262451278</v>
      </c>
      <c r="N8" s="1701">
        <f t="shared" si="1"/>
        <v>4752</v>
      </c>
      <c r="O8" s="14"/>
      <c r="P8" s="14"/>
      <c r="Q8" s="14"/>
      <c r="R8" s="14"/>
      <c r="S8" s="14"/>
    </row>
    <row r="9" spans="1:20">
      <c r="A9" s="14"/>
      <c r="B9" s="14" t="s">
        <v>2091</v>
      </c>
      <c r="C9" s="14" t="s">
        <v>2093</v>
      </c>
      <c r="D9" s="20" t="s">
        <v>52</v>
      </c>
      <c r="E9" s="14">
        <v>16</v>
      </c>
      <c r="F9" s="14">
        <v>0</v>
      </c>
      <c r="G9" s="14">
        <v>960</v>
      </c>
      <c r="H9" s="1700">
        <v>150</v>
      </c>
      <c r="I9" s="8">
        <v>90596</v>
      </c>
      <c r="J9" s="8"/>
      <c r="K9" s="14" t="s">
        <v>2092</v>
      </c>
      <c r="L9" s="14" t="s">
        <v>418</v>
      </c>
      <c r="M9" s="332">
        <f t="shared" si="0"/>
        <v>-148.77089267894405</v>
      </c>
      <c r="N9" s="1701">
        <f t="shared" si="1"/>
        <v>2880</v>
      </c>
      <c r="O9" s="14"/>
      <c r="P9" s="14"/>
      <c r="Q9" s="14"/>
      <c r="R9" s="14"/>
      <c r="S9" s="14"/>
    </row>
    <row r="10" spans="1:20">
      <c r="A10" s="14"/>
      <c r="B10" s="14" t="s">
        <v>2091</v>
      </c>
      <c r="C10" s="14" t="s">
        <v>2093</v>
      </c>
      <c r="D10" s="20" t="s">
        <v>779</v>
      </c>
      <c r="E10" s="14">
        <v>11</v>
      </c>
      <c r="F10" s="14">
        <v>0</v>
      </c>
      <c r="G10" s="14">
        <v>660</v>
      </c>
      <c r="H10" s="1700">
        <v>100</v>
      </c>
      <c r="I10" s="8">
        <v>90596</v>
      </c>
      <c r="J10" s="8"/>
      <c r="K10" s="14" t="s">
        <v>2092</v>
      </c>
      <c r="L10" s="14" t="s">
        <v>418</v>
      </c>
      <c r="M10" s="332">
        <f t="shared" si="0"/>
        <v>-194.13059511929606</v>
      </c>
      <c r="N10" s="1701">
        <f t="shared" si="1"/>
        <v>1320</v>
      </c>
      <c r="O10" s="14"/>
      <c r="P10" s="14"/>
      <c r="Q10" s="14"/>
      <c r="R10" s="14"/>
      <c r="S10" s="14"/>
    </row>
    <row r="11" spans="1:20">
      <c r="A11" s="14"/>
      <c r="B11" s="14" t="s">
        <v>2091</v>
      </c>
      <c r="C11" s="14" t="s">
        <v>2093</v>
      </c>
      <c r="D11" s="20" t="s">
        <v>48</v>
      </c>
      <c r="E11" s="14">
        <v>0</v>
      </c>
      <c r="F11" s="14">
        <v>65</v>
      </c>
      <c r="G11" s="14">
        <v>65</v>
      </c>
      <c r="H11" s="1700">
        <v>215</v>
      </c>
      <c r="I11" s="8">
        <v>90596</v>
      </c>
      <c r="J11" s="8"/>
      <c r="K11" s="14" t="s">
        <v>2092</v>
      </c>
      <c r="L11" s="14" t="s">
        <v>419</v>
      </c>
      <c r="M11" s="332">
        <f t="shared" si="0"/>
        <v>-89.803279506486462</v>
      </c>
      <c r="N11" s="1701">
        <f t="shared" si="1"/>
        <v>279.5</v>
      </c>
      <c r="O11" s="14"/>
      <c r="P11" s="14"/>
      <c r="Q11" s="14"/>
      <c r="R11" s="14"/>
      <c r="S11" s="14"/>
    </row>
    <row r="12" spans="1:20">
      <c r="A12" s="14"/>
      <c r="B12" s="14" t="s">
        <v>2091</v>
      </c>
      <c r="C12" s="14" t="s">
        <v>2093</v>
      </c>
      <c r="D12" s="20" t="s">
        <v>60</v>
      </c>
      <c r="E12" s="14">
        <v>6</v>
      </c>
      <c r="F12" s="14">
        <v>0</v>
      </c>
      <c r="G12" s="14">
        <v>360</v>
      </c>
      <c r="H12" s="1700">
        <v>215</v>
      </c>
      <c r="I12" s="8">
        <v>90596</v>
      </c>
      <c r="J12" s="8"/>
      <c r="K12" s="14" t="s">
        <v>2092</v>
      </c>
      <c r="L12" s="14" t="s">
        <v>436</v>
      </c>
      <c r="M12" s="332">
        <f t="shared" si="0"/>
        <v>-89.803279506486462</v>
      </c>
      <c r="N12" s="1701">
        <f t="shared" si="1"/>
        <v>1548</v>
      </c>
      <c r="O12" s="14"/>
      <c r="P12" s="14"/>
      <c r="Q12" s="14"/>
      <c r="R12" s="14"/>
      <c r="S12" s="14"/>
    </row>
    <row r="13" spans="1:20">
      <c r="A13" s="14"/>
      <c r="B13" s="14" t="s">
        <v>2091</v>
      </c>
      <c r="C13" s="14" t="s">
        <v>2093</v>
      </c>
      <c r="D13" s="20" t="s">
        <v>819</v>
      </c>
      <c r="E13" s="14">
        <v>12</v>
      </c>
      <c r="F13" s="14">
        <v>44</v>
      </c>
      <c r="G13" s="14">
        <v>764</v>
      </c>
      <c r="H13" s="1700">
        <v>100</v>
      </c>
      <c r="I13" s="8">
        <v>90596</v>
      </c>
      <c r="J13" s="8"/>
      <c r="K13" s="14" t="s">
        <v>2092</v>
      </c>
      <c r="L13" s="14" t="s">
        <v>2109</v>
      </c>
      <c r="M13" s="332">
        <f t="shared" si="0"/>
        <v>-194.13059511929606</v>
      </c>
      <c r="N13" s="1701">
        <f t="shared" si="1"/>
        <v>1527.9999999999998</v>
      </c>
      <c r="O13" s="14"/>
      <c r="P13" s="14"/>
      <c r="Q13" s="14"/>
      <c r="R13" s="14"/>
      <c r="S13" s="14"/>
    </row>
    <row r="14" spans="1:20">
      <c r="A14" s="14"/>
      <c r="B14" s="2" t="s">
        <v>487</v>
      </c>
      <c r="C14" s="2"/>
      <c r="D14" s="7"/>
      <c r="E14" s="2">
        <v>929</v>
      </c>
      <c r="F14" s="2">
        <v>197</v>
      </c>
      <c r="G14" s="2">
        <v>55937</v>
      </c>
      <c r="H14" s="334"/>
      <c r="I14" s="334"/>
      <c r="J14" s="334"/>
      <c r="K14" s="14"/>
      <c r="L14" s="14"/>
      <c r="M14" s="14"/>
      <c r="N14" s="1505">
        <f>SUM(N3:N13)</f>
        <v>371836.22000000003</v>
      </c>
      <c r="O14" s="14"/>
      <c r="P14" s="14"/>
      <c r="Q14" s="14"/>
      <c r="R14" s="14"/>
      <c r="S14" s="14"/>
    </row>
    <row r="15" spans="1:20">
      <c r="N15" s="167"/>
    </row>
  </sheetData>
  <autoFilter ref="A2:T14" xr:uid="{1DD99CB0-C2EE-412A-9824-7D6BE4D4951C}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1A80-30CB-40AB-AB53-802865DEEC3B}">
  <dimension ref="A1:Q18"/>
  <sheetViews>
    <sheetView workbookViewId="0">
      <selection activeCell="S25" sqref="S25"/>
    </sheetView>
  </sheetViews>
  <sheetFormatPr defaultRowHeight="14.5"/>
  <cols>
    <col min="1" max="1" width="10.90625" customWidth="1"/>
    <col min="2" max="2" width="14" customWidth="1"/>
    <col min="8" max="8" width="14.1796875" customWidth="1"/>
    <col min="9" max="9" width="15.1796875" customWidth="1"/>
    <col min="12" max="12" width="13.6328125" customWidth="1"/>
    <col min="13" max="13" width="11.90625" customWidth="1"/>
    <col min="14" max="14" width="18.36328125" customWidth="1"/>
    <col min="15" max="15" width="11.54296875" bestFit="1" customWidth="1"/>
    <col min="16" max="16" width="11.1796875" customWidth="1"/>
  </cols>
  <sheetData>
    <row r="1" spans="1:17">
      <c r="A1" s="17" t="s">
        <v>1658</v>
      </c>
      <c r="H1" s="2"/>
      <c r="I1" s="17"/>
      <c r="J1" s="17" t="s">
        <v>1631</v>
      </c>
      <c r="K1" s="17">
        <v>308.39999999999998</v>
      </c>
      <c r="M1" s="1543" t="s">
        <v>1641</v>
      </c>
      <c r="N1" s="522"/>
      <c r="O1" s="522"/>
    </row>
    <row r="2" spans="1:17">
      <c r="A2" s="3" t="s">
        <v>22</v>
      </c>
      <c r="B2" s="3" t="s">
        <v>1632</v>
      </c>
      <c r="C2" s="3" t="s">
        <v>23</v>
      </c>
      <c r="D2" s="3" t="s">
        <v>33</v>
      </c>
      <c r="E2" s="3" t="s">
        <v>1633</v>
      </c>
      <c r="F2" s="3" t="s">
        <v>486</v>
      </c>
      <c r="G2" s="3" t="s">
        <v>26</v>
      </c>
      <c r="H2" s="2" t="s">
        <v>1390</v>
      </c>
      <c r="I2" s="2" t="s">
        <v>1634</v>
      </c>
      <c r="J2" s="2" t="s">
        <v>541</v>
      </c>
      <c r="K2" s="3" t="s">
        <v>1635</v>
      </c>
      <c r="L2" s="2" t="s">
        <v>1128</v>
      </c>
      <c r="M2" s="1543" t="s">
        <v>405</v>
      </c>
      <c r="N2" s="1543" t="s">
        <v>406</v>
      </c>
      <c r="O2" s="520"/>
      <c r="P2" s="14" t="s">
        <v>1168</v>
      </c>
    </row>
    <row r="3" spans="1:17">
      <c r="A3" s="8" t="s">
        <v>1636</v>
      </c>
      <c r="B3" s="8" t="s">
        <v>234</v>
      </c>
      <c r="C3" s="8" t="s">
        <v>42</v>
      </c>
      <c r="D3" s="8">
        <v>3</v>
      </c>
      <c r="E3" s="8">
        <v>54</v>
      </c>
      <c r="F3" s="8">
        <v>234</v>
      </c>
      <c r="G3" s="8" t="s">
        <v>45</v>
      </c>
      <c r="H3" s="8" t="s">
        <v>354</v>
      </c>
      <c r="I3" s="8" t="s">
        <v>434</v>
      </c>
      <c r="J3" s="8">
        <v>420</v>
      </c>
      <c r="K3" s="258">
        <f t="shared" ref="K3:K14" si="0">J3/1.1023-$K$1</f>
        <v>72.621500498956721</v>
      </c>
      <c r="L3" s="8">
        <f t="shared" ref="L3:L10" si="1">F3/60*J3*1.2</f>
        <v>1965.6</v>
      </c>
      <c r="M3" s="520">
        <v>38001</v>
      </c>
      <c r="N3" s="520">
        <v>224.9</v>
      </c>
      <c r="O3" s="520" t="str">
        <f t="shared" ref="O3:O14" si="2">CONCATENATE(A3,C3)</f>
        <v>43KN0035AA</v>
      </c>
      <c r="P3" s="14">
        <v>224.4</v>
      </c>
      <c r="Q3">
        <v>1884.96</v>
      </c>
    </row>
    <row r="4" spans="1:17">
      <c r="A4" s="8" t="s">
        <v>1636</v>
      </c>
      <c r="B4" s="8" t="s">
        <v>234</v>
      </c>
      <c r="C4" s="8" t="s">
        <v>43</v>
      </c>
      <c r="D4" s="8">
        <v>40</v>
      </c>
      <c r="E4" s="8">
        <v>53</v>
      </c>
      <c r="F4" s="8">
        <v>2453</v>
      </c>
      <c r="G4" s="8" t="s">
        <v>45</v>
      </c>
      <c r="H4" s="8" t="s">
        <v>354</v>
      </c>
      <c r="I4" s="8" t="s">
        <v>697</v>
      </c>
      <c r="J4" s="8">
        <v>390</v>
      </c>
      <c r="K4" s="258">
        <f t="shared" si="0"/>
        <v>45.40567903474556</v>
      </c>
      <c r="L4" s="8">
        <f t="shared" si="1"/>
        <v>19133.399999999998</v>
      </c>
      <c r="M4" s="520">
        <v>38002</v>
      </c>
      <c r="N4" s="520">
        <v>2442.4</v>
      </c>
      <c r="O4" s="520" t="str">
        <f t="shared" si="2"/>
        <v>43KN0035AB</v>
      </c>
      <c r="P4" s="14">
        <v>2441.1</v>
      </c>
      <c r="Q4">
        <v>19040.579999999998</v>
      </c>
    </row>
    <row r="5" spans="1:17">
      <c r="A5" s="8" t="s">
        <v>1636</v>
      </c>
      <c r="B5" s="8" t="s">
        <v>234</v>
      </c>
      <c r="C5" s="8" t="s">
        <v>44</v>
      </c>
      <c r="D5" s="8">
        <v>5</v>
      </c>
      <c r="E5" s="8">
        <v>0</v>
      </c>
      <c r="F5" s="8">
        <v>300</v>
      </c>
      <c r="G5" s="8" t="s">
        <v>45</v>
      </c>
      <c r="H5" s="8" t="s">
        <v>354</v>
      </c>
      <c r="I5" s="8" t="s">
        <v>697</v>
      </c>
      <c r="J5" s="8">
        <v>390</v>
      </c>
      <c r="K5" s="258">
        <f t="shared" si="0"/>
        <v>45.40567903474556</v>
      </c>
      <c r="L5" s="8">
        <f t="shared" si="1"/>
        <v>2340</v>
      </c>
      <c r="M5" s="520">
        <v>38003</v>
      </c>
      <c r="N5" s="520">
        <v>290.5</v>
      </c>
      <c r="O5" s="520" t="str">
        <f t="shared" si="2"/>
        <v>43KN0035PB</v>
      </c>
      <c r="P5" s="14">
        <v>290.5</v>
      </c>
      <c r="Q5">
        <v>2265.9</v>
      </c>
    </row>
    <row r="6" spans="1:17">
      <c r="A6" s="8" t="s">
        <v>1636</v>
      </c>
      <c r="B6" s="8" t="s">
        <v>234</v>
      </c>
      <c r="C6" s="8" t="s">
        <v>45</v>
      </c>
      <c r="D6" s="8">
        <v>51</v>
      </c>
      <c r="E6" s="8">
        <v>0</v>
      </c>
      <c r="F6" s="8">
        <v>3060</v>
      </c>
      <c r="G6" s="8" t="s">
        <v>54</v>
      </c>
      <c r="H6" s="8" t="s">
        <v>354</v>
      </c>
      <c r="I6" s="8" t="s">
        <v>435</v>
      </c>
      <c r="J6" s="8">
        <v>360</v>
      </c>
      <c r="K6" s="258">
        <f t="shared" si="0"/>
        <v>18.189857570534343</v>
      </c>
      <c r="L6" s="8">
        <f t="shared" si="1"/>
        <v>22032</v>
      </c>
      <c r="M6" s="520">
        <v>38004</v>
      </c>
      <c r="N6" s="520">
        <v>3048.5</v>
      </c>
      <c r="O6" s="520" t="str">
        <f t="shared" si="2"/>
        <v>43KN0035C</v>
      </c>
      <c r="P6" s="14">
        <v>3049.1</v>
      </c>
      <c r="Q6">
        <v>21953.52</v>
      </c>
    </row>
    <row r="7" spans="1:17">
      <c r="A7" s="8" t="s">
        <v>1637</v>
      </c>
      <c r="B7" s="8" t="s">
        <v>236</v>
      </c>
      <c r="C7" s="8" t="s">
        <v>42</v>
      </c>
      <c r="D7" s="8">
        <v>6</v>
      </c>
      <c r="E7" s="8">
        <v>57</v>
      </c>
      <c r="F7" s="8">
        <v>417</v>
      </c>
      <c r="G7" s="8" t="s">
        <v>45</v>
      </c>
      <c r="H7" s="8" t="s">
        <v>354</v>
      </c>
      <c r="I7" s="8" t="s">
        <v>434</v>
      </c>
      <c r="J7" s="8">
        <v>420</v>
      </c>
      <c r="K7" s="258">
        <f t="shared" si="0"/>
        <v>72.621500498956721</v>
      </c>
      <c r="L7" s="8">
        <f t="shared" si="1"/>
        <v>3502.7999999999997</v>
      </c>
      <c r="M7" s="520">
        <v>38005</v>
      </c>
      <c r="N7" s="520">
        <v>408.6</v>
      </c>
      <c r="O7" s="520" t="str">
        <f t="shared" si="2"/>
        <v>43KN0058AA</v>
      </c>
      <c r="P7" s="14">
        <v>408.7</v>
      </c>
      <c r="Q7">
        <v>3433.08</v>
      </c>
    </row>
    <row r="8" spans="1:17">
      <c r="A8" s="8" t="s">
        <v>1637</v>
      </c>
      <c r="B8" s="8" t="s">
        <v>236</v>
      </c>
      <c r="C8" s="8" t="s">
        <v>43</v>
      </c>
      <c r="D8" s="8">
        <v>70</v>
      </c>
      <c r="E8" s="8">
        <v>55</v>
      </c>
      <c r="F8" s="8">
        <v>4255</v>
      </c>
      <c r="G8" s="8" t="s">
        <v>45</v>
      </c>
      <c r="H8" s="8" t="s">
        <v>354</v>
      </c>
      <c r="I8" s="8" t="s">
        <v>697</v>
      </c>
      <c r="J8" s="8">
        <v>390</v>
      </c>
      <c r="K8" s="258">
        <f t="shared" si="0"/>
        <v>45.40567903474556</v>
      </c>
      <c r="L8" s="8">
        <f t="shared" si="1"/>
        <v>33189</v>
      </c>
      <c r="M8" s="520">
        <v>38006</v>
      </c>
      <c r="N8" s="520">
        <v>4243</v>
      </c>
      <c r="O8" s="520" t="str">
        <f t="shared" si="2"/>
        <v>43KN0058AB</v>
      </c>
      <c r="P8" s="14">
        <v>4248.1000000000004</v>
      </c>
      <c r="Q8">
        <v>33135.180000000008</v>
      </c>
    </row>
    <row r="9" spans="1:17">
      <c r="A9" s="8" t="s">
        <v>1637</v>
      </c>
      <c r="B9" s="8" t="s">
        <v>236</v>
      </c>
      <c r="C9" s="8" t="s">
        <v>44</v>
      </c>
      <c r="D9" s="8">
        <v>7</v>
      </c>
      <c r="E9" s="8">
        <v>28</v>
      </c>
      <c r="F9" s="8">
        <v>448</v>
      </c>
      <c r="G9" s="8" t="s">
        <v>45</v>
      </c>
      <c r="H9" s="8" t="s">
        <v>354</v>
      </c>
      <c r="I9" s="8" t="s">
        <v>697</v>
      </c>
      <c r="J9" s="8">
        <v>390</v>
      </c>
      <c r="K9" s="258">
        <f t="shared" si="0"/>
        <v>45.40567903474556</v>
      </c>
      <c r="L9" s="8">
        <f t="shared" si="1"/>
        <v>3494.4</v>
      </c>
      <c r="M9" s="520">
        <v>38007</v>
      </c>
      <c r="N9" s="520">
        <v>439.1</v>
      </c>
      <c r="O9" s="520" t="str">
        <f t="shared" si="2"/>
        <v>43KN0058PB</v>
      </c>
      <c r="P9" s="14">
        <v>439.8</v>
      </c>
      <c r="Q9">
        <v>3430.4399999999996</v>
      </c>
    </row>
    <row r="10" spans="1:17">
      <c r="A10" s="8" t="s">
        <v>1637</v>
      </c>
      <c r="B10" s="8" t="s">
        <v>236</v>
      </c>
      <c r="C10" s="8" t="s">
        <v>45</v>
      </c>
      <c r="D10" s="8">
        <v>78</v>
      </c>
      <c r="E10" s="8">
        <v>37</v>
      </c>
      <c r="F10" s="8">
        <v>4717</v>
      </c>
      <c r="G10" s="8" t="s">
        <v>54</v>
      </c>
      <c r="H10" s="8" t="s">
        <v>354</v>
      </c>
      <c r="I10" s="8" t="s">
        <v>435</v>
      </c>
      <c r="J10" s="8">
        <v>360</v>
      </c>
      <c r="K10" s="258">
        <f t="shared" si="0"/>
        <v>18.189857570534343</v>
      </c>
      <c r="L10" s="8">
        <f t="shared" si="1"/>
        <v>33962.399999999994</v>
      </c>
      <c r="M10" s="520">
        <v>38008</v>
      </c>
      <c r="N10" s="520">
        <v>4710.1000000000004</v>
      </c>
      <c r="O10" s="520" t="str">
        <f t="shared" si="2"/>
        <v>43KN0058C</v>
      </c>
      <c r="P10" s="14">
        <v>4710.8999999999996</v>
      </c>
      <c r="Q10">
        <v>33918.480000000003</v>
      </c>
    </row>
    <row r="11" spans="1:17">
      <c r="A11" s="43" t="s">
        <v>1638</v>
      </c>
      <c r="B11" s="43" t="s">
        <v>747</v>
      </c>
      <c r="C11" s="43" t="s">
        <v>42</v>
      </c>
      <c r="D11" s="43">
        <v>3</v>
      </c>
      <c r="E11" s="43">
        <v>32</v>
      </c>
      <c r="F11" s="43">
        <v>212</v>
      </c>
      <c r="G11" s="43" t="s">
        <v>45</v>
      </c>
      <c r="H11" s="43" t="s">
        <v>354</v>
      </c>
      <c r="I11" s="43" t="s">
        <v>434</v>
      </c>
      <c r="J11" s="43">
        <v>420</v>
      </c>
      <c r="K11" s="1455">
        <f t="shared" si="0"/>
        <v>72.621500498956721</v>
      </c>
      <c r="L11" s="43"/>
      <c r="M11" s="520" t="s">
        <v>1932</v>
      </c>
      <c r="N11" s="520"/>
      <c r="O11" s="520" t="str">
        <f t="shared" si="2"/>
        <v>44KN1003AA</v>
      </c>
      <c r="P11" s="14" t="s">
        <v>2042</v>
      </c>
      <c r="Q11">
        <v>0</v>
      </c>
    </row>
    <row r="12" spans="1:17">
      <c r="A12" s="8" t="s">
        <v>1638</v>
      </c>
      <c r="B12" s="8" t="s">
        <v>747</v>
      </c>
      <c r="C12" s="8" t="s">
        <v>43</v>
      </c>
      <c r="D12" s="8">
        <v>28</v>
      </c>
      <c r="E12" s="8">
        <v>15</v>
      </c>
      <c r="F12" s="8">
        <v>1695</v>
      </c>
      <c r="G12" s="8" t="s">
        <v>45</v>
      </c>
      <c r="H12" s="8" t="s">
        <v>354</v>
      </c>
      <c r="I12" s="8" t="s">
        <v>697</v>
      </c>
      <c r="J12" s="8">
        <v>390</v>
      </c>
      <c r="K12" s="258">
        <f t="shared" si="0"/>
        <v>45.40567903474556</v>
      </c>
      <c r="L12" s="8">
        <f>F12/60*J12*1.2</f>
        <v>13221</v>
      </c>
      <c r="M12" s="520">
        <v>38009</v>
      </c>
      <c r="N12" s="520">
        <v>1680.6</v>
      </c>
      <c r="O12" s="520" t="str">
        <f t="shared" si="2"/>
        <v>44KN1003AB</v>
      </c>
      <c r="P12" s="14">
        <v>1683.9</v>
      </c>
      <c r="Q12">
        <v>13134.42</v>
      </c>
    </row>
    <row r="13" spans="1:17">
      <c r="A13" s="43" t="s">
        <v>1638</v>
      </c>
      <c r="B13" s="43" t="s">
        <v>747</v>
      </c>
      <c r="C13" s="43" t="s">
        <v>44</v>
      </c>
      <c r="D13" s="43">
        <v>2</v>
      </c>
      <c r="E13" s="43">
        <v>39</v>
      </c>
      <c r="F13" s="43">
        <v>159</v>
      </c>
      <c r="G13" s="43" t="s">
        <v>45</v>
      </c>
      <c r="H13" s="43" t="s">
        <v>354</v>
      </c>
      <c r="I13" s="43" t="s">
        <v>697</v>
      </c>
      <c r="J13" s="43">
        <v>390</v>
      </c>
      <c r="K13" s="1455">
        <f t="shared" si="0"/>
        <v>45.40567903474556</v>
      </c>
      <c r="L13" s="43"/>
      <c r="M13" s="520" t="s">
        <v>1932</v>
      </c>
      <c r="N13" s="520"/>
      <c r="O13" s="520" t="str">
        <f t="shared" si="2"/>
        <v>44KN1003PB</v>
      </c>
      <c r="P13" s="14" t="s">
        <v>2042</v>
      </c>
      <c r="Q13">
        <v>0</v>
      </c>
    </row>
    <row r="14" spans="1:17" ht="15" thickBot="1">
      <c r="A14" s="8" t="s">
        <v>1638</v>
      </c>
      <c r="B14" s="8" t="s">
        <v>747</v>
      </c>
      <c r="C14" s="8" t="s">
        <v>45</v>
      </c>
      <c r="D14" s="8">
        <v>26</v>
      </c>
      <c r="E14" s="8">
        <v>3</v>
      </c>
      <c r="F14" s="8">
        <v>1563</v>
      </c>
      <c r="G14" s="8" t="s">
        <v>54</v>
      </c>
      <c r="H14" s="8" t="s">
        <v>354</v>
      </c>
      <c r="I14" s="8" t="s">
        <v>435</v>
      </c>
      <c r="J14" s="8">
        <v>360</v>
      </c>
      <c r="K14" s="258">
        <f t="shared" si="0"/>
        <v>18.189857570534343</v>
      </c>
      <c r="L14" s="8">
        <f>F14/60*J14*1.2</f>
        <v>11253.6</v>
      </c>
      <c r="M14" s="520">
        <v>38010</v>
      </c>
      <c r="N14" s="520">
        <v>1554.9</v>
      </c>
      <c r="O14" s="520" t="str">
        <f t="shared" si="2"/>
        <v>44KN1003C</v>
      </c>
      <c r="P14" s="14">
        <v>1554.6</v>
      </c>
      <c r="Q14">
        <v>11193.12</v>
      </c>
    </row>
    <row r="15" spans="1:17">
      <c r="A15" s="3"/>
      <c r="B15" s="3"/>
      <c r="C15" s="3"/>
      <c r="D15" s="6">
        <f>F15/60</f>
        <v>325.21666666666664</v>
      </c>
      <c r="E15" s="3"/>
      <c r="F15" s="3">
        <f>SUM(F3:F14)</f>
        <v>19513</v>
      </c>
      <c r="G15" s="3"/>
      <c r="H15" s="14"/>
      <c r="I15" s="14"/>
      <c r="J15" s="14"/>
      <c r="K15" s="14"/>
      <c r="L15" s="3">
        <f>SUM(L3:L14)</f>
        <v>144094.19999999998</v>
      </c>
      <c r="M15" s="520"/>
      <c r="N15" s="520"/>
      <c r="O15" s="1623"/>
      <c r="P15" s="1627">
        <f>SUM(P3:P14)</f>
        <v>19051.099999999999</v>
      </c>
      <c r="Q15" s="1621" t="s">
        <v>413</v>
      </c>
    </row>
    <row r="16" spans="1:17" ht="15" thickBot="1">
      <c r="D16" s="536"/>
      <c r="K16" t="s">
        <v>541</v>
      </c>
      <c r="L16" s="1442">
        <f>L15/F15*50</f>
        <v>369.22615692102698</v>
      </c>
      <c r="P16" s="1620">
        <f>P15/60</f>
        <v>317.51833333333332</v>
      </c>
      <c r="Q16" s="1320" t="s">
        <v>33</v>
      </c>
    </row>
    <row r="17" spans="16:17">
      <c r="Q17">
        <f>SUM(Q3:Q14)</f>
        <v>143389.68000000002</v>
      </c>
    </row>
    <row r="18" spans="16:17">
      <c r="P18" t="s">
        <v>541</v>
      </c>
      <c r="Q18" s="111">
        <f>Q17/P15*50</f>
        <v>376.32913585042343</v>
      </c>
    </row>
  </sheetData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BEEA-5F6C-4898-9CE5-9FA9DD83E753}">
  <dimension ref="A1:R15"/>
  <sheetViews>
    <sheetView workbookViewId="0">
      <selection activeCell="L26" sqref="L26"/>
    </sheetView>
  </sheetViews>
  <sheetFormatPr defaultRowHeight="14.5"/>
  <cols>
    <col min="1" max="1" width="13.6328125" style="1605" customWidth="1"/>
    <col min="2" max="2" width="16.36328125" style="1605" customWidth="1"/>
    <col min="3" max="7" width="8.7265625" style="1605"/>
    <col min="8" max="8" width="12.54296875" style="1605" customWidth="1"/>
    <col min="9" max="10" width="13.36328125" style="1605" customWidth="1"/>
    <col min="11" max="12" width="8.7265625" style="1714"/>
    <col min="13" max="13" width="8.90625" style="1605" customWidth="1"/>
    <col min="14" max="14" width="11.1796875" style="1605" customWidth="1"/>
    <col min="15" max="15" width="11.453125" style="1605" customWidth="1"/>
    <col min="16" max="16" width="18.90625" style="1605" customWidth="1"/>
    <col min="17" max="17" width="10.08984375" style="1605" customWidth="1"/>
    <col min="18" max="18" width="22.81640625" style="1605" customWidth="1"/>
    <col min="19" max="16384" width="8.7265625" style="1605"/>
  </cols>
  <sheetData>
    <row r="1" spans="1:18">
      <c r="M1" s="1605">
        <v>286.86</v>
      </c>
    </row>
    <row r="2" spans="1:18">
      <c r="A2" s="1600" t="s">
        <v>22</v>
      </c>
      <c r="B2" s="1600" t="s">
        <v>1632</v>
      </c>
      <c r="C2" s="1600" t="s">
        <v>23</v>
      </c>
      <c r="D2" s="1600" t="s">
        <v>33</v>
      </c>
      <c r="E2" s="1600" t="s">
        <v>1633</v>
      </c>
      <c r="F2" s="1601" t="s">
        <v>486</v>
      </c>
      <c r="G2" s="1600" t="s">
        <v>674</v>
      </c>
      <c r="H2" s="1600" t="s">
        <v>814</v>
      </c>
      <c r="I2" s="1600" t="s">
        <v>679</v>
      </c>
      <c r="J2" s="1600" t="s">
        <v>1206</v>
      </c>
      <c r="K2" s="1716" t="s">
        <v>1953</v>
      </c>
      <c r="L2" s="1716" t="s">
        <v>29</v>
      </c>
      <c r="M2" s="1600" t="s">
        <v>2102</v>
      </c>
      <c r="N2" s="1607" t="s">
        <v>407</v>
      </c>
      <c r="O2" s="1629" t="s">
        <v>405</v>
      </c>
      <c r="P2" s="1629" t="s">
        <v>406</v>
      </c>
      <c r="Q2" s="32"/>
      <c r="R2" s="14" t="s">
        <v>1168</v>
      </c>
    </row>
    <row r="3" spans="1:18">
      <c r="A3" s="1606" t="s">
        <v>2103</v>
      </c>
      <c r="B3" s="1606" t="s">
        <v>102</v>
      </c>
      <c r="C3" s="1606" t="s">
        <v>44</v>
      </c>
      <c r="D3" s="1606">
        <v>5</v>
      </c>
      <c r="E3" s="1606">
        <v>18</v>
      </c>
      <c r="F3" s="1606">
        <v>309</v>
      </c>
      <c r="G3" s="1606" t="s">
        <v>2107</v>
      </c>
      <c r="H3" s="1606" t="s">
        <v>351</v>
      </c>
      <c r="I3" s="1606" t="s">
        <v>1060</v>
      </c>
      <c r="J3" s="1606">
        <v>90597</v>
      </c>
      <c r="K3" s="1713" t="s">
        <v>89</v>
      </c>
      <c r="L3" s="1713">
        <v>390</v>
      </c>
      <c r="M3" s="1718">
        <f>L3/1.1023-$M$1</f>
        <v>66.945679034745524</v>
      </c>
      <c r="N3" s="1717">
        <f>F3/60*L3*1.2</f>
        <v>2410.2000000000003</v>
      </c>
      <c r="O3" s="32"/>
      <c r="P3" s="32"/>
      <c r="Q3" s="32"/>
      <c r="R3" s="14"/>
    </row>
    <row r="4" spans="1:18">
      <c r="A4" s="1606" t="s">
        <v>2103</v>
      </c>
      <c r="B4" s="1606" t="s">
        <v>102</v>
      </c>
      <c r="C4" s="1606" t="s">
        <v>42</v>
      </c>
      <c r="D4" s="1606">
        <v>9</v>
      </c>
      <c r="E4" s="1606">
        <v>59</v>
      </c>
      <c r="F4" s="1606">
        <v>591</v>
      </c>
      <c r="G4" s="1606" t="s">
        <v>2107</v>
      </c>
      <c r="H4" s="1606" t="s">
        <v>351</v>
      </c>
      <c r="I4" s="1606" t="s">
        <v>633</v>
      </c>
      <c r="J4" s="1606">
        <v>90597</v>
      </c>
      <c r="K4" s="1713" t="s">
        <v>89</v>
      </c>
      <c r="L4" s="1713">
        <v>430</v>
      </c>
      <c r="M4" s="1718">
        <f t="shared" ref="M4:M12" si="0">L4/1.1023-$M$1</f>
        <v>103.23344098702711</v>
      </c>
      <c r="N4" s="1717">
        <f t="shared" ref="N4:N12" si="1">F4/60*L4*1.2</f>
        <v>5082.5999999999995</v>
      </c>
      <c r="O4" s="32"/>
      <c r="P4" s="32"/>
      <c r="Q4" s="32"/>
      <c r="R4" s="14"/>
    </row>
    <row r="5" spans="1:18">
      <c r="A5" s="1606" t="s">
        <v>2103</v>
      </c>
      <c r="B5" s="1606" t="s">
        <v>102</v>
      </c>
      <c r="C5" s="1606" t="s">
        <v>120</v>
      </c>
      <c r="D5" s="1606">
        <v>55</v>
      </c>
      <c r="E5" s="1606">
        <v>21</v>
      </c>
      <c r="F5" s="1606">
        <v>3313</v>
      </c>
      <c r="G5" s="1606" t="s">
        <v>2107</v>
      </c>
      <c r="H5" s="1606" t="s">
        <v>351</v>
      </c>
      <c r="I5" s="1606" t="s">
        <v>1060</v>
      </c>
      <c r="J5" s="1606">
        <v>90597</v>
      </c>
      <c r="K5" s="1713" t="s">
        <v>89</v>
      </c>
      <c r="L5" s="1713">
        <v>400</v>
      </c>
      <c r="M5" s="1718">
        <f t="shared" si="0"/>
        <v>76.017619522815892</v>
      </c>
      <c r="N5" s="1717">
        <f t="shared" si="1"/>
        <v>26504</v>
      </c>
      <c r="O5" s="32"/>
      <c r="P5" s="32"/>
      <c r="Q5" s="32"/>
      <c r="R5" s="14"/>
    </row>
    <row r="6" spans="1:18">
      <c r="A6" s="1606" t="s">
        <v>2104</v>
      </c>
      <c r="B6" s="1606" t="s">
        <v>87</v>
      </c>
      <c r="C6" s="1606" t="s">
        <v>42</v>
      </c>
      <c r="D6" s="1606">
        <v>6</v>
      </c>
      <c r="E6" s="1606">
        <v>36</v>
      </c>
      <c r="F6" s="1606">
        <v>387</v>
      </c>
      <c r="G6" s="1606" t="s">
        <v>2107</v>
      </c>
      <c r="H6" s="1606" t="s">
        <v>351</v>
      </c>
      <c r="I6" s="1606" t="s">
        <v>633</v>
      </c>
      <c r="J6" s="1606">
        <v>90597</v>
      </c>
      <c r="K6" s="1713" t="s">
        <v>94</v>
      </c>
      <c r="L6" s="1713">
        <v>430</v>
      </c>
      <c r="M6" s="1718">
        <f t="shared" si="0"/>
        <v>103.23344098702711</v>
      </c>
      <c r="N6" s="1717">
        <f t="shared" si="1"/>
        <v>3328.2</v>
      </c>
      <c r="O6" s="32"/>
      <c r="P6" s="32"/>
      <c r="Q6" s="32"/>
      <c r="R6" s="14"/>
    </row>
    <row r="7" spans="1:18">
      <c r="A7" s="1606" t="s">
        <v>2104</v>
      </c>
      <c r="B7" s="1606" t="s">
        <v>87</v>
      </c>
      <c r="C7" s="1606" t="s">
        <v>120</v>
      </c>
      <c r="D7" s="1606">
        <v>36</v>
      </c>
      <c r="E7" s="1606">
        <v>56</v>
      </c>
      <c r="F7" s="1606">
        <v>2207</v>
      </c>
      <c r="G7" s="1606" t="s">
        <v>2107</v>
      </c>
      <c r="H7" s="1606" t="s">
        <v>351</v>
      </c>
      <c r="I7" s="1606" t="s">
        <v>1060</v>
      </c>
      <c r="J7" s="1606">
        <v>90597</v>
      </c>
      <c r="K7" s="1713" t="s">
        <v>94</v>
      </c>
      <c r="L7" s="1713">
        <v>400</v>
      </c>
      <c r="M7" s="1718">
        <f t="shared" si="0"/>
        <v>76.017619522815892</v>
      </c>
      <c r="N7" s="1717">
        <f t="shared" si="1"/>
        <v>17655.999999999996</v>
      </c>
      <c r="O7" s="32"/>
      <c r="P7" s="32"/>
      <c r="Q7" s="32"/>
      <c r="R7" s="14"/>
    </row>
    <row r="8" spans="1:18">
      <c r="A8" s="1606" t="s">
        <v>2105</v>
      </c>
      <c r="B8" s="1606" t="s">
        <v>92</v>
      </c>
      <c r="C8" s="1606" t="s">
        <v>44</v>
      </c>
      <c r="D8" s="1606">
        <v>5</v>
      </c>
      <c r="E8" s="1606">
        <v>41</v>
      </c>
      <c r="F8" s="1606">
        <v>332</v>
      </c>
      <c r="G8" s="1606" t="s">
        <v>2107</v>
      </c>
      <c r="H8" s="1606" t="s">
        <v>351</v>
      </c>
      <c r="I8" s="1606" t="s">
        <v>1060</v>
      </c>
      <c r="J8" s="1606">
        <v>90597</v>
      </c>
      <c r="K8" s="1713" t="s">
        <v>94</v>
      </c>
      <c r="L8" s="1713">
        <v>390</v>
      </c>
      <c r="M8" s="1718">
        <f t="shared" si="0"/>
        <v>66.945679034745524</v>
      </c>
      <c r="N8" s="1717">
        <f t="shared" si="1"/>
        <v>2589.6</v>
      </c>
      <c r="O8" s="32"/>
      <c r="P8" s="32"/>
      <c r="Q8" s="32"/>
      <c r="R8" s="14"/>
    </row>
    <row r="9" spans="1:18">
      <c r="A9" s="1606" t="s">
        <v>2105</v>
      </c>
      <c r="B9" s="1606" t="s">
        <v>92</v>
      </c>
      <c r="C9" s="1606" t="s">
        <v>42</v>
      </c>
      <c r="D9" s="1606">
        <v>9</v>
      </c>
      <c r="E9" s="1606">
        <v>14</v>
      </c>
      <c r="F9" s="1606">
        <v>545</v>
      </c>
      <c r="G9" s="1606" t="s">
        <v>2107</v>
      </c>
      <c r="H9" s="1606" t="s">
        <v>351</v>
      </c>
      <c r="I9" s="1606" t="s">
        <v>633</v>
      </c>
      <c r="J9" s="1606">
        <v>90597</v>
      </c>
      <c r="K9" s="1713" t="s">
        <v>94</v>
      </c>
      <c r="L9" s="1713">
        <v>430</v>
      </c>
      <c r="M9" s="1718">
        <f t="shared" si="0"/>
        <v>103.23344098702711</v>
      </c>
      <c r="N9" s="1717">
        <f t="shared" si="1"/>
        <v>4687</v>
      </c>
      <c r="O9" s="32"/>
      <c r="P9" s="32"/>
      <c r="Q9" s="32"/>
      <c r="R9" s="14"/>
    </row>
    <row r="10" spans="1:18">
      <c r="A10" s="1606" t="s">
        <v>2105</v>
      </c>
      <c r="B10" s="1606" t="s">
        <v>92</v>
      </c>
      <c r="C10" s="1606" t="s">
        <v>120</v>
      </c>
      <c r="D10" s="1606">
        <v>56</v>
      </c>
      <c r="E10" s="1606">
        <v>0</v>
      </c>
      <c r="F10" s="1606">
        <v>3359</v>
      </c>
      <c r="G10" s="1606" t="s">
        <v>2107</v>
      </c>
      <c r="H10" s="1606" t="s">
        <v>351</v>
      </c>
      <c r="I10" s="1606" t="s">
        <v>1060</v>
      </c>
      <c r="J10" s="1606">
        <v>90597</v>
      </c>
      <c r="K10" s="1713" t="s">
        <v>94</v>
      </c>
      <c r="L10" s="1713">
        <v>400</v>
      </c>
      <c r="M10" s="1718">
        <f t="shared" si="0"/>
        <v>76.017619522815892</v>
      </c>
      <c r="N10" s="1717">
        <f t="shared" si="1"/>
        <v>26871.999999999996</v>
      </c>
      <c r="O10" s="32"/>
      <c r="P10" s="32"/>
      <c r="Q10" s="32"/>
      <c r="R10" s="14"/>
    </row>
    <row r="11" spans="1:18">
      <c r="A11" s="1606" t="s">
        <v>2106</v>
      </c>
      <c r="B11" s="1606" t="s">
        <v>90</v>
      </c>
      <c r="C11" s="1606" t="s">
        <v>42</v>
      </c>
      <c r="D11" s="1606">
        <v>4</v>
      </c>
      <c r="E11" s="1606">
        <v>39</v>
      </c>
      <c r="F11" s="1606">
        <v>271</v>
      </c>
      <c r="G11" s="1606" t="s">
        <v>2107</v>
      </c>
      <c r="H11" s="1606" t="s">
        <v>351</v>
      </c>
      <c r="I11" s="1606" t="s">
        <v>633</v>
      </c>
      <c r="J11" s="1606">
        <v>90597</v>
      </c>
      <c r="K11" s="1713" t="s">
        <v>45</v>
      </c>
      <c r="L11" s="1713">
        <v>430</v>
      </c>
      <c r="M11" s="1718">
        <f t="shared" si="0"/>
        <v>103.23344098702711</v>
      </c>
      <c r="N11" s="1717">
        <f t="shared" si="1"/>
        <v>2330.6</v>
      </c>
      <c r="O11" s="32"/>
      <c r="P11" s="32"/>
      <c r="Q11" s="32"/>
      <c r="R11" s="14"/>
    </row>
    <row r="12" spans="1:18">
      <c r="A12" s="1606" t="s">
        <v>2106</v>
      </c>
      <c r="B12" s="1606" t="s">
        <v>90</v>
      </c>
      <c r="C12" s="1606" t="s">
        <v>120</v>
      </c>
      <c r="D12" s="1606">
        <v>22</v>
      </c>
      <c r="E12" s="1606">
        <v>66</v>
      </c>
      <c r="F12" s="1606">
        <v>1383</v>
      </c>
      <c r="G12" s="1606" t="s">
        <v>2107</v>
      </c>
      <c r="H12" s="1606" t="s">
        <v>351</v>
      </c>
      <c r="I12" s="1606" t="s">
        <v>1060</v>
      </c>
      <c r="J12" s="1606">
        <v>90597</v>
      </c>
      <c r="K12" s="1713" t="s">
        <v>45</v>
      </c>
      <c r="L12" s="1713">
        <v>400</v>
      </c>
      <c r="M12" s="1718">
        <f t="shared" si="0"/>
        <v>76.017619522815892</v>
      </c>
      <c r="N12" s="1717">
        <f t="shared" si="1"/>
        <v>11064</v>
      </c>
      <c r="O12" s="32"/>
      <c r="P12" s="32"/>
      <c r="Q12" s="32"/>
      <c r="R12" s="14"/>
    </row>
    <row r="13" spans="1:18">
      <c r="A13" s="1600" t="s">
        <v>487</v>
      </c>
      <c r="B13" s="1600"/>
      <c r="C13" s="1600"/>
      <c r="D13" s="1600">
        <f>SUM(D3:D12)</f>
        <v>207</v>
      </c>
      <c r="E13" s="1600">
        <f>SUM(E3:E12)</f>
        <v>350</v>
      </c>
      <c r="F13" s="1600">
        <f>SUM(F3:F12)</f>
        <v>12697</v>
      </c>
      <c r="G13" s="1600"/>
      <c r="H13" s="1600"/>
      <c r="I13" s="1600"/>
      <c r="J13" s="1600"/>
      <c r="K13" s="1713"/>
      <c r="L13" s="1713"/>
      <c r="M13" s="1717"/>
      <c r="N13" s="1717">
        <f>SUM(N3:N12)</f>
        <v>102524.2</v>
      </c>
      <c r="O13" s="32"/>
      <c r="P13" s="32"/>
      <c r="Q13" s="32"/>
      <c r="R13" s="14"/>
    </row>
    <row r="14" spans="1:18">
      <c r="F14" s="1605">
        <f>F13/60</f>
        <v>211.61666666666667</v>
      </c>
      <c r="O14" s="1335"/>
      <c r="P14" s="1335"/>
      <c r="Q14" s="1335"/>
      <c r="R14" s="1041"/>
    </row>
    <row r="15" spans="1:18">
      <c r="O15" s="1715"/>
      <c r="P15" s="1715"/>
      <c r="Q15" s="1715"/>
    </row>
  </sheetData>
  <autoFilter ref="A2:N14" xr:uid="{00000000-0001-0000-0000-000000000000}">
    <sortState xmlns:xlrd2="http://schemas.microsoft.com/office/spreadsheetml/2017/richdata2" ref="A3:N13">
      <sortCondition ref="A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Overview</vt:lpstr>
      <vt:lpstr>Sheet1</vt:lpstr>
      <vt:lpstr>Sheet2</vt:lpstr>
      <vt:lpstr>Raymark</vt:lpstr>
      <vt:lpstr>Rungeto</vt:lpstr>
      <vt:lpstr>Inoi</vt:lpstr>
      <vt:lpstr>ENDEBESS Dispatch 1</vt:lpstr>
      <vt:lpstr>Endebess Dispatch 2</vt:lpstr>
      <vt:lpstr>Endebess Dispatch 3</vt:lpstr>
      <vt:lpstr>Endebess Dispatch 4</vt:lpstr>
      <vt:lpstr>Inoi 2</vt:lpstr>
      <vt:lpstr>Baragwi 1</vt:lpstr>
      <vt:lpstr>Rungeto 2 17.02</vt:lpstr>
      <vt:lpstr>Baragwi 2</vt:lpstr>
      <vt:lpstr>Endebess</vt:lpstr>
      <vt:lpstr>Ino MH</vt:lpstr>
      <vt:lpstr>Raymark 12.03</vt:lpstr>
      <vt:lpstr>Tekangu</vt:lpstr>
      <vt:lpstr>Kabare</vt:lpstr>
      <vt:lpstr>Mugaga</vt:lpstr>
      <vt:lpstr>Iyego</vt:lpstr>
      <vt:lpstr>Thirikwa</vt:lpstr>
      <vt:lpstr>Kabare 2</vt:lpstr>
      <vt:lpstr>Baragwi 3</vt:lpstr>
      <vt:lpstr> Gikanda 1 Cancelled</vt:lpstr>
      <vt:lpstr>Gikanda 1 Confirmed</vt:lpstr>
      <vt:lpstr>Baragwi 4</vt:lpstr>
      <vt:lpstr>Baragwi 4 AfterBulking</vt:lpstr>
      <vt:lpstr>Rungeto MHML</vt:lpstr>
      <vt:lpstr>Baragwi 5</vt:lpstr>
      <vt:lpstr>Baragwi 5 Afterbulking</vt:lpstr>
      <vt:lpstr>Rungeto MHML 2</vt:lpstr>
      <vt:lpstr>Endebess Last Purchase</vt:lpstr>
      <vt:lpstr>Tharaka Nithi</vt:lpstr>
      <vt:lpstr>Baragwi MH 2000</vt:lpstr>
      <vt:lpstr>Baragwi MH 2000 (2)</vt:lpstr>
      <vt:lpstr>Baragwi ML</vt:lpstr>
      <vt:lpstr>Baragwi MH,ML B6</vt:lpstr>
      <vt:lpstr>Diamond Coffee</vt:lpstr>
      <vt:lpstr>Karunguru Estate</vt:lpstr>
      <vt:lpstr>Fairview Estate</vt:lpstr>
      <vt:lpstr>Muhugu</vt:lpstr>
      <vt:lpstr>Machure</vt:lpstr>
      <vt:lpstr>Kigutha</vt:lpstr>
      <vt:lpstr>Ndarugu</vt:lpstr>
      <vt:lpstr>Baragwi Fly Crop 1</vt:lpstr>
      <vt:lpstr>Mara Natural</vt:lpstr>
      <vt:lpstr>Chania</vt:lpstr>
      <vt:lpstr>Baragwi Fly Crop 2</vt:lpstr>
      <vt:lpstr>Rungeto Fly Crop 1</vt:lpstr>
      <vt:lpstr>90588</vt:lpstr>
      <vt:lpstr>90589-91</vt:lpstr>
      <vt:lpstr>Karunguru 2</vt:lpstr>
      <vt:lpstr>Machure Nat</vt:lpstr>
      <vt:lpstr>Rungeto Fly Crop 3</vt:lpstr>
      <vt:lpstr>Baragwi Fly crop 4</vt:lpstr>
      <vt:lpstr>Rungeto UG</vt:lpstr>
      <vt:lpstr>MUTIRA</vt:lpstr>
      <vt:lpstr>90586</vt:lpstr>
      <vt:lpstr>Kibirigwi</vt:lpstr>
      <vt:lpstr>Rungeto Fly crop 2</vt:lpstr>
      <vt:lpstr>90587</vt:lpstr>
      <vt:lpstr>90592&amp;3</vt:lpstr>
      <vt:lpstr>90595&amp;6</vt:lpstr>
      <vt:lpstr>90575</vt:lpstr>
      <vt:lpstr>90597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IberoKe - Specialty Trader - Daniel Magu</dc:creator>
  <cp:lastModifiedBy>IberoKe - Specialty Trader - Daniel Magu</cp:lastModifiedBy>
  <cp:lastPrinted>2026-05-28T08:39:22Z</cp:lastPrinted>
  <dcterms:created xsi:type="dcterms:W3CDTF">2025-10-22T06:23:16Z</dcterms:created>
  <dcterms:modified xsi:type="dcterms:W3CDTF">2026-10-06T15:01:29Z</dcterms:modified>
</cp:coreProperties>
</file>